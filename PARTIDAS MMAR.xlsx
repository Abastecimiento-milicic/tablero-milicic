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.benitez\Documents\GitHub\tablero-milicic\"/>
    </mc:Choice>
  </mc:AlternateContent>
  <xr:revisionPtr revIDLastSave="0" documentId="8_{D05B75B6-A124-49CE-AEB5-9FB9E75CF92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52" i="1" l="1" a="1"/>
  <c r="Q753" i="1" a="1"/>
  <c r="Q754" i="1" a="1"/>
  <c r="Q755" i="1" a="1"/>
  <c r="Q756" i="1" a="1"/>
  <c r="Q757" i="1" a="1"/>
  <c r="Q758" i="1" a="1"/>
  <c r="Q759" i="1" a="1"/>
  <c r="Q760" i="1" a="1"/>
  <c r="Q761" i="1" a="1"/>
  <c r="Q762" i="1" a="1"/>
  <c r="Q763" i="1" a="1"/>
  <c r="Q764" i="1" a="1"/>
  <c r="Q765" i="1" a="1"/>
  <c r="Q766" i="1" a="1"/>
  <c r="Q767" i="1" a="1"/>
  <c r="Q768" i="1" a="1"/>
  <c r="Q769" i="1" a="1"/>
  <c r="Q770" i="1" a="1"/>
  <c r="Q771" i="1" a="1"/>
  <c r="Q772" i="1" a="1"/>
  <c r="Q773" i="1" a="1"/>
  <c r="Q774" i="1" a="1"/>
  <c r="Q775" i="1" a="1"/>
  <c r="Q776" i="1" a="1"/>
  <c r="Q777" i="1" a="1"/>
  <c r="Q778" i="1" a="1"/>
  <c r="Q779" i="1" a="1"/>
  <c r="Q780" i="1" a="1"/>
  <c r="Q781" i="1" a="1"/>
  <c r="Q782" i="1" a="1"/>
  <c r="Q783" i="1" a="1"/>
  <c r="Q784" i="1" a="1"/>
  <c r="Q785" i="1" a="1"/>
  <c r="Q786" i="1" a="1"/>
  <c r="Q787" i="1" a="1"/>
  <c r="Q788" i="1" a="1"/>
  <c r="Q789" i="1" a="1"/>
  <c r="Q790" i="1" a="1"/>
  <c r="Q791" i="1" a="1"/>
  <c r="Q792" i="1" a="1"/>
  <c r="Q793" i="1" a="1"/>
  <c r="Q794" i="1" a="1"/>
  <c r="Q795" i="1" a="1"/>
  <c r="Q796" i="1" a="1"/>
  <c r="Q797" i="1" a="1"/>
  <c r="Q798" i="1" a="1"/>
  <c r="Q799" i="1" a="1"/>
  <c r="Q800" i="1" a="1"/>
  <c r="Q801" i="1" a="1"/>
  <c r="Q802" i="1" a="1"/>
  <c r="Q803" i="1" a="1"/>
  <c r="Q804" i="1" a="1"/>
  <c r="Q805" i="1" a="1"/>
  <c r="Q806" i="1" a="1"/>
  <c r="Q807" i="1" a="1"/>
  <c r="Q808" i="1" a="1"/>
  <c r="Q809" i="1" a="1"/>
  <c r="Q810" i="1" a="1"/>
  <c r="Q811" i="1" a="1"/>
  <c r="Q812" i="1" a="1"/>
  <c r="Q813" i="1" a="1"/>
  <c r="Q814" i="1" a="1"/>
  <c r="Q815" i="1" a="1"/>
  <c r="Q816" i="1" a="1"/>
  <c r="Q817" i="1" a="1"/>
  <c r="Q818" i="1" a="1"/>
  <c r="Q819" i="1" a="1"/>
  <c r="Q820" i="1" a="1"/>
  <c r="Q821" i="1" a="1"/>
  <c r="Q822" i="1" a="1"/>
  <c r="Q823" i="1" a="1"/>
  <c r="Q824" i="1" a="1"/>
  <c r="Q825" i="1" a="1"/>
  <c r="Q826" i="1" a="1"/>
  <c r="Q827" i="1" a="1"/>
  <c r="Q828" i="1" a="1"/>
  <c r="Q829" i="1" a="1"/>
  <c r="Q830" i="1" a="1"/>
  <c r="Q831" i="1" a="1"/>
  <c r="Q832" i="1" a="1"/>
  <c r="Q833" i="1" a="1"/>
  <c r="Q834" i="1" a="1"/>
  <c r="Q835" i="1" a="1"/>
  <c r="Q836" i="1" a="1"/>
  <c r="Q837" i="1" a="1"/>
  <c r="Q838" i="1" a="1"/>
  <c r="Q839" i="1" a="1"/>
  <c r="Q840" i="1" a="1"/>
  <c r="Q841" i="1" a="1"/>
  <c r="Q842" i="1" a="1"/>
  <c r="Q843" i="1" a="1"/>
  <c r="Q844" i="1" a="1"/>
  <c r="Q845" i="1" a="1"/>
  <c r="Q846" i="1" a="1"/>
  <c r="Q847" i="1" a="1"/>
  <c r="Q848" i="1" a="1"/>
  <c r="Q849" i="1" a="1"/>
  <c r="Q850" i="1" a="1"/>
  <c r="Q851" i="1" a="1"/>
  <c r="Q852" i="1" a="1"/>
  <c r="Q853" i="1" a="1"/>
  <c r="Q854" i="1" a="1"/>
  <c r="Q855" i="1" a="1"/>
  <c r="Q856" i="1" a="1"/>
  <c r="Q857" i="1" a="1"/>
  <c r="Q858" i="1" a="1"/>
  <c r="Q859" i="1" a="1"/>
  <c r="Q860" i="1" a="1"/>
  <c r="Q861" i="1" a="1"/>
  <c r="Q862" i="1" a="1"/>
  <c r="Q863" i="1" a="1"/>
  <c r="Q864" i="1" a="1"/>
  <c r="Q865" i="1" a="1"/>
  <c r="Q866" i="1" a="1"/>
  <c r="Q867" i="1" a="1"/>
  <c r="Q868" i="1" a="1"/>
  <c r="Q869" i="1" a="1"/>
  <c r="Q870" i="1" a="1"/>
  <c r="Q871" i="1" a="1"/>
  <c r="Q872" i="1" a="1"/>
  <c r="Q873" i="1" a="1"/>
  <c r="Q874" i="1" a="1"/>
  <c r="Q875" i="1" a="1"/>
  <c r="Q876" i="1" a="1"/>
  <c r="Q877" i="1" a="1"/>
  <c r="Q878" i="1" a="1"/>
  <c r="Q879" i="1" a="1"/>
  <c r="Q880" i="1" a="1"/>
  <c r="Q881" i="1" a="1"/>
  <c r="Q882" i="1" a="1"/>
  <c r="Q883" i="1" a="1"/>
  <c r="Q884" i="1" a="1"/>
  <c r="Q885" i="1" a="1"/>
  <c r="Q886" i="1" a="1"/>
  <c r="Q887" i="1" a="1"/>
  <c r="Q888" i="1" a="1"/>
  <c r="Q889" i="1" a="1"/>
  <c r="Q890" i="1" a="1"/>
  <c r="Q891" i="1" a="1"/>
  <c r="Q892" i="1" a="1"/>
  <c r="Q893" i="1" a="1"/>
  <c r="Q894" i="1" a="1"/>
  <c r="Q895" i="1" a="1"/>
  <c r="Q896" i="1" a="1"/>
  <c r="Q897" i="1" a="1"/>
  <c r="Q898" i="1" a="1"/>
  <c r="Q899" i="1" a="1"/>
  <c r="Q900" i="1" a="1"/>
  <c r="Q901" i="1" a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Q229" i="1" s="1" a="1"/>
  <c r="P230" i="1"/>
  <c r="Q230" i="1" s="1" a="1"/>
  <c r="P231" i="1"/>
  <c r="Q231" i="1" s="1" a="1"/>
  <c r="P232" i="1"/>
  <c r="Q232" i="1" s="1" a="1"/>
  <c r="P233" i="1"/>
  <c r="Q233" i="1" s="1" a="1"/>
  <c r="P234" i="1"/>
  <c r="Q234" i="1" s="1" a="1"/>
  <c r="P235" i="1"/>
  <c r="Q235" i="1" s="1" a="1"/>
  <c r="P236" i="1"/>
  <c r="Q236" i="1" s="1" a="1"/>
  <c r="P237" i="1"/>
  <c r="Q237" i="1" s="1" a="1"/>
  <c r="P238" i="1"/>
  <c r="Q238" i="1" s="1" a="1"/>
  <c r="P239" i="1"/>
  <c r="Q239" i="1" s="1" a="1"/>
  <c r="P240" i="1"/>
  <c r="Q240" i="1" s="1" a="1"/>
  <c r="P241" i="1"/>
  <c r="Q241" i="1" s="1" a="1"/>
  <c r="P242" i="1"/>
  <c r="Q242" i="1" s="1" a="1"/>
  <c r="P243" i="1"/>
  <c r="Q243" i="1" s="1" a="1"/>
  <c r="P244" i="1"/>
  <c r="Q244" i="1" s="1" a="1"/>
  <c r="P245" i="1"/>
  <c r="Q245" i="1" s="1" a="1"/>
  <c r="P246" i="1"/>
  <c r="Q246" i="1" s="1" a="1"/>
  <c r="P247" i="1"/>
  <c r="Q247" i="1" s="1" a="1"/>
  <c r="P248" i="1"/>
  <c r="Q248" i="1" s="1" a="1"/>
  <c r="P249" i="1"/>
  <c r="Q249" i="1" s="1" a="1"/>
  <c r="P250" i="1"/>
  <c r="Q250" i="1" s="1" a="1"/>
  <c r="P251" i="1"/>
  <c r="Q251" i="1" s="1" a="1"/>
  <c r="P252" i="1"/>
  <c r="Q252" i="1" s="1" a="1"/>
  <c r="P253" i="1"/>
  <c r="Q253" i="1" s="1" a="1"/>
  <c r="P254" i="1"/>
  <c r="Q254" i="1" s="1" a="1"/>
  <c r="P255" i="1"/>
  <c r="Q255" i="1" s="1" a="1"/>
  <c r="P256" i="1"/>
  <c r="P257" i="1"/>
  <c r="Q257" i="1" s="1" a="1"/>
  <c r="P258" i="1"/>
  <c r="Q258" i="1" s="1" a="1"/>
  <c r="P259" i="1"/>
  <c r="P260" i="1"/>
  <c r="P261" i="1"/>
  <c r="Q261" i="1" s="1" a="1"/>
  <c r="P262" i="1"/>
  <c r="Q262" i="1" s="1" a="1"/>
  <c r="P263" i="1"/>
  <c r="Q263" i="1" s="1" a="1"/>
  <c r="P264" i="1"/>
  <c r="Q264" i="1" s="1" a="1"/>
  <c r="P265" i="1"/>
  <c r="Q265" i="1" s="1" a="1"/>
  <c r="P266" i="1"/>
  <c r="Q266" i="1" s="1" a="1"/>
  <c r="P267" i="1"/>
  <c r="Q267" i="1" s="1" a="1"/>
  <c r="P268" i="1"/>
  <c r="Q268" i="1" s="1" a="1"/>
  <c r="P269" i="1"/>
  <c r="Q269" i="1" s="1" a="1"/>
  <c r="P270" i="1"/>
  <c r="Q270" i="1" s="1" a="1"/>
  <c r="P271" i="1"/>
  <c r="P272" i="1"/>
  <c r="P273" i="1"/>
  <c r="P274" i="1"/>
  <c r="P275" i="1"/>
  <c r="Q275" i="1" s="1" a="1"/>
  <c r="P276" i="1"/>
  <c r="Q276" i="1" s="1" a="1"/>
  <c r="P277" i="1"/>
  <c r="Q277" i="1" s="1" a="1"/>
  <c r="P278" i="1"/>
  <c r="Q278" i="1" s="1" a="1"/>
  <c r="P279" i="1"/>
  <c r="Q279" i="1" s="1" a="1"/>
  <c r="P280" i="1"/>
  <c r="Q280" i="1" s="1" a="1"/>
  <c r="P281" i="1"/>
  <c r="Q281" i="1" s="1" a="1"/>
  <c r="P282" i="1"/>
  <c r="Q282" i="1" s="1" a="1"/>
  <c r="P283" i="1"/>
  <c r="P284" i="1"/>
  <c r="P285" i="1"/>
  <c r="P286" i="1"/>
  <c r="P287" i="1"/>
  <c r="P288" i="1"/>
  <c r="P289" i="1"/>
  <c r="P290" i="1"/>
  <c r="P291" i="1"/>
  <c r="Q291" i="1" s="1" a="1"/>
  <c r="P292" i="1"/>
  <c r="Q292" i="1" s="1" a="1"/>
  <c r="P293" i="1"/>
  <c r="Q293" i="1" s="1" a="1"/>
  <c r="P294" i="1"/>
  <c r="Q294" i="1" s="1" a="1"/>
  <c r="P295" i="1"/>
  <c r="Q295" i="1" s="1" a="1"/>
  <c r="P296" i="1"/>
  <c r="Q296" i="1" s="1" a="1"/>
  <c r="P297" i="1"/>
  <c r="Q297" i="1" s="1" a="1"/>
  <c r="P298" i="1"/>
  <c r="P299" i="1"/>
  <c r="P300" i="1"/>
  <c r="P301" i="1"/>
  <c r="Q301" i="1" s="1" a="1"/>
  <c r="P302" i="1"/>
  <c r="Q302" i="1" s="1" a="1"/>
  <c r="P303" i="1"/>
  <c r="P304" i="1"/>
  <c r="P305" i="1"/>
  <c r="Q305" i="1" s="1" a="1"/>
  <c r="P306" i="1"/>
  <c r="Q306" i="1" s="1" a="1"/>
  <c r="P307" i="1"/>
  <c r="Q307" i="1" s="1" a="1"/>
  <c r="P308" i="1"/>
  <c r="Q308" i="1" s="1" a="1"/>
  <c r="P309" i="1"/>
  <c r="Q309" i="1" s="1" a="1"/>
  <c r="P310" i="1"/>
  <c r="Q310" i="1" s="1" a="1"/>
  <c r="P311" i="1"/>
  <c r="P312" i="1"/>
  <c r="P313" i="1"/>
  <c r="P314" i="1"/>
  <c r="P315" i="1"/>
  <c r="P316" i="1"/>
  <c r="P317" i="1"/>
  <c r="P318" i="1"/>
  <c r="P319" i="1"/>
  <c r="P320" i="1"/>
  <c r="P321" i="1"/>
  <c r="Q321" i="1" s="1" a="1"/>
  <c r="P322" i="1"/>
  <c r="Q322" i="1" s="1" a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Q361" i="1" s="1" a="1"/>
  <c r="P362" i="1"/>
  <c r="Q362" i="1" s="1" a="1"/>
  <c r="P363" i="1"/>
  <c r="Q363" i="1" s="1" a="1"/>
  <c r="P364" i="1"/>
  <c r="P365" i="1"/>
  <c r="Q365" i="1" s="1" a="1"/>
  <c r="P366" i="1"/>
  <c r="Q366" i="1" s="1" a="1"/>
  <c r="P367" i="1"/>
  <c r="Q367" i="1" s="1" a="1"/>
  <c r="P368" i="1"/>
  <c r="Q368" i="1" s="1" a="1"/>
  <c r="P369" i="1"/>
  <c r="Q369" i="1" s="1" a="1"/>
  <c r="P370" i="1"/>
  <c r="Q370" i="1" s="1" a="1"/>
  <c r="P371" i="1"/>
  <c r="Q371" i="1" s="1" a="1"/>
  <c r="P372" i="1"/>
  <c r="Q372" i="1" s="1" a="1"/>
  <c r="P373" i="1"/>
  <c r="Q373" i="1" s="1" a="1"/>
  <c r="P374" i="1"/>
  <c r="Q374" i="1" s="1" a="1"/>
  <c r="P375" i="1"/>
  <c r="Q375" i="1" s="1" a="1"/>
  <c r="P376" i="1"/>
  <c r="Q376" i="1" s="1" a="1"/>
  <c r="P377" i="1"/>
  <c r="Q377" i="1" s="1" a="1"/>
  <c r="P378" i="1"/>
  <c r="Q378" i="1" s="1" a="1"/>
  <c r="P379" i="1"/>
  <c r="Q379" i="1" s="1" a="1"/>
  <c r="P380" i="1"/>
  <c r="P381" i="1"/>
  <c r="P382" i="1"/>
  <c r="P383" i="1"/>
  <c r="P384" i="1"/>
  <c r="P385" i="1"/>
  <c r="Q385" i="1" s="1" a="1"/>
  <c r="P386" i="1"/>
  <c r="Q386" i="1" s="1" a="1"/>
  <c r="P387" i="1"/>
  <c r="P388" i="1"/>
  <c r="P389" i="1"/>
  <c r="P390" i="1"/>
  <c r="Q390" i="1" s="1" a="1"/>
  <c r="P391" i="1"/>
  <c r="Q391" i="1" s="1" a="1"/>
  <c r="P392" i="1"/>
  <c r="Q392" i="1" s="1" a="1"/>
  <c r="P393" i="1"/>
  <c r="Q393" i="1" s="1" a="1"/>
  <c r="P394" i="1"/>
  <c r="Q394" i="1" s="1" a="1"/>
  <c r="P395" i="1"/>
  <c r="Q395" i="1" s="1" a="1"/>
  <c r="P396" i="1"/>
  <c r="Q396" i="1" s="1" a="1"/>
  <c r="P397" i="1"/>
  <c r="Q397" i="1" s="1" a="1"/>
  <c r="P398" i="1"/>
  <c r="P399" i="1"/>
  <c r="P400" i="1"/>
  <c r="P401" i="1"/>
  <c r="P402" i="1"/>
  <c r="Q402" i="1" s="1" a="1"/>
  <c r="P403" i="1"/>
  <c r="Q403" i="1" s="1" a="1"/>
  <c r="P404" i="1"/>
  <c r="Q404" i="1" s="1" a="1"/>
  <c r="P405" i="1"/>
  <c r="Q405" i="1" s="1" a="1"/>
  <c r="P406" i="1"/>
  <c r="P407" i="1"/>
  <c r="P408" i="1"/>
  <c r="Q408" i="1" s="1" a="1"/>
  <c r="P409" i="1"/>
  <c r="Q409" i="1" s="1" a="1"/>
  <c r="P410" i="1"/>
  <c r="Q410" i="1" s="1" a="1"/>
  <c r="P411" i="1"/>
  <c r="Q411" i="1" s="1" a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Q432" i="1" s="1" a="1"/>
  <c r="P433" i="1"/>
  <c r="Q433" i="1" s="1" a="1"/>
  <c r="P434" i="1"/>
  <c r="P435" i="1"/>
  <c r="P436" i="1"/>
  <c r="P437" i="1"/>
  <c r="P438" i="1"/>
  <c r="P439" i="1"/>
  <c r="P440" i="1"/>
  <c r="Q440" i="1" s="1" a="1"/>
  <c r="P441" i="1"/>
  <c r="Q441" i="1" s="1" a="1"/>
  <c r="P442" i="1"/>
  <c r="Q442" i="1" s="1" a="1"/>
  <c r="P443" i="1"/>
  <c r="Q443" i="1" s="1" a="1"/>
  <c r="P444" i="1"/>
  <c r="Q444" i="1" s="1" a="1"/>
  <c r="P445" i="1"/>
  <c r="Q445" i="1" s="1" a="1"/>
  <c r="P446" i="1"/>
  <c r="Q446" i="1" s="1" a="1"/>
  <c r="P447" i="1"/>
  <c r="Q447" i="1" s="1" a="1"/>
  <c r="P448" i="1"/>
  <c r="P449" i="1"/>
  <c r="P450" i="1"/>
  <c r="P451" i="1"/>
  <c r="P452" i="1"/>
  <c r="P453" i="1"/>
  <c r="Q453" i="1" s="1" a="1"/>
  <c r="P454" i="1"/>
  <c r="Q454" i="1" s="1" a="1"/>
  <c r="P455" i="1"/>
  <c r="P456" i="1"/>
  <c r="Q456" i="1" s="1" a="1"/>
  <c r="P457" i="1"/>
  <c r="Q457" i="1" s="1" a="1"/>
  <c r="P458" i="1"/>
  <c r="P459" i="1"/>
  <c r="P460" i="1"/>
  <c r="P461" i="1"/>
  <c r="Q461" i="1" s="1" a="1"/>
  <c r="P462" i="1"/>
  <c r="Q462" i="1" s="1" a="1"/>
  <c r="P463" i="1"/>
  <c r="Q463" i="1" s="1" a="1"/>
  <c r="P464" i="1"/>
  <c r="P465" i="1"/>
  <c r="Q465" i="1" s="1" a="1"/>
  <c r="P466" i="1"/>
  <c r="Q466" i="1" s="1" a="1"/>
  <c r="P467" i="1"/>
  <c r="Q467" i="1" s="1" a="1"/>
  <c r="P468" i="1"/>
  <c r="Q468" i="1" s="1" a="1"/>
  <c r="P469" i="1"/>
  <c r="P470" i="1"/>
  <c r="P471" i="1"/>
  <c r="P472" i="1"/>
  <c r="P473" i="1"/>
  <c r="P474" i="1"/>
  <c r="P475" i="1"/>
  <c r="P476" i="1"/>
  <c r="P477" i="1"/>
  <c r="P478" i="1"/>
  <c r="Q478" i="1" s="1" a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Q495" i="1" s="1" a="1"/>
  <c r="P496" i="1"/>
  <c r="Q496" i="1" s="1" a="1"/>
  <c r="P497" i="1"/>
  <c r="Q497" i="1" s="1" a="1"/>
  <c r="P498" i="1"/>
  <c r="P499" i="1"/>
  <c r="P500" i="1"/>
  <c r="P501" i="1"/>
  <c r="P502" i="1"/>
  <c r="P503" i="1"/>
  <c r="Q503" i="1" s="1" a="1"/>
  <c r="P504" i="1"/>
  <c r="P505" i="1"/>
  <c r="Q505" i="1" s="1" a="1"/>
  <c r="P506" i="1"/>
  <c r="Q506" i="1" s="1" a="1"/>
  <c r="P507" i="1"/>
  <c r="P508" i="1"/>
  <c r="P509" i="1"/>
  <c r="Q509" i="1" s="1" a="1"/>
  <c r="P510" i="1"/>
  <c r="Q510" i="1" s="1" a="1"/>
  <c r="P511" i="1"/>
  <c r="P512" i="1"/>
  <c r="P513" i="1"/>
  <c r="P514" i="1"/>
  <c r="Q514" i="1" s="1" a="1"/>
  <c r="P515" i="1"/>
  <c r="Q515" i="1" s="1" a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Q640" i="1" s="1" a="1"/>
  <c r="P641" i="1"/>
  <c r="Q641" i="1" s="1" a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Q740" i="1" s="1" a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2" i="1"/>
  <c r="Q256" i="1" l="1" a="1"/>
  <c r="Q290" i="1" a="1"/>
  <c r="Q315" i="1" a="1"/>
  <c r="Q382" i="1" a="1"/>
  <c r="Q418" i="1" a="1"/>
  <c r="Q470" i="1" a="1"/>
  <c r="Q488" i="1" a="1"/>
  <c r="Q502" i="1" a="1"/>
  <c r="Q521" i="1" a="1"/>
  <c r="Q260" i="1" a="1"/>
  <c r="Q274" i="1" a="1"/>
  <c r="Q284" i="1" a="1"/>
  <c r="Q316" i="1" a="1"/>
  <c r="Q387" i="1" a="1"/>
  <c r="Q412" i="1" a="1"/>
  <c r="Q426" i="1" a="1"/>
  <c r="Q434" i="1" a="1"/>
  <c r="Q455" i="1" a="1"/>
  <c r="Q475" i="1" a="1"/>
  <c r="Q498" i="1" a="1"/>
  <c r="Q520" i="1" a="1"/>
  <c r="Q533" i="1" a="1"/>
  <c r="Q288" i="1" a="1"/>
  <c r="Q299" i="1" a="1"/>
  <c r="Q317" i="1" a="1"/>
  <c r="Q388" i="1" a="1"/>
  <c r="Q407" i="1" a="1"/>
  <c r="Q422" i="1" a="1"/>
  <c r="Q427" i="1" a="1"/>
  <c r="Q435" i="1" a="1"/>
  <c r="Q459" i="1" a="1"/>
  <c r="Q479" i="1" a="1"/>
  <c r="Q482" i="1" a="1"/>
  <c r="Q490" i="1" a="1"/>
  <c r="Q511" i="1" a="1"/>
  <c r="Q525" i="1" a="1"/>
  <c r="Q3" i="1" a="1"/>
  <c r="Q4" i="1" a="1"/>
  <c r="Q5" i="1" a="1"/>
  <c r="Q6" i="1" a="1"/>
  <c r="Q7" i="1" a="1"/>
  <c r="Q8" i="1" a="1"/>
  <c r="Q9" i="1" a="1"/>
  <c r="Q10" i="1" a="1"/>
  <c r="Q11" i="1" a="1"/>
  <c r="Q12" i="1" a="1"/>
  <c r="Q13" i="1" a="1"/>
  <c r="Q14" i="1" a="1"/>
  <c r="Q15" i="1" a="1"/>
  <c r="Q16" i="1" a="1"/>
  <c r="Q17" i="1" a="1"/>
  <c r="Q18" i="1" a="1"/>
  <c r="Q19" i="1" a="1"/>
  <c r="Q20" i="1" a="1"/>
  <c r="Q21" i="1" a="1"/>
  <c r="Q22" i="1" a="1"/>
  <c r="Q23" i="1" a="1"/>
  <c r="Q24" i="1" a="1"/>
  <c r="Q25" i="1" a="1"/>
  <c r="Q26" i="1" a="1"/>
  <c r="Q27" i="1" a="1"/>
  <c r="Q28" i="1" a="1"/>
  <c r="Q29" i="1" a="1"/>
  <c r="Q30" i="1" a="1"/>
  <c r="Q31" i="1" a="1"/>
  <c r="Q32" i="1" a="1"/>
  <c r="Q33" i="1" a="1"/>
  <c r="Q34" i="1" a="1"/>
  <c r="Q35" i="1" a="1"/>
  <c r="Q36" i="1" a="1"/>
  <c r="Q37" i="1" a="1"/>
  <c r="Q38" i="1" a="1"/>
  <c r="Q39" i="1" a="1"/>
  <c r="Q40" i="1" a="1"/>
  <c r="Q41" i="1" a="1"/>
  <c r="Q42" i="1" a="1"/>
  <c r="Q43" i="1" a="1"/>
  <c r="Q44" i="1" a="1"/>
  <c r="Q45" i="1" a="1"/>
  <c r="Q46" i="1" a="1"/>
  <c r="Q47" i="1" a="1"/>
  <c r="Q48" i="1" a="1"/>
  <c r="Q49" i="1" a="1"/>
  <c r="Q50" i="1" a="1"/>
  <c r="Q51" i="1" a="1"/>
  <c r="Q52" i="1" a="1"/>
  <c r="Q53" i="1" a="1"/>
  <c r="Q54" i="1" a="1"/>
  <c r="Q55" i="1" a="1"/>
  <c r="Q57" i="1" a="1"/>
  <c r="Q59" i="1" a="1"/>
  <c r="Q60" i="1" a="1"/>
  <c r="Q61" i="1" a="1"/>
  <c r="Q62" i="1" a="1"/>
  <c r="Q63" i="1" a="1"/>
  <c r="Q64" i="1" a="1"/>
  <c r="Q65" i="1" a="1"/>
  <c r="Q66" i="1" a="1"/>
  <c r="Q67" i="1" a="1"/>
  <c r="Q68" i="1" a="1"/>
  <c r="Q69" i="1" a="1"/>
  <c r="Q70" i="1" a="1"/>
  <c r="Q71" i="1" a="1"/>
  <c r="Q72" i="1" a="1"/>
  <c r="Q73" i="1" a="1"/>
  <c r="Q76" i="1" a="1"/>
  <c r="Q77" i="1" a="1"/>
  <c r="Q78" i="1" a="1"/>
  <c r="Q79" i="1" a="1"/>
  <c r="Q82" i="1" a="1"/>
  <c r="Q83" i="1" a="1"/>
  <c r="Q86" i="1" a="1"/>
  <c r="Q88" i="1" a="1"/>
  <c r="Q90" i="1" a="1"/>
  <c r="Q93" i="1" a="1"/>
  <c r="Q95" i="1" a="1"/>
  <c r="Q98" i="1" a="1"/>
  <c r="Q100" i="1" a="1"/>
  <c r="Q103" i="1" a="1"/>
  <c r="Q105" i="1" a="1"/>
  <c r="Q108" i="1" a="1"/>
  <c r="Q111" i="1" a="1"/>
  <c r="Q119" i="1" a="1"/>
  <c r="Q122" i="1" a="1"/>
  <c r="Q125" i="1" a="1"/>
  <c r="Q127" i="1" a="1"/>
  <c r="Q129" i="1" a="1"/>
  <c r="Q132" i="1" a="1"/>
  <c r="Q135" i="1" a="1"/>
  <c r="Q138" i="1" a="1"/>
  <c r="Q140" i="1" a="1"/>
  <c r="Q143" i="1" a="1"/>
  <c r="Q145" i="1" a="1"/>
  <c r="Q148" i="1" a="1"/>
  <c r="Q150" i="1" a="1"/>
  <c r="Q153" i="1" a="1"/>
  <c r="Q156" i="1" a="1"/>
  <c r="Q158" i="1" a="1"/>
  <c r="Q161" i="1" a="1"/>
  <c r="Q164" i="1" a="1"/>
  <c r="Q167" i="1" a="1"/>
  <c r="Q170" i="1" a="1"/>
  <c r="Q172" i="1" a="1"/>
  <c r="Q176" i="1" a="1"/>
  <c r="Q179" i="1" a="1"/>
  <c r="Q184" i="1" a="1"/>
  <c r="Q186" i="1" a="1"/>
  <c r="Q190" i="1" a="1"/>
  <c r="Q194" i="1" a="1"/>
  <c r="Q197" i="1" a="1"/>
  <c r="Q201" i="1" a="1"/>
  <c r="Q205" i="1" a="1"/>
  <c r="Q209" i="1" a="1"/>
  <c r="Q214" i="1" a="1"/>
  <c r="Q218" i="1" a="1"/>
  <c r="Q220" i="1" a="1"/>
  <c r="Q224" i="1" a="1"/>
  <c r="Q228" i="1" a="1"/>
  <c r="Q271" i="1" a="1"/>
  <c r="Q285" i="1" a="1"/>
  <c r="Q311" i="1" a="1"/>
  <c r="Q319" i="1" a="1"/>
  <c r="Q383" i="1" a="1"/>
  <c r="Q413" i="1" a="1"/>
  <c r="Q423" i="1" a="1"/>
  <c r="Q430" i="1" a="1"/>
  <c r="Q450" i="1" a="1"/>
  <c r="Q471" i="1" a="1"/>
  <c r="Q487" i="1" a="1"/>
  <c r="Q501" i="1" a="1"/>
  <c r="Q518" i="1" a="1"/>
  <c r="Q529" i="1" a="1"/>
  <c r="Q534" i="1" a="1"/>
  <c r="Q136" i="1" a="1"/>
  <c r="Q163" i="1" a="1"/>
  <c r="Q168" i="1" a="1"/>
  <c r="Q173" i="1" a="1"/>
  <c r="Q177" i="1" a="1"/>
  <c r="Q181" i="1" a="1"/>
  <c r="Q185" i="1" a="1"/>
  <c r="Q189" i="1" a="1"/>
  <c r="Q192" i="1" a="1"/>
  <c r="Q196" i="1" a="1"/>
  <c r="Q200" i="1" a="1"/>
  <c r="Q203" i="1" a="1"/>
  <c r="Q207" i="1" a="1"/>
  <c r="Q211" i="1" a="1"/>
  <c r="Q215" i="1" a="1"/>
  <c r="Q219" i="1" a="1"/>
  <c r="Q223" i="1" a="1"/>
  <c r="Q226" i="1" a="1"/>
  <c r="Q286" i="1" a="1"/>
  <c r="Q298" i="1" a="1"/>
  <c r="Q314" i="1" a="1"/>
  <c r="Q380" i="1" a="1"/>
  <c r="Q400" i="1" a="1"/>
  <c r="Q415" i="1" a="1"/>
  <c r="Q428" i="1" a="1"/>
  <c r="Q436" i="1" a="1"/>
  <c r="Q451" i="1" a="1"/>
  <c r="Q473" i="1" a="1"/>
  <c r="Q486" i="1" a="1"/>
  <c r="Q494" i="1" a="1"/>
  <c r="Q504" i="1" a="1"/>
  <c r="Q513" i="1" a="1"/>
  <c r="Q523" i="1" a="1"/>
  <c r="Q56" i="1" a="1"/>
  <c r="Q75" i="1" a="1"/>
  <c r="Q80" i="1" a="1"/>
  <c r="Q84" i="1" a="1"/>
  <c r="Q87" i="1" a="1"/>
  <c r="Q91" i="1" a="1"/>
  <c r="Q94" i="1" a="1"/>
  <c r="Q97" i="1" a="1"/>
  <c r="Q101" i="1" a="1"/>
  <c r="Q104" i="1" a="1"/>
  <c r="Q107" i="1" a="1"/>
  <c r="Q110" i="1" a="1"/>
  <c r="Q113" i="1" a="1"/>
  <c r="Q115" i="1" a="1"/>
  <c r="Q117" i="1" a="1"/>
  <c r="Q120" i="1" a="1"/>
  <c r="Q123" i="1" a="1"/>
  <c r="Q126" i="1" a="1"/>
  <c r="Q130" i="1" a="1"/>
  <c r="Q133" i="1" a="1"/>
  <c r="Q137" i="1" a="1"/>
  <c r="Q141" i="1" a="1"/>
  <c r="Q144" i="1" a="1"/>
  <c r="Q147" i="1" a="1"/>
  <c r="Q151" i="1" a="1"/>
  <c r="Q154" i="1" a="1"/>
  <c r="Q157" i="1" a="1"/>
  <c r="Q160" i="1" a="1"/>
  <c r="Q165" i="1" a="1"/>
  <c r="Q169" i="1" a="1"/>
  <c r="Q174" i="1" a="1"/>
  <c r="Q178" i="1" a="1"/>
  <c r="Q182" i="1" a="1"/>
  <c r="Q187" i="1" a="1"/>
  <c r="Q191" i="1" a="1"/>
  <c r="Q195" i="1" a="1"/>
  <c r="Q199" i="1" a="1"/>
  <c r="Q204" i="1" a="1"/>
  <c r="Q208" i="1" a="1"/>
  <c r="Q212" i="1" a="1"/>
  <c r="Q216" i="1" a="1"/>
  <c r="Q221" i="1" a="1"/>
  <c r="Q225" i="1" a="1"/>
  <c r="Q272" i="1" a="1"/>
  <c r="Q287" i="1" a="1"/>
  <c r="Q304" i="1" a="1"/>
  <c r="Q313" i="1" a="1"/>
  <c r="Q381" i="1" a="1"/>
  <c r="Q401" i="1" a="1"/>
  <c r="Q417" i="1" a="1"/>
  <c r="Q448" i="1" a="1"/>
  <c r="Q469" i="1" a="1"/>
  <c r="Q484" i="1" a="1"/>
  <c r="Q492" i="1" a="1"/>
  <c r="Q508" i="1" a="1"/>
  <c r="Q524" i="1" a="1"/>
  <c r="Q58" i="1" a="1"/>
  <c r="Q74" i="1" a="1"/>
  <c r="Q81" i="1" a="1"/>
  <c r="Q85" i="1" a="1"/>
  <c r="Q89" i="1" a="1"/>
  <c r="Q92" i="1" a="1"/>
  <c r="Q96" i="1" a="1"/>
  <c r="Q99" i="1" a="1"/>
  <c r="Q102" i="1" a="1"/>
  <c r="Q106" i="1" a="1"/>
  <c r="Q109" i="1" a="1"/>
  <c r="Q112" i="1" a="1"/>
  <c r="Q114" i="1" a="1"/>
  <c r="Q116" i="1" a="1"/>
  <c r="Q118" i="1" a="1"/>
  <c r="Q121" i="1" a="1"/>
  <c r="Q124" i="1" a="1"/>
  <c r="Q128" i="1" a="1"/>
  <c r="Q131" i="1" a="1"/>
  <c r="Q134" i="1" a="1"/>
  <c r="Q139" i="1" a="1"/>
  <c r="Q142" i="1" a="1"/>
  <c r="Q146" i="1" a="1"/>
  <c r="Q149" i="1" a="1"/>
  <c r="Q152" i="1" a="1"/>
  <c r="Q155" i="1" a="1"/>
  <c r="Q159" i="1" a="1"/>
  <c r="Q162" i="1" a="1"/>
  <c r="Q166" i="1" a="1"/>
  <c r="Q171" i="1" a="1"/>
  <c r="Q175" i="1" a="1"/>
  <c r="Q180" i="1" a="1"/>
  <c r="Q183" i="1" a="1"/>
  <c r="Q188" i="1" a="1"/>
  <c r="Q193" i="1" a="1"/>
  <c r="Q198" i="1" a="1"/>
  <c r="Q202" i="1" a="1"/>
  <c r="Q206" i="1" a="1"/>
  <c r="Q210" i="1" a="1"/>
  <c r="Q213" i="1" a="1"/>
  <c r="Q217" i="1" a="1"/>
  <c r="Q222" i="1" a="1"/>
  <c r="Q227" i="1" a="1"/>
  <c r="Q259" i="1" a="1"/>
  <c r="Q273" i="1" a="1"/>
  <c r="Q283" i="1" a="1"/>
  <c r="Q289" i="1" a="1"/>
  <c r="Q300" i="1" a="1"/>
  <c r="Q318" i="1" a="1"/>
  <c r="Q389" i="1" a="1"/>
  <c r="Q406" i="1" a="1"/>
  <c r="Q420" i="1" a="1"/>
  <c r="Q424" i="1" a="1"/>
  <c r="Q438" i="1" a="1"/>
  <c r="Q464" i="1" a="1"/>
  <c r="Q480" i="1" a="1"/>
  <c r="Q483" i="1" a="1"/>
  <c r="Q491" i="1" a="1"/>
  <c r="Q519" i="1" a="1"/>
  <c r="Q530" i="1" a="1"/>
  <c r="Q536" i="1" a="1"/>
  <c r="Q303" i="1" a="1"/>
  <c r="Q312" i="1" a="1"/>
  <c r="Q320" i="1" a="1"/>
  <c r="Q384" i="1" a="1"/>
  <c r="Q398" i="1" a="1"/>
  <c r="Q414" i="1" a="1"/>
  <c r="Q429" i="1" a="1"/>
  <c r="Q437" i="1" a="1"/>
  <c r="Q460" i="1" a="1"/>
  <c r="Q476" i="1" a="1"/>
  <c r="Q500" i="1" a="1"/>
  <c r="Q517" i="1" a="1"/>
  <c r="Q527" i="1" a="1"/>
  <c r="Q532" i="1" a="1"/>
  <c r="Q537" i="1" a="1"/>
  <c r="Q323" i="1" a="1"/>
  <c r="Q324" i="1" a="1"/>
  <c r="Q325" i="1" a="1"/>
  <c r="Q326" i="1" a="1"/>
  <c r="Q327" i="1" a="1"/>
  <c r="Q328" i="1" a="1"/>
  <c r="Q329" i="1" a="1"/>
  <c r="Q330" i="1" a="1"/>
  <c r="Q331" i="1" a="1"/>
  <c r="Q332" i="1" a="1"/>
  <c r="Q333" i="1" a="1"/>
  <c r="Q334" i="1" a="1"/>
  <c r="Q335" i="1" a="1"/>
  <c r="Q336" i="1" a="1"/>
  <c r="Q337" i="1" a="1"/>
  <c r="Q338" i="1" a="1"/>
  <c r="Q339" i="1" a="1"/>
  <c r="Q340" i="1" a="1"/>
  <c r="Q341" i="1" a="1"/>
  <c r="Q342" i="1" a="1"/>
  <c r="Q343" i="1" a="1"/>
  <c r="Q344" i="1" a="1"/>
  <c r="Q345" i="1" a="1"/>
  <c r="Q346" i="1" a="1"/>
  <c r="Q347" i="1" a="1"/>
  <c r="Q348" i="1" a="1"/>
  <c r="Q349" i="1" a="1"/>
  <c r="Q350" i="1" a="1"/>
  <c r="Q351" i="1" a="1"/>
  <c r="Q352" i="1" a="1"/>
  <c r="Q353" i="1" a="1"/>
  <c r="Q354" i="1" a="1"/>
  <c r="Q355" i="1" a="1"/>
  <c r="Q356" i="1" a="1"/>
  <c r="Q357" i="1" a="1"/>
  <c r="Q358" i="1" a="1"/>
  <c r="Q359" i="1" a="1"/>
  <c r="Q360" i="1" a="1"/>
  <c r="Q364" i="1" a="1"/>
  <c r="Q419" i="1" a="1"/>
  <c r="Q449" i="1" a="1"/>
  <c r="Q472" i="1" a="1"/>
  <c r="Q489" i="1" a="1"/>
  <c r="Q507" i="1" a="1"/>
  <c r="Q522" i="1" a="1"/>
  <c r="Q538" i="1" a="1"/>
  <c r="Q539" i="1" a="1"/>
  <c r="Q540" i="1" a="1"/>
  <c r="Q541" i="1" a="1"/>
  <c r="Q542" i="1" a="1"/>
  <c r="Q543" i="1" a="1"/>
  <c r="Q544" i="1" a="1"/>
  <c r="Q545" i="1" a="1"/>
  <c r="Q546" i="1" a="1"/>
  <c r="Q547" i="1" a="1"/>
  <c r="Q548" i="1" a="1"/>
  <c r="Q549" i="1" a="1"/>
  <c r="Q550" i="1" a="1"/>
  <c r="Q551" i="1" a="1"/>
  <c r="Q552" i="1" a="1"/>
  <c r="Q553" i="1" a="1"/>
  <c r="Q554" i="1" a="1"/>
  <c r="Q555" i="1" a="1"/>
  <c r="Q556" i="1" a="1"/>
  <c r="Q557" i="1" a="1"/>
  <c r="Q558" i="1" a="1"/>
  <c r="Q559" i="1" a="1"/>
  <c r="Q560" i="1" a="1"/>
  <c r="Q561" i="1" a="1"/>
  <c r="Q562" i="1" a="1"/>
  <c r="Q563" i="1" a="1"/>
  <c r="Q564" i="1" a="1"/>
  <c r="Q565" i="1" a="1"/>
  <c r="Q566" i="1" a="1"/>
  <c r="Q567" i="1" a="1"/>
  <c r="Q568" i="1" a="1"/>
  <c r="Q569" i="1" a="1"/>
  <c r="Q570" i="1" a="1"/>
  <c r="Q571" i="1" a="1"/>
  <c r="Q572" i="1" a="1"/>
  <c r="Q573" i="1" a="1"/>
  <c r="Q574" i="1" a="1"/>
  <c r="Q575" i="1" a="1"/>
  <c r="Q576" i="1" a="1"/>
  <c r="Q577" i="1" a="1"/>
  <c r="Q578" i="1" a="1"/>
  <c r="Q579" i="1" a="1"/>
  <c r="Q580" i="1" a="1"/>
  <c r="Q581" i="1" a="1"/>
  <c r="Q582" i="1" a="1"/>
  <c r="Q583" i="1" a="1"/>
  <c r="Q584" i="1" a="1"/>
  <c r="Q585" i="1" a="1"/>
  <c r="Q586" i="1" a="1"/>
  <c r="Q587" i="1" a="1"/>
  <c r="Q588" i="1" a="1"/>
  <c r="Q589" i="1" a="1"/>
  <c r="Q590" i="1" a="1"/>
  <c r="Q591" i="1" a="1"/>
  <c r="Q592" i="1" a="1"/>
  <c r="Q593" i="1" a="1"/>
  <c r="Q594" i="1" a="1"/>
  <c r="Q595" i="1" a="1"/>
  <c r="Q596" i="1" a="1"/>
  <c r="Q597" i="1" a="1"/>
  <c r="Q598" i="1" a="1"/>
  <c r="Q599" i="1" a="1"/>
  <c r="Q600" i="1" a="1"/>
  <c r="Q601" i="1" a="1"/>
  <c r="Q602" i="1" a="1"/>
  <c r="Q603" i="1" a="1"/>
  <c r="Q604" i="1" a="1"/>
  <c r="Q605" i="1" a="1"/>
  <c r="Q606" i="1" a="1"/>
  <c r="Q607" i="1" a="1"/>
  <c r="Q608" i="1" a="1"/>
  <c r="Q609" i="1" a="1"/>
  <c r="Q610" i="1" a="1"/>
  <c r="Q611" i="1" a="1"/>
  <c r="Q612" i="1" a="1"/>
  <c r="Q613" i="1" a="1"/>
  <c r="Q614" i="1" a="1"/>
  <c r="Q615" i="1" a="1"/>
  <c r="Q616" i="1" a="1"/>
  <c r="Q617" i="1" a="1"/>
  <c r="Q618" i="1" a="1"/>
  <c r="Q619" i="1" a="1"/>
  <c r="Q620" i="1" a="1"/>
  <c r="Q621" i="1" a="1"/>
  <c r="Q622" i="1" a="1"/>
  <c r="Q623" i="1" a="1"/>
  <c r="Q624" i="1" a="1"/>
  <c r="Q625" i="1" a="1"/>
  <c r="Q626" i="1" a="1"/>
  <c r="Q627" i="1" a="1"/>
  <c r="Q628" i="1" a="1"/>
  <c r="Q629" i="1" a="1"/>
  <c r="Q630" i="1" a="1"/>
  <c r="Q631" i="1" a="1"/>
  <c r="Q632" i="1" a="1"/>
  <c r="Q633" i="1" a="1"/>
  <c r="Q634" i="1" a="1"/>
  <c r="Q635" i="1" a="1"/>
  <c r="Q636" i="1" a="1"/>
  <c r="Q637" i="1" a="1"/>
  <c r="Q638" i="1" a="1"/>
  <c r="Q639" i="1" a="1"/>
  <c r="Q642" i="1" a="1"/>
  <c r="Q643" i="1" a="1"/>
  <c r="Q644" i="1" a="1"/>
  <c r="Q645" i="1" a="1"/>
  <c r="Q749" i="1" a="1"/>
  <c r="Q751" i="1" a="1"/>
  <c r="Q399" i="1" a="1"/>
  <c r="Q416" i="1" a="1"/>
  <c r="Q431" i="1" a="1"/>
  <c r="Q452" i="1" a="1"/>
  <c r="Q474" i="1" a="1"/>
  <c r="Q499" i="1" a="1"/>
  <c r="Q516" i="1" a="1"/>
  <c r="Q528" i="1" a="1"/>
  <c r="Q535" i="1" a="1"/>
  <c r="Q646" i="1" a="1"/>
  <c r="Q647" i="1" a="1"/>
  <c r="Q648" i="1" a="1"/>
  <c r="Q649" i="1" a="1"/>
  <c r="Q650" i="1" a="1"/>
  <c r="Q651" i="1" a="1"/>
  <c r="Q652" i="1" a="1"/>
  <c r="Q653" i="1" a="1"/>
  <c r="Q654" i="1" a="1"/>
  <c r="Q655" i="1" a="1"/>
  <c r="Q656" i="1" a="1"/>
  <c r="Q657" i="1" a="1"/>
  <c r="Q658" i="1" a="1"/>
  <c r="Q659" i="1" a="1"/>
  <c r="Q660" i="1" a="1"/>
  <c r="Q661" i="1" a="1"/>
  <c r="Q662" i="1" a="1"/>
  <c r="Q663" i="1" a="1"/>
  <c r="Q664" i="1" a="1"/>
  <c r="Q665" i="1" a="1"/>
  <c r="Q666" i="1" a="1"/>
  <c r="Q667" i="1" a="1"/>
  <c r="Q668" i="1" a="1"/>
  <c r="Q669" i="1" a="1"/>
  <c r="Q670" i="1" a="1"/>
  <c r="Q671" i="1" a="1"/>
  <c r="Q672" i="1" a="1"/>
  <c r="Q673" i="1" a="1"/>
  <c r="Q674" i="1" a="1"/>
  <c r="Q675" i="1" a="1"/>
  <c r="Q676" i="1" a="1"/>
  <c r="Q677" i="1" a="1"/>
  <c r="Q678" i="1" a="1"/>
  <c r="Q679" i="1" a="1"/>
  <c r="Q680" i="1" a="1"/>
  <c r="Q681" i="1" a="1"/>
  <c r="Q682" i="1" a="1"/>
  <c r="Q683" i="1" a="1"/>
  <c r="Q684" i="1" a="1"/>
  <c r="Q685" i="1" a="1"/>
  <c r="Q686" i="1" a="1"/>
  <c r="Q687" i="1" a="1"/>
  <c r="Q688" i="1" a="1"/>
  <c r="Q689" i="1" a="1"/>
  <c r="Q690" i="1" a="1"/>
  <c r="Q691" i="1" a="1"/>
  <c r="Q692" i="1" a="1"/>
  <c r="Q693" i="1" a="1"/>
  <c r="Q694" i="1" a="1"/>
  <c r="Q695" i="1" a="1"/>
  <c r="Q696" i="1" a="1"/>
  <c r="Q697" i="1" a="1"/>
  <c r="Q698" i="1" a="1"/>
  <c r="Q699" i="1" a="1"/>
  <c r="Q700" i="1" a="1"/>
  <c r="Q701" i="1" a="1"/>
  <c r="Q702" i="1" a="1"/>
  <c r="Q703" i="1" a="1"/>
  <c r="Q704" i="1" a="1"/>
  <c r="Q705" i="1" a="1"/>
  <c r="Q706" i="1" a="1"/>
  <c r="Q707" i="1" a="1"/>
  <c r="Q708" i="1" a="1"/>
  <c r="Q709" i="1" a="1"/>
  <c r="Q710" i="1" a="1"/>
  <c r="Q711" i="1" a="1"/>
  <c r="Q712" i="1" a="1"/>
  <c r="Q713" i="1" a="1"/>
  <c r="Q714" i="1" a="1"/>
  <c r="Q715" i="1" a="1"/>
  <c r="Q716" i="1" a="1"/>
  <c r="Q717" i="1" a="1"/>
  <c r="Q718" i="1" a="1"/>
  <c r="Q719" i="1" a="1"/>
  <c r="Q720" i="1" a="1"/>
  <c r="Q721" i="1" a="1"/>
  <c r="Q722" i="1" a="1"/>
  <c r="Q723" i="1" a="1"/>
  <c r="Q724" i="1" a="1"/>
  <c r="Q725" i="1" a="1"/>
  <c r="Q726" i="1" a="1"/>
  <c r="Q727" i="1" a="1"/>
  <c r="Q728" i="1" a="1"/>
  <c r="Q729" i="1" a="1"/>
  <c r="Q730" i="1" a="1"/>
  <c r="Q731" i="1" a="1"/>
  <c r="Q732" i="1" a="1"/>
  <c r="Q733" i="1" a="1"/>
  <c r="Q734" i="1" a="1"/>
  <c r="Q735" i="1" a="1"/>
  <c r="Q736" i="1" a="1"/>
  <c r="Q737" i="1" a="1"/>
  <c r="Q738" i="1" a="1"/>
  <c r="Q739" i="1" a="1"/>
  <c r="Q741" i="1" a="1"/>
  <c r="Q742" i="1" a="1"/>
  <c r="Q743" i="1" a="1"/>
  <c r="Q744" i="1" a="1"/>
  <c r="Q745" i="1" a="1"/>
  <c r="Q746" i="1" a="1"/>
  <c r="Q747" i="1" a="1"/>
  <c r="Q748" i="1" a="1"/>
  <c r="Q750" i="1" a="1"/>
  <c r="Q2" i="1" a="1"/>
  <c r="Q421" i="1" a="1"/>
  <c r="Q425" i="1" a="1"/>
  <c r="Q439" i="1" a="1"/>
  <c r="Q458" i="1" a="1"/>
  <c r="Q477" i="1" a="1"/>
  <c r="Q481" i="1" a="1"/>
  <c r="Q485" i="1" a="1"/>
  <c r="Q493" i="1" a="1"/>
  <c r="Q512" i="1" a="1"/>
  <c r="Q526" i="1" a="1"/>
  <c r="Q53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<sst xmlns="http://schemas.openxmlformats.org/spreadsheetml/2006/main" count="13858" uniqueCount="1087">
  <si>
    <t>Icono part.abiertas/comp.</t>
  </si>
  <si>
    <t>Asignación</t>
  </si>
  <si>
    <t>Nº documento</t>
  </si>
  <si>
    <t>División</t>
  </si>
  <si>
    <t>Clase de documento</t>
  </si>
  <si>
    <t>Fecha de documento</t>
  </si>
  <si>
    <t>Clave contabiliz.</t>
  </si>
  <si>
    <t>Importe en moneda local</t>
  </si>
  <si>
    <t>Moneda local</t>
  </si>
  <si>
    <t>Indicador impuestos</t>
  </si>
  <si>
    <t>Doc.compensación</t>
  </si>
  <si>
    <t>Nombre</t>
  </si>
  <si>
    <t>Documento compras</t>
  </si>
  <si>
    <t>Posición</t>
  </si>
  <si>
    <t/>
  </si>
  <si>
    <t>GR</t>
  </si>
  <si>
    <t>86</t>
  </si>
  <si>
    <t>ARS</t>
  </si>
  <si>
    <t>C1</t>
  </si>
  <si>
    <t>SUDAMERICANA CAMIONES SA</t>
  </si>
  <si>
    <t>4500138368</t>
  </si>
  <si>
    <t>20</t>
  </si>
  <si>
    <t>30</t>
  </si>
  <si>
    <t>50</t>
  </si>
  <si>
    <t>60</t>
  </si>
  <si>
    <t>70</t>
  </si>
  <si>
    <t>40</t>
  </si>
  <si>
    <t>5100001467</t>
  </si>
  <si>
    <t>RE</t>
  </si>
  <si>
    <t>RODRIGUEZ MARTINEZ EMILIO JOAQUIN</t>
  </si>
  <si>
    <t>4500116451</t>
  </si>
  <si>
    <t>5100001949</t>
  </si>
  <si>
    <t>DOBLE TRACCION SRL</t>
  </si>
  <si>
    <t>4500117899</t>
  </si>
  <si>
    <t>10</t>
  </si>
  <si>
    <t>5100002298</t>
  </si>
  <si>
    <t>1000</t>
  </si>
  <si>
    <t>C9</t>
  </si>
  <si>
    <t>LOPEZ RIOS FACUNDO GABRIE</t>
  </si>
  <si>
    <t>4500118735</t>
  </si>
  <si>
    <t>5100002668</t>
  </si>
  <si>
    <t>4500120029</t>
  </si>
  <si>
    <t>5100004150</t>
  </si>
  <si>
    <t>5100004195</t>
  </si>
  <si>
    <t>96</t>
  </si>
  <si>
    <t>5100004198</t>
  </si>
  <si>
    <t>5100004976</t>
  </si>
  <si>
    <t>AONA SA</t>
  </si>
  <si>
    <t>4500127644</t>
  </si>
  <si>
    <t>5100004980</t>
  </si>
  <si>
    <t>4500127645</t>
  </si>
  <si>
    <t>5100005190</t>
  </si>
  <si>
    <t>5100005409</t>
  </si>
  <si>
    <t>J.M.F. VIAL &amp; PARTS SAS</t>
  </si>
  <si>
    <t>4500128181</t>
  </si>
  <si>
    <t>5100005629</t>
  </si>
  <si>
    <t>2000</t>
  </si>
  <si>
    <t>GANGAS REYES MARCELO DAVID</t>
  </si>
  <si>
    <t>4500121227</t>
  </si>
  <si>
    <t>5100005860</t>
  </si>
  <si>
    <t>5100005861</t>
  </si>
  <si>
    <t>4500127646</t>
  </si>
  <si>
    <t>5100005862</t>
  </si>
  <si>
    <t>5100005863</t>
  </si>
  <si>
    <t>5100005864</t>
  </si>
  <si>
    <t>5100005866</t>
  </si>
  <si>
    <t>5100006116</t>
  </si>
  <si>
    <t>PINTURERIA CENTRAL SRL</t>
  </si>
  <si>
    <t>4500131732</t>
  </si>
  <si>
    <t>5100006500</t>
  </si>
  <si>
    <t>5100006501</t>
  </si>
  <si>
    <t>5100006502</t>
  </si>
  <si>
    <t>5100006873</t>
  </si>
  <si>
    <t>MEYNIEL S.R.L.</t>
  </si>
  <si>
    <t>4500132970</t>
  </si>
  <si>
    <t>5100007358</t>
  </si>
  <si>
    <t>4500133352</t>
  </si>
  <si>
    <t>4500133353</t>
  </si>
  <si>
    <t>4500133354</t>
  </si>
  <si>
    <t>5100007362</t>
  </si>
  <si>
    <t>5100007365</t>
  </si>
  <si>
    <t>5100007635</t>
  </si>
  <si>
    <t>IGARRETA MAQUINAS S.A.</t>
  </si>
  <si>
    <t>4500123815</t>
  </si>
  <si>
    <t>5100007636</t>
  </si>
  <si>
    <t>4500121760</t>
  </si>
  <si>
    <t>5100007747</t>
  </si>
  <si>
    <t>5100008175</t>
  </si>
  <si>
    <t>5100008381</t>
  </si>
  <si>
    <t>SOSTEN S.A.</t>
  </si>
  <si>
    <t>4500133351</t>
  </si>
  <si>
    <t>5100008736</t>
  </si>
  <si>
    <t>BLASTING S.A.</t>
  </si>
  <si>
    <t>4500137849</t>
  </si>
  <si>
    <t>5100008798</t>
  </si>
  <si>
    <t>ESCANDINAVIA DEL PLATA SA</t>
  </si>
  <si>
    <t>4500133374</t>
  </si>
  <si>
    <t>5100008913</t>
  </si>
  <si>
    <t>5100008957</t>
  </si>
  <si>
    <t>HOUSE SERVICIOS E INSUMOS S. A. S.</t>
  </si>
  <si>
    <t>4500139476</t>
  </si>
  <si>
    <t>5100008976</t>
  </si>
  <si>
    <t>AC SAT S.R.L.</t>
  </si>
  <si>
    <t>4500132946</t>
  </si>
  <si>
    <t>PC SHOWS SRL</t>
  </si>
  <si>
    <t>FERMEB SAS</t>
  </si>
  <si>
    <t>5000001878</t>
  </si>
  <si>
    <t>WE</t>
  </si>
  <si>
    <t>COMBUSTIBLES BARCELO S.R.L.</t>
  </si>
  <si>
    <t>4500116800</t>
  </si>
  <si>
    <t>5000002293</t>
  </si>
  <si>
    <t>5000002602</t>
  </si>
  <si>
    <t>DISEL CENTRO S.A.</t>
  </si>
  <si>
    <t>4500118654</t>
  </si>
  <si>
    <t>5000002645</t>
  </si>
  <si>
    <t>5000002686</t>
  </si>
  <si>
    <t>ELEC.PELLEGRINI DE OCCHI Y ORO</t>
  </si>
  <si>
    <t>4500118886</t>
  </si>
  <si>
    <t>5000002733</t>
  </si>
  <si>
    <t>4500119034</t>
  </si>
  <si>
    <t>5000002766</t>
  </si>
  <si>
    <t>RAIZEN ARGENTINA S.A.U.</t>
  </si>
  <si>
    <t>4500119045</t>
  </si>
  <si>
    <t>5000002793</t>
  </si>
  <si>
    <t>4500119174</t>
  </si>
  <si>
    <t>5000002811</t>
  </si>
  <si>
    <t>REMOLQUES OMBU SA</t>
  </si>
  <si>
    <t>4500119029</t>
  </si>
  <si>
    <t>4500119032</t>
  </si>
  <si>
    <t>5000002818</t>
  </si>
  <si>
    <t>BASUALDO NECCHI MARCOS GABRIEL</t>
  </si>
  <si>
    <t>4500119159</t>
  </si>
  <si>
    <t>5000002851</t>
  </si>
  <si>
    <t>4500119263</t>
  </si>
  <si>
    <t>5000003062</t>
  </si>
  <si>
    <t>4500119413</t>
  </si>
  <si>
    <t>5000003194</t>
  </si>
  <si>
    <t>4500120245</t>
  </si>
  <si>
    <t>5000003196</t>
  </si>
  <si>
    <t>M D AUTOELEVADORES Y EQUIPOS S</t>
  </si>
  <si>
    <t>4500119953</t>
  </si>
  <si>
    <t>5000003199</t>
  </si>
  <si>
    <t>4500120186</t>
  </si>
  <si>
    <t>5000003245</t>
  </si>
  <si>
    <t>4500120358</t>
  </si>
  <si>
    <t>5000003322</t>
  </si>
  <si>
    <t>NEUMATICOS GOODYEAR S R L</t>
  </si>
  <si>
    <t>4500118906</t>
  </si>
  <si>
    <t>5000003365</t>
  </si>
  <si>
    <t>4500120630</t>
  </si>
  <si>
    <t>5000003448</t>
  </si>
  <si>
    <t>5000003510</t>
  </si>
  <si>
    <t>4500120038</t>
  </si>
  <si>
    <t>5000003563</t>
  </si>
  <si>
    <t>5000003601</t>
  </si>
  <si>
    <t>STYLUS S.A</t>
  </si>
  <si>
    <t>4500118604</t>
  </si>
  <si>
    <t>5000003613</t>
  </si>
  <si>
    <t>5000003715</t>
  </si>
  <si>
    <t>TURBOS T&amp;T S.R.L</t>
  </si>
  <si>
    <t>4500118885</t>
  </si>
  <si>
    <t>5000003753</t>
  </si>
  <si>
    <t>5000003754</t>
  </si>
  <si>
    <t>FINNING ARGENTINA S.A.</t>
  </si>
  <si>
    <t>4500117803</t>
  </si>
  <si>
    <t>5000003845</t>
  </si>
  <si>
    <t>4500122092</t>
  </si>
  <si>
    <t>5000003916</t>
  </si>
  <si>
    <t>5000003951</t>
  </si>
  <si>
    <t>DIESEL LANGE S.R.L</t>
  </si>
  <si>
    <t>4500122211</t>
  </si>
  <si>
    <t>5000003952</t>
  </si>
  <si>
    <t>5000003961</t>
  </si>
  <si>
    <t>5000004079</t>
  </si>
  <si>
    <t>5000004115</t>
  </si>
  <si>
    <t>5000004116</t>
  </si>
  <si>
    <t>SAKURA MOTORS S. A.</t>
  </si>
  <si>
    <t>4500121991</t>
  </si>
  <si>
    <t>5000004278</t>
  </si>
  <si>
    <t>5000004291</t>
  </si>
  <si>
    <t>4500119117</t>
  </si>
  <si>
    <t>5000004320</t>
  </si>
  <si>
    <t>4500123389</t>
  </si>
  <si>
    <t>5000004357</t>
  </si>
  <si>
    <t>5000004368</t>
  </si>
  <si>
    <t>GIMENEZ JUAN OMAR</t>
  </si>
  <si>
    <t>4500118682</t>
  </si>
  <si>
    <t>5000004398</t>
  </si>
  <si>
    <t>5000004404</t>
  </si>
  <si>
    <t>5000004581</t>
  </si>
  <si>
    <t>5000004695</t>
  </si>
  <si>
    <t>5000004722</t>
  </si>
  <si>
    <t>4500122735</t>
  </si>
  <si>
    <t>110</t>
  </si>
  <si>
    <t>5000004727</t>
  </si>
  <si>
    <t>4500124449</t>
  </si>
  <si>
    <t>5000004731</t>
  </si>
  <si>
    <t>5000004759</t>
  </si>
  <si>
    <t>4500124613</t>
  </si>
  <si>
    <t>5000004770</t>
  </si>
  <si>
    <t>5000004932</t>
  </si>
  <si>
    <t>5000004935</t>
  </si>
  <si>
    <t>5000004953</t>
  </si>
  <si>
    <t>5000005002</t>
  </si>
  <si>
    <t>4500124801</t>
  </si>
  <si>
    <t>5000005024</t>
  </si>
  <si>
    <t>4500125282</t>
  </si>
  <si>
    <t>5000005079</t>
  </si>
  <si>
    <t>5000005080</t>
  </si>
  <si>
    <t>5000005203</t>
  </si>
  <si>
    <t>5000005284</t>
  </si>
  <si>
    <t>BIOENDESA SA</t>
  </si>
  <si>
    <t>4500124206</t>
  </si>
  <si>
    <t>5000005302</t>
  </si>
  <si>
    <t>4500125926</t>
  </si>
  <si>
    <t>5000005305</t>
  </si>
  <si>
    <t>PROTEC S.R.L.</t>
  </si>
  <si>
    <t>4500124710</t>
  </si>
  <si>
    <t>5000005306</t>
  </si>
  <si>
    <t>4500124464</t>
  </si>
  <si>
    <t>5000005360</t>
  </si>
  <si>
    <t>130</t>
  </si>
  <si>
    <t>5000005376</t>
  </si>
  <si>
    <t>5000005377</t>
  </si>
  <si>
    <t>5000005385</t>
  </si>
  <si>
    <t>5000005433</t>
  </si>
  <si>
    <t>4500126508</t>
  </si>
  <si>
    <t>5000005438</t>
  </si>
  <si>
    <t>BETA S.A.</t>
  </si>
  <si>
    <t>4500126230</t>
  </si>
  <si>
    <t>5000005476</t>
  </si>
  <si>
    <t>5000005581</t>
  </si>
  <si>
    <t>4500126792</t>
  </si>
  <si>
    <t>5000005603</t>
  </si>
  <si>
    <t>5000005609</t>
  </si>
  <si>
    <t>5000005690</t>
  </si>
  <si>
    <t>5000005693</t>
  </si>
  <si>
    <t>4500127012</t>
  </si>
  <si>
    <t>5000005734</t>
  </si>
  <si>
    <t>4500127160</t>
  </si>
  <si>
    <t>5000005736</t>
  </si>
  <si>
    <t>5000005738</t>
  </si>
  <si>
    <t>4500127283</t>
  </si>
  <si>
    <t>5000005776</t>
  </si>
  <si>
    <t>4500127571</t>
  </si>
  <si>
    <t>5000005908</t>
  </si>
  <si>
    <t>5000005909</t>
  </si>
  <si>
    <t>5000005917</t>
  </si>
  <si>
    <t>5000005932</t>
  </si>
  <si>
    <t>5000005944</t>
  </si>
  <si>
    <t>5000005972</t>
  </si>
  <si>
    <t>4500127903</t>
  </si>
  <si>
    <t>5000005987</t>
  </si>
  <si>
    <t>5000006030</t>
  </si>
  <si>
    <t>CABRAL LAUTARO MIGUEL</t>
  </si>
  <si>
    <t>4500124433</t>
  </si>
  <si>
    <t>5000006056</t>
  </si>
  <si>
    <t>4500124179</t>
  </si>
  <si>
    <t>5000006109</t>
  </si>
  <si>
    <t>5000006140</t>
  </si>
  <si>
    <t>4500128345</t>
  </si>
  <si>
    <t>5000006159</t>
  </si>
  <si>
    <t>5000006178</t>
  </si>
  <si>
    <t>SERVICIOS VIALES DE STA. FE SA</t>
  </si>
  <si>
    <t>4500127486</t>
  </si>
  <si>
    <t>5000006237</t>
  </si>
  <si>
    <t>4500128830</t>
  </si>
  <si>
    <t>5000006263</t>
  </si>
  <si>
    <t>4500129005</t>
  </si>
  <si>
    <t>5000006292</t>
  </si>
  <si>
    <t>5000006309</t>
  </si>
  <si>
    <t>5000006313</t>
  </si>
  <si>
    <t>5000006392</t>
  </si>
  <si>
    <t>4500124171</t>
  </si>
  <si>
    <t>5000006425</t>
  </si>
  <si>
    <t>4500129081</t>
  </si>
  <si>
    <t>5000006453</t>
  </si>
  <si>
    <t>5000006597</t>
  </si>
  <si>
    <t>5000006627</t>
  </si>
  <si>
    <t>MEI GROUP PTY. LTD.SUC. ARG.</t>
  </si>
  <si>
    <t>4500126654</t>
  </si>
  <si>
    <t>5000006667</t>
  </si>
  <si>
    <t>5000006692</t>
  </si>
  <si>
    <t>5000006695</t>
  </si>
  <si>
    <t>GINER CARLOS ALBERTO</t>
  </si>
  <si>
    <t>4500121498</t>
  </si>
  <si>
    <t>5000006696</t>
  </si>
  <si>
    <t>ANDRE FRENO S.R.L.</t>
  </si>
  <si>
    <t>4500121260</t>
  </si>
  <si>
    <t>5000006699</t>
  </si>
  <si>
    <t>LIRUSSI ARAGON FERNANDO ARIEL</t>
  </si>
  <si>
    <t>4500123369</t>
  </si>
  <si>
    <t>5000006700</t>
  </si>
  <si>
    <t>4500115516</t>
  </si>
  <si>
    <t>5000006701</t>
  </si>
  <si>
    <t>4500116082</t>
  </si>
  <si>
    <t>5000006705</t>
  </si>
  <si>
    <t>ANNCAR EQUIPMENT &amp; PARTS</t>
  </si>
  <si>
    <t>4500114356</t>
  </si>
  <si>
    <t>5000006735</t>
  </si>
  <si>
    <t>5000006796</t>
  </si>
  <si>
    <t>5000006803</t>
  </si>
  <si>
    <t>FIPH SA</t>
  </si>
  <si>
    <t>4500130496</t>
  </si>
  <si>
    <t>5000006886</t>
  </si>
  <si>
    <t>ANTINORO FRANCISCO ERNESTO</t>
  </si>
  <si>
    <t>4500130453</t>
  </si>
  <si>
    <t>5000006887</t>
  </si>
  <si>
    <t>4500130171</t>
  </si>
  <si>
    <t>5000006926</t>
  </si>
  <si>
    <t>4500128223</t>
  </si>
  <si>
    <t>5000006938</t>
  </si>
  <si>
    <t>4500129412</t>
  </si>
  <si>
    <t>5000006939</t>
  </si>
  <si>
    <t>5000006940</t>
  </si>
  <si>
    <t>5000006941</t>
  </si>
  <si>
    <t>5000006953</t>
  </si>
  <si>
    <t>4500111732</t>
  </si>
  <si>
    <t>5000006954</t>
  </si>
  <si>
    <t>4500111819</t>
  </si>
  <si>
    <t>5000007023</t>
  </si>
  <si>
    <t>5000007028</t>
  </si>
  <si>
    <t>5000007032</t>
  </si>
  <si>
    <t>4500130773</t>
  </si>
  <si>
    <t>5000007043</t>
  </si>
  <si>
    <t>TRIGUY Y LOMBARDI SRL</t>
  </si>
  <si>
    <t>4500131301</t>
  </si>
  <si>
    <t>5000007057</t>
  </si>
  <si>
    <t>4500131356</t>
  </si>
  <si>
    <t>5000007117</t>
  </si>
  <si>
    <t>RUSSO E HIJAS SERV.LOG Y T SRL</t>
  </si>
  <si>
    <t>4500101237</t>
  </si>
  <si>
    <t>5000007122</t>
  </si>
  <si>
    <t>5000007127</t>
  </si>
  <si>
    <t>5000007142</t>
  </si>
  <si>
    <t>NEUMAGOM SAS</t>
  </si>
  <si>
    <t>4500131599</t>
  </si>
  <si>
    <t>5000007164</t>
  </si>
  <si>
    <t>4500128735</t>
  </si>
  <si>
    <t>5000007172</t>
  </si>
  <si>
    <t>5000007196</t>
  </si>
  <si>
    <t>5000007210</t>
  </si>
  <si>
    <t>4500130855</t>
  </si>
  <si>
    <t>80</t>
  </si>
  <si>
    <t>90</t>
  </si>
  <si>
    <t>100</t>
  </si>
  <si>
    <t>170</t>
  </si>
  <si>
    <t>180</t>
  </si>
  <si>
    <t>210</t>
  </si>
  <si>
    <t>230</t>
  </si>
  <si>
    <t>240</t>
  </si>
  <si>
    <t>250</t>
  </si>
  <si>
    <t>260</t>
  </si>
  <si>
    <t>5000007247</t>
  </si>
  <si>
    <t>4500131884</t>
  </si>
  <si>
    <t>5000007275</t>
  </si>
  <si>
    <t>5000007279</t>
  </si>
  <si>
    <t>SEGUFER S.A.</t>
  </si>
  <si>
    <t>4500131965</t>
  </si>
  <si>
    <t>5000007381</t>
  </si>
  <si>
    <t>4500130238</t>
  </si>
  <si>
    <t>5000007397</t>
  </si>
  <si>
    <t>MADERAS GÜIDO SRL</t>
  </si>
  <si>
    <t>4500131696</t>
  </si>
  <si>
    <t>5000007422</t>
  </si>
  <si>
    <t>4500132257</t>
  </si>
  <si>
    <t>5000007428</t>
  </si>
  <si>
    <t>5000007512</t>
  </si>
  <si>
    <t>CUPER S. R. L.</t>
  </si>
  <si>
    <t>4500121873</t>
  </si>
  <si>
    <t>5000007513</t>
  </si>
  <si>
    <t>5000007609</t>
  </si>
  <si>
    <t>5000007721</t>
  </si>
  <si>
    <t>4500133177</t>
  </si>
  <si>
    <t>5000007730</t>
  </si>
  <si>
    <t>4500130404</t>
  </si>
  <si>
    <t>5000007742</t>
  </si>
  <si>
    <t>4500132137</t>
  </si>
  <si>
    <t>5000007748</t>
  </si>
  <si>
    <t>4500133346</t>
  </si>
  <si>
    <t>5000007762</t>
  </si>
  <si>
    <t>5000007790</t>
  </si>
  <si>
    <t>4500133462</t>
  </si>
  <si>
    <t>5000007793</t>
  </si>
  <si>
    <t>5000007819</t>
  </si>
  <si>
    <t>4500133437</t>
  </si>
  <si>
    <t>5000007903</t>
  </si>
  <si>
    <t>4500132833</t>
  </si>
  <si>
    <t>5000007907</t>
  </si>
  <si>
    <t>ROYON HNOS SRL</t>
  </si>
  <si>
    <t>4500132162</t>
  </si>
  <si>
    <t>5000007942</t>
  </si>
  <si>
    <t>MILLENNIUM MACHINERY P&amp;S, CORP</t>
  </si>
  <si>
    <t>4500116389</t>
  </si>
  <si>
    <t>5000007965</t>
  </si>
  <si>
    <t>5000008012</t>
  </si>
  <si>
    <t>5000008017</t>
  </si>
  <si>
    <t>5000008059</t>
  </si>
  <si>
    <t>5000008079</t>
  </si>
  <si>
    <t>4500132791</t>
  </si>
  <si>
    <t>120</t>
  </si>
  <si>
    <t>140</t>
  </si>
  <si>
    <t>150</t>
  </si>
  <si>
    <t>160</t>
  </si>
  <si>
    <t>190</t>
  </si>
  <si>
    <t>200</t>
  </si>
  <si>
    <t>5000008092</t>
  </si>
  <si>
    <t>5000008141</t>
  </si>
  <si>
    <t>5000008179</t>
  </si>
  <si>
    <t>5000008180</t>
  </si>
  <si>
    <t>5000008181</t>
  </si>
  <si>
    <t>5000008210</t>
  </si>
  <si>
    <t>5000008257</t>
  </si>
  <si>
    <t>4500124041</t>
  </si>
  <si>
    <t>5000008270</t>
  </si>
  <si>
    <t>5000008363</t>
  </si>
  <si>
    <t>5000008371</t>
  </si>
  <si>
    <t>NEUMATICOS VERONA S.R.L.</t>
  </si>
  <si>
    <t>4500134438</t>
  </si>
  <si>
    <t>5000008374</t>
  </si>
  <si>
    <t>4500134821</t>
  </si>
  <si>
    <t>5000008409</t>
  </si>
  <si>
    <t>4500134823</t>
  </si>
  <si>
    <t>5000008416</t>
  </si>
  <si>
    <t>AURELIA SACIYF</t>
  </si>
  <si>
    <t>4500133974</t>
  </si>
  <si>
    <t>5000008421</t>
  </si>
  <si>
    <t>5000008462</t>
  </si>
  <si>
    <t>4500134021</t>
  </si>
  <si>
    <t>5000008465</t>
  </si>
  <si>
    <t>4500135275</t>
  </si>
  <si>
    <t>5000008499</t>
  </si>
  <si>
    <t>5000008511</t>
  </si>
  <si>
    <t>5000008536</t>
  </si>
  <si>
    <t>4500135529</t>
  </si>
  <si>
    <t>5000008588</t>
  </si>
  <si>
    <t>4500135282</t>
  </si>
  <si>
    <t>5000008589</t>
  </si>
  <si>
    <t>5000008610</t>
  </si>
  <si>
    <t>4500135377</t>
  </si>
  <si>
    <t>5000008640</t>
  </si>
  <si>
    <t>220</t>
  </si>
  <si>
    <t>270</t>
  </si>
  <si>
    <t>280</t>
  </si>
  <si>
    <t>5000008686</t>
  </si>
  <si>
    <t>5000008693</t>
  </si>
  <si>
    <t>5000008756</t>
  </si>
  <si>
    <t>LENOR SRL</t>
  </si>
  <si>
    <t>4500134818</t>
  </si>
  <si>
    <t>5000008810</t>
  </si>
  <si>
    <t>5000008848</t>
  </si>
  <si>
    <t>PIZZOLON PIETRO S.A.</t>
  </si>
  <si>
    <t>4500136088</t>
  </si>
  <si>
    <t>5000008851</t>
  </si>
  <si>
    <t>4500136093</t>
  </si>
  <si>
    <t>5000008873</t>
  </si>
  <si>
    <t>5000008962</t>
  </si>
  <si>
    <t>5000009008</t>
  </si>
  <si>
    <t>4500136505</t>
  </si>
  <si>
    <t>5000009016</t>
  </si>
  <si>
    <t>5000009079</t>
  </si>
  <si>
    <t>5000009107</t>
  </si>
  <si>
    <t>4500136941</t>
  </si>
  <si>
    <t>5000009126</t>
  </si>
  <si>
    <t>GILIGROUP S.A.S.</t>
  </si>
  <si>
    <t>4500135853</t>
  </si>
  <si>
    <t>5000009141</t>
  </si>
  <si>
    <t>4500136044</t>
  </si>
  <si>
    <t>5000009150</t>
  </si>
  <si>
    <t>4500137177</t>
  </si>
  <si>
    <t>5000009178</t>
  </si>
  <si>
    <t>4500135723</t>
  </si>
  <si>
    <t>5000009213</t>
  </si>
  <si>
    <t>REUTEMANN AUTOMOTORES S.A.</t>
  </si>
  <si>
    <t>4500137076</t>
  </si>
  <si>
    <t>5000009234</t>
  </si>
  <si>
    <t>RODAMIENTOS CUYO SEL</t>
  </si>
  <si>
    <t>4500136781</t>
  </si>
  <si>
    <t>5000009240</t>
  </si>
  <si>
    <t>4500137004</t>
  </si>
  <si>
    <t>5000009242</t>
  </si>
  <si>
    <t>4500135714</t>
  </si>
  <si>
    <t>5000009243</t>
  </si>
  <si>
    <t>4500136700</t>
  </si>
  <si>
    <t>5000009244</t>
  </si>
  <si>
    <t>5000009245</t>
  </si>
  <si>
    <t>DEVOL S.A.</t>
  </si>
  <si>
    <t>4500136757</t>
  </si>
  <si>
    <t>5000009253</t>
  </si>
  <si>
    <t>AGU GUILLERMO ANDRES</t>
  </si>
  <si>
    <t>4500136909</t>
  </si>
  <si>
    <t>5000009284</t>
  </si>
  <si>
    <t>4500136651</t>
  </si>
  <si>
    <t>5000009293</t>
  </si>
  <si>
    <t>4500137133</t>
  </si>
  <si>
    <t>5000009327</t>
  </si>
  <si>
    <t>TRUCKSTORE S.A.</t>
  </si>
  <si>
    <t>4500137328</t>
  </si>
  <si>
    <t>5000009330</t>
  </si>
  <si>
    <t>5000009332</t>
  </si>
  <si>
    <t>DBT S.A.</t>
  </si>
  <si>
    <t>4500136756</t>
  </si>
  <si>
    <t>5000009351</t>
  </si>
  <si>
    <t>4500136787</t>
  </si>
  <si>
    <t>5000009374</t>
  </si>
  <si>
    <t>5000009393</t>
  </si>
  <si>
    <t>YPF S.A.</t>
  </si>
  <si>
    <t>4500136323</t>
  </si>
  <si>
    <t>5000009396</t>
  </si>
  <si>
    <t>5000009404</t>
  </si>
  <si>
    <t>4500136936</t>
  </si>
  <si>
    <t>5000009479</t>
  </si>
  <si>
    <t>4500137334</t>
  </si>
  <si>
    <t>5000009505</t>
  </si>
  <si>
    <t>5000009512</t>
  </si>
  <si>
    <t>5000009513</t>
  </si>
  <si>
    <t>5000009518</t>
  </si>
  <si>
    <t>RODAMAR SRL</t>
  </si>
  <si>
    <t>4500137704</t>
  </si>
  <si>
    <t>5000009556</t>
  </si>
  <si>
    <t>AGUDO DOHMEN MARIA ROMINA</t>
  </si>
  <si>
    <t>4500136665</t>
  </si>
  <si>
    <t>5000009557</t>
  </si>
  <si>
    <t>PIACENZA SRL</t>
  </si>
  <si>
    <t>4500134647</t>
  </si>
  <si>
    <t>5000009562</t>
  </si>
  <si>
    <t>ROCA FUNES MARCELO SEBASTIAN</t>
  </si>
  <si>
    <t>4500134184</t>
  </si>
  <si>
    <t>5000009616</t>
  </si>
  <si>
    <t>4500138066</t>
  </si>
  <si>
    <t>5000009626</t>
  </si>
  <si>
    <t>5000009634</t>
  </si>
  <si>
    <t>LACIAR LEANDRO ADOLFO</t>
  </si>
  <si>
    <t>4500133325</t>
  </si>
  <si>
    <t>5000009661</t>
  </si>
  <si>
    <t>PARANA MAQUINARIAS SRL</t>
  </si>
  <si>
    <t>4500138129</t>
  </si>
  <si>
    <t>5000009665</t>
  </si>
  <si>
    <t>4500138146</t>
  </si>
  <si>
    <t>5000009698</t>
  </si>
  <si>
    <t>5000009731</t>
  </si>
  <si>
    <t>4500137996</t>
  </si>
  <si>
    <t>5000009739</t>
  </si>
  <si>
    <t>4500137641</t>
  </si>
  <si>
    <t>5000009750</t>
  </si>
  <si>
    <t>4500137624</t>
  </si>
  <si>
    <t>5000009752</t>
  </si>
  <si>
    <t>ALL DRILL S.A.</t>
  </si>
  <si>
    <t>4500129943</t>
  </si>
  <si>
    <t>5000009763</t>
  </si>
  <si>
    <t>4500137435</t>
  </si>
  <si>
    <t>5000009841</t>
  </si>
  <si>
    <t>MAXFA SA</t>
  </si>
  <si>
    <t>4500138318</t>
  </si>
  <si>
    <t>5000009849</t>
  </si>
  <si>
    <t>OSVALDO L.SANTILLI E HIJOS S.A</t>
  </si>
  <si>
    <t>4500137136</t>
  </si>
  <si>
    <t>5000009851</t>
  </si>
  <si>
    <t>DERGAM SRL</t>
  </si>
  <si>
    <t>4500124519</t>
  </si>
  <si>
    <t>5000009853</t>
  </si>
  <si>
    <t>LA PLATENSE SA</t>
  </si>
  <si>
    <t>4500138680</t>
  </si>
  <si>
    <t>5000009875</t>
  </si>
  <si>
    <t>4500137245</t>
  </si>
  <si>
    <t>5000009892</t>
  </si>
  <si>
    <t>4500133441</t>
  </si>
  <si>
    <t>5000009916</t>
  </si>
  <si>
    <t>SPEED BUSINESS S. A.</t>
  </si>
  <si>
    <t>4500138749</t>
  </si>
  <si>
    <t>5000009922</t>
  </si>
  <si>
    <t>4500138521</t>
  </si>
  <si>
    <t>5000009960</t>
  </si>
  <si>
    <t>4500138053</t>
  </si>
  <si>
    <t>5000009967</t>
  </si>
  <si>
    <t>4500138045</t>
  </si>
  <si>
    <t>5000009979</t>
  </si>
  <si>
    <t>4500137727</t>
  </si>
  <si>
    <t>5000009984</t>
  </si>
  <si>
    <t>5000010016</t>
  </si>
  <si>
    <t>4500138709</t>
  </si>
  <si>
    <t>5000010017</t>
  </si>
  <si>
    <t>5000010040</t>
  </si>
  <si>
    <t>CALZADOS ARGENTINOS SA</t>
  </si>
  <si>
    <t>4500136729</t>
  </si>
  <si>
    <t>5000010054</t>
  </si>
  <si>
    <t>OLIVARES ANTONIO ALBERTO</t>
  </si>
  <si>
    <t>4500132971</t>
  </si>
  <si>
    <t>5000010055</t>
  </si>
  <si>
    <t>5000010062</t>
  </si>
  <si>
    <t>PASFERR ENERGY SRL</t>
  </si>
  <si>
    <t>4500135793</t>
  </si>
  <si>
    <t>5000010067</t>
  </si>
  <si>
    <t>4500134505</t>
  </si>
  <si>
    <t>5000010070</t>
  </si>
  <si>
    <t>5000010096</t>
  </si>
  <si>
    <t>5000010117</t>
  </si>
  <si>
    <t>4500136956</t>
  </si>
  <si>
    <t>5000010131</t>
  </si>
  <si>
    <t>4500136918</t>
  </si>
  <si>
    <t>5000010150</t>
  </si>
  <si>
    <t>4500137511</t>
  </si>
  <si>
    <t>5000010176</t>
  </si>
  <si>
    <t>5000010211</t>
  </si>
  <si>
    <t>5000010214</t>
  </si>
  <si>
    <t>4500136954</t>
  </si>
  <si>
    <t>5000010233</t>
  </si>
  <si>
    <t>LOOPING REPUESTOS SOCIEDAD ANONIMA</t>
  </si>
  <si>
    <t>4500138667</t>
  </si>
  <si>
    <t>5000010234</t>
  </si>
  <si>
    <t>4500136574</t>
  </si>
  <si>
    <t>5000010249</t>
  </si>
  <si>
    <t>PREAR MINING SAS</t>
  </si>
  <si>
    <t>4500136879</t>
  </si>
  <si>
    <t>5000010251</t>
  </si>
  <si>
    <t>4500139503</t>
  </si>
  <si>
    <t>TRAVEL FILTERS SRL</t>
  </si>
  <si>
    <t>5000010266</t>
  </si>
  <si>
    <t>4500139527</t>
  </si>
  <si>
    <t>5000010267</t>
  </si>
  <si>
    <t>4500139382</t>
  </si>
  <si>
    <t>5000010268</t>
  </si>
  <si>
    <t>CALINS SA</t>
  </si>
  <si>
    <t>4500139173</t>
  </si>
  <si>
    <t>5000010271</t>
  </si>
  <si>
    <t>5000010312</t>
  </si>
  <si>
    <t>4500134646</t>
  </si>
  <si>
    <t>5000010315</t>
  </si>
  <si>
    <t>5000010323</t>
  </si>
  <si>
    <t>4500139134</t>
  </si>
  <si>
    <t>5000010359</t>
  </si>
  <si>
    <t>MILLA MAR DEL PLATA S.A.</t>
  </si>
  <si>
    <t>4500136490</t>
  </si>
  <si>
    <t>5000010360</t>
  </si>
  <si>
    <t>4500136673</t>
  </si>
  <si>
    <t>5000010368</t>
  </si>
  <si>
    <t>4500137240</t>
  </si>
  <si>
    <t>5000010369</t>
  </si>
  <si>
    <t>MIGUEL ANGEL ALVAREZ</t>
  </si>
  <si>
    <t>4500120869</t>
  </si>
  <si>
    <t>5000010370</t>
  </si>
  <si>
    <t>4500136923</t>
  </si>
  <si>
    <t>5000010372</t>
  </si>
  <si>
    <t>5000010380</t>
  </si>
  <si>
    <t>4500138131</t>
  </si>
  <si>
    <t>5000010384</t>
  </si>
  <si>
    <t>5000010385</t>
  </si>
  <si>
    <t>5000010407</t>
  </si>
  <si>
    <t>4500139182</t>
  </si>
  <si>
    <t>5000010414</t>
  </si>
  <si>
    <t>RAMOS ROBERTO DANIEL</t>
  </si>
  <si>
    <t>4500139149</t>
  </si>
  <si>
    <t>5000010428</t>
  </si>
  <si>
    <t>4500139204</t>
  </si>
  <si>
    <t>5000010429</t>
  </si>
  <si>
    <t>CARDOSO JOSE DANIEL</t>
  </si>
  <si>
    <t>4500101570</t>
  </si>
  <si>
    <t>5000010430</t>
  </si>
  <si>
    <t>DOMINGUEZ ELIAS IVAN</t>
  </si>
  <si>
    <t>4500132661</t>
  </si>
  <si>
    <t>5000010431</t>
  </si>
  <si>
    <t>CRIMALDI BRUNO</t>
  </si>
  <si>
    <t>4500124266</t>
  </si>
  <si>
    <t>5000010432</t>
  </si>
  <si>
    <t>SAVE TRACK S.A.</t>
  </si>
  <si>
    <t>4500132459</t>
  </si>
  <si>
    <t>5000010440</t>
  </si>
  <si>
    <t>5000010442</t>
  </si>
  <si>
    <t>4500139427</t>
  </si>
  <si>
    <t>5000010447</t>
  </si>
  <si>
    <t>5000010448</t>
  </si>
  <si>
    <t>DANIEL SORIN E HIJOS SRL</t>
  </si>
  <si>
    <t>4500137110</t>
  </si>
  <si>
    <t>5000010453</t>
  </si>
  <si>
    <t>4500139401</t>
  </si>
  <si>
    <t>5000010462</t>
  </si>
  <si>
    <t>4500139127</t>
  </si>
  <si>
    <t>5000010463</t>
  </si>
  <si>
    <t>MARPAOL S.R.L.</t>
  </si>
  <si>
    <t>4500139888</t>
  </si>
  <si>
    <t>5000010465</t>
  </si>
  <si>
    <t>5000010466</t>
  </si>
  <si>
    <t>4500138117</t>
  </si>
  <si>
    <t>5000010467</t>
  </si>
  <si>
    <t>4500137178</t>
  </si>
  <si>
    <t>5000010469</t>
  </si>
  <si>
    <t>GRUPO SICCTOP S.R.L.</t>
  </si>
  <si>
    <t>4500117334</t>
  </si>
  <si>
    <t>5000010471</t>
  </si>
  <si>
    <t>4500139311</t>
  </si>
  <si>
    <t>5000010474</t>
  </si>
  <si>
    <t>4500133118</t>
  </si>
  <si>
    <t>5000010475</t>
  </si>
  <si>
    <t>4500139738</t>
  </si>
  <si>
    <t>5000010476</t>
  </si>
  <si>
    <t>4500139774</t>
  </si>
  <si>
    <t>5000010479</t>
  </si>
  <si>
    <t>REHABILITAR SAN JUAN SRL</t>
  </si>
  <si>
    <t>4500134449</t>
  </si>
  <si>
    <t>5000010480</t>
  </si>
  <si>
    <t>4500139819</t>
  </si>
  <si>
    <t>5000010483</t>
  </si>
  <si>
    <t>4500139027</t>
  </si>
  <si>
    <t>C25</t>
  </si>
  <si>
    <t>C04</t>
  </si>
  <si>
    <t>EFO</t>
  </si>
  <si>
    <t>C03</t>
  </si>
  <si>
    <t>C26</t>
  </si>
  <si>
    <t>C43</t>
  </si>
  <si>
    <t>C07</t>
  </si>
  <si>
    <t>C21</t>
  </si>
  <si>
    <t>C28</t>
  </si>
  <si>
    <t>C39</t>
  </si>
  <si>
    <t>C29</t>
  </si>
  <si>
    <t>C13</t>
  </si>
  <si>
    <t>C17</t>
  </si>
  <si>
    <t>C18</t>
  </si>
  <si>
    <t>L02</t>
  </si>
  <si>
    <t>L01</t>
  </si>
  <si>
    <t>C01</t>
  </si>
  <si>
    <t>C50</t>
  </si>
  <si>
    <t>379</t>
  </si>
  <si>
    <t>C48</t>
  </si>
  <si>
    <t>F07</t>
  </si>
  <si>
    <t>CGT</t>
  </si>
  <si>
    <t>G05</t>
  </si>
  <si>
    <t>L03</t>
  </si>
  <si>
    <t>C38</t>
  </si>
  <si>
    <t>290</t>
  </si>
  <si>
    <t>300</t>
  </si>
  <si>
    <t>310</t>
  </si>
  <si>
    <t>C27</t>
  </si>
  <si>
    <t>C47</t>
  </si>
  <si>
    <t>G04</t>
  </si>
  <si>
    <t>F05</t>
  </si>
  <si>
    <t>C52</t>
  </si>
  <si>
    <t>F06</t>
  </si>
  <si>
    <t>F10</t>
  </si>
  <si>
    <t>F04</t>
  </si>
  <si>
    <t>C05</t>
  </si>
  <si>
    <t>Fe.contabilización</t>
  </si>
  <si>
    <t>1900001846</t>
  </si>
  <si>
    <t>1900001850</t>
  </si>
  <si>
    <t>5100009057</t>
  </si>
  <si>
    <t>5100009060</t>
  </si>
  <si>
    <t>5100009062</t>
  </si>
  <si>
    <t>4500139211</t>
  </si>
  <si>
    <t>5100009063</t>
  </si>
  <si>
    <t>5100009064</t>
  </si>
  <si>
    <t>5100009065</t>
  </si>
  <si>
    <t>TRANSPORTES SAN JOSE SRL</t>
  </si>
  <si>
    <t>4500137560</t>
  </si>
  <si>
    <t>5000010484</t>
  </si>
  <si>
    <t>AMERICAN HEAVY PARTS S.R.L.</t>
  </si>
  <si>
    <t>4500138811</t>
  </si>
  <si>
    <t>5000010486</t>
  </si>
  <si>
    <t>4500138745</t>
  </si>
  <si>
    <t>5000010487</t>
  </si>
  <si>
    <t>EL ALTILLO SRL</t>
  </si>
  <si>
    <t>4500139209</t>
  </si>
  <si>
    <t>5000010488</t>
  </si>
  <si>
    <t>5000010489</t>
  </si>
  <si>
    <t>FERNANDEZ INSUA S.A.</t>
  </si>
  <si>
    <t>4500138348</t>
  </si>
  <si>
    <t>5000010490</t>
  </si>
  <si>
    <t>4500135699</t>
  </si>
  <si>
    <t>5000010491</t>
  </si>
  <si>
    <t>4500137591</t>
  </si>
  <si>
    <t>5000010492</t>
  </si>
  <si>
    <t>4500137174</t>
  </si>
  <si>
    <t>5000010493</t>
  </si>
  <si>
    <t>THOMAS BUS S. R. L.</t>
  </si>
  <si>
    <t>4500133385</t>
  </si>
  <si>
    <t>5000010494</t>
  </si>
  <si>
    <t>4500139496</t>
  </si>
  <si>
    <t>5000010495</t>
  </si>
  <si>
    <t>4500138681</t>
  </si>
  <si>
    <t>5000010496</t>
  </si>
  <si>
    <t>ACER SAN JUAN S.R.L.</t>
  </si>
  <si>
    <t>4500139556</t>
  </si>
  <si>
    <t>5000010498</t>
  </si>
  <si>
    <t>4500136861</t>
  </si>
  <si>
    <t>5000010499</t>
  </si>
  <si>
    <t>4500137952</t>
  </si>
  <si>
    <t>5000010500</t>
  </si>
  <si>
    <t>TRANSPORTE ANA S.R.L.</t>
  </si>
  <si>
    <t>4500138951</t>
  </si>
  <si>
    <t>5000010501</t>
  </si>
  <si>
    <t>4500139505</t>
  </si>
  <si>
    <t>5000010502</t>
  </si>
  <si>
    <t>4500134877</t>
  </si>
  <si>
    <t>5000010504</t>
  </si>
  <si>
    <t>VALLEJO OMAR OSVALDO</t>
  </si>
  <si>
    <t>4500139703</t>
  </si>
  <si>
    <t>5000010505</t>
  </si>
  <si>
    <t>BARCELO NEUMATICOS SA</t>
  </si>
  <si>
    <t>4500140026</t>
  </si>
  <si>
    <t>5000010507</t>
  </si>
  <si>
    <t>HOJMAN JORGE ALFREDO</t>
  </si>
  <si>
    <t>4500114017</t>
  </si>
  <si>
    <t>5000010508</t>
  </si>
  <si>
    <t>4500129709</t>
  </si>
  <si>
    <t>5000010509</t>
  </si>
  <si>
    <t>4500085665</t>
  </si>
  <si>
    <t>5000010510</t>
  </si>
  <si>
    <t>4500130316</t>
  </si>
  <si>
    <t>5000010511</t>
  </si>
  <si>
    <t>4500085234</t>
  </si>
  <si>
    <t>5000010514</t>
  </si>
  <si>
    <t>FORMICA CARLOS ALBERTO</t>
  </si>
  <si>
    <t>4500139978</t>
  </si>
  <si>
    <t>5000010515</t>
  </si>
  <si>
    <t>4500139601</t>
  </si>
  <si>
    <t>5000010516</t>
  </si>
  <si>
    <t>4500140035</t>
  </si>
  <si>
    <t>5000010517</t>
  </si>
  <si>
    <t>4500139602</t>
  </si>
  <si>
    <t>5000010518</t>
  </si>
  <si>
    <t>4500139016</t>
  </si>
  <si>
    <t>5000010519</t>
  </si>
  <si>
    <t>MAQBULON SAN BENITO S.A.S.</t>
  </si>
  <si>
    <t>4500139696</t>
  </si>
  <si>
    <t>5000010520</t>
  </si>
  <si>
    <t>4500139611</t>
  </si>
  <si>
    <t>5000010521</t>
  </si>
  <si>
    <t>4500139697</t>
  </si>
  <si>
    <t>5000010522</t>
  </si>
  <si>
    <t>5000010523</t>
  </si>
  <si>
    <t>4500138266</t>
  </si>
  <si>
    <t>5000010524</t>
  </si>
  <si>
    <t>4500140023</t>
  </si>
  <si>
    <t>5000010525</t>
  </si>
  <si>
    <t>AGRONORTE S.R.L.</t>
  </si>
  <si>
    <t>4500139682</t>
  </si>
  <si>
    <t>5000010526</t>
  </si>
  <si>
    <t>VIDABLE CASTRO FERNANDO SEBASTIAN</t>
  </si>
  <si>
    <t>4500139530</t>
  </si>
  <si>
    <t>Fecha de entrega</t>
  </si>
  <si>
    <t>Grupo de compras</t>
  </si>
  <si>
    <t>Proveedor/Centro suministrador</t>
  </si>
  <si>
    <t>C15</t>
  </si>
  <si>
    <t>1000001107 TRANSPORTES SAN JOSE SRL</t>
  </si>
  <si>
    <t>1000000634 RAIZEN ARGENTINA S.A.U.</t>
  </si>
  <si>
    <t>1000013345 PASFERR ENERGY SRL</t>
  </si>
  <si>
    <t>1000004943 DANIEL SORIN E HIJOS SRL</t>
  </si>
  <si>
    <t>1000013572 MAXFA SA</t>
  </si>
  <si>
    <t>1000009728 HOJMAN JORGE ALFREDO</t>
  </si>
  <si>
    <t>1000009587 THOMAS BUS S. R. L.</t>
  </si>
  <si>
    <t>1000010957 GANGAS REYES MARCELO DAVID</t>
  </si>
  <si>
    <t>1000008807 CRIMALDI BRUNO</t>
  </si>
  <si>
    <t>1000001020 COMBUSTIBLES BARCELO S.R.L.</t>
  </si>
  <si>
    <t>1000001040 REHABILITAR SAN JUAN SRL</t>
  </si>
  <si>
    <t>1000002607 DIESEL LANGE S.R.L</t>
  </si>
  <si>
    <t>1000001691 LENOR SRL</t>
  </si>
  <si>
    <t>1000000561 ESCANDINAVIA DEL PLATA SA</t>
  </si>
  <si>
    <t>1000003378 PINTURERIA CENTRAL SRL</t>
  </si>
  <si>
    <t>1000007091 VALLEJO OMAR OSVALDO</t>
  </si>
  <si>
    <t>1000003883 DOMINGUEZ ELIAS IVAN</t>
  </si>
  <si>
    <t>1000007320 GILIGROUP S.A.S.</t>
  </si>
  <si>
    <t>1000000062 FINNING ARGENTINA S.A.</t>
  </si>
  <si>
    <t>1000001683 PIACENZA SRL</t>
  </si>
  <si>
    <t>1000007459 SAVE TRACK S.A.</t>
  </si>
  <si>
    <t>1000002834 J.M.F. VIAL &amp; PARTS SAS</t>
  </si>
  <si>
    <t>1000003373 MEYNIEL S.R.L.</t>
  </si>
  <si>
    <t>1000002774 MILLA MAR DEL PLATA S.A.</t>
  </si>
  <si>
    <t>1000012394 HOUSE SERVICIOS E INSUMOS S. A. S.</t>
  </si>
  <si>
    <t>1000003825 GRUPO SICCTOP S.R.L.</t>
  </si>
  <si>
    <t>1000000907 SERVICIOS VIALES DE STA. FE SA</t>
  </si>
  <si>
    <t>1000000190 FERNANDEZ INSUA S.A.</t>
  </si>
  <si>
    <t>1000012568 DERGAM SRL</t>
  </si>
  <si>
    <t>1000000754 AURELIA SACIYF</t>
  </si>
  <si>
    <t>1000001470 SUDAMERICANA CAMIONES SA</t>
  </si>
  <si>
    <t>1000001129 AGRONORTE S.R.L.</t>
  </si>
  <si>
    <t>1000012227 LOPEZ RIOS FACUNDO GABRIE</t>
  </si>
  <si>
    <t>1000000012 IGARRETA MAQUINAS S.A.</t>
  </si>
  <si>
    <t>1000000154 BLASTING S.A.</t>
  </si>
  <si>
    <t>1000001248 RUSSO E HIJAS SERV.LOG Y T SRL</t>
  </si>
  <si>
    <t>1000011956 CARDOSO JOSE DANIEL</t>
  </si>
  <si>
    <t>1000007436 RODRIGUEZ MARTINEZ EMILIO JOAQUIN</t>
  </si>
  <si>
    <t>1000010401 BASUALDO NECCHI MARCOS GABRIEL</t>
  </si>
  <si>
    <t>2000000032 ANNCAR EQUIPMENT &amp; PARTS</t>
  </si>
  <si>
    <t>1000002978 LIRUSSI ARAGON FERNANDO ARIEL</t>
  </si>
  <si>
    <t>2000000023 MILLENNIUM MACHINERY P&amp;S, CORP</t>
  </si>
  <si>
    <t>1000003696 DOBLE TRACCION SRL</t>
  </si>
  <si>
    <t>1000012671 STYLUS S.A</t>
  </si>
  <si>
    <t>1000003173 DISEL CENTRO S.A.</t>
  </si>
  <si>
    <t>1000012459 GIMENEZ JUAN OMAR</t>
  </si>
  <si>
    <t>1000010438 TURBOS T&amp;T S.R.L</t>
  </si>
  <si>
    <t>1000001690 ELEC.PELLEGRINI DE OCCHI Y ORO</t>
  </si>
  <si>
    <t>1000011072 NEUMATICOS GOODYEAR S R L</t>
  </si>
  <si>
    <t>1000002106 REMOLQUES OMBU SA</t>
  </si>
  <si>
    <t>1000003490 M D AUTOELEVADORES Y EQUIPOS S</t>
  </si>
  <si>
    <t>1000001262 MIGUEL ANGEL ALVAREZ</t>
  </si>
  <si>
    <t>1000001014 ANDRE FRENO S.R.L.</t>
  </si>
  <si>
    <t>1000010126 GINER CARLOS ALBERTO</t>
  </si>
  <si>
    <t>1000009851 CUPER S. R. L.</t>
  </si>
  <si>
    <t>1000008805 SAKURA MOTORS S. A.</t>
  </si>
  <si>
    <t>1000002248 BIOENDESA SA</t>
  </si>
  <si>
    <t>1000009161 CABRAL LAUTARO MIGUEL</t>
  </si>
  <si>
    <t>1000007102 PROTEC S.R.L.</t>
  </si>
  <si>
    <t>1000000488 BETA S.A.</t>
  </si>
  <si>
    <t>1000003716 MEI GROUP PTY. LTD.SUC. ARG.</t>
  </si>
  <si>
    <t>1000001841 AONA SA</t>
  </si>
  <si>
    <t>1000003804 ALL DRILL S.A.</t>
  </si>
  <si>
    <t>1000000929 ANTINORO FRANCISCO ERNESTO</t>
  </si>
  <si>
    <t>1000003511 FIPH SA</t>
  </si>
  <si>
    <t>1000003665 TRIGUY Y LOMBARDI SRL</t>
  </si>
  <si>
    <t>1000003384 NEUMAGOM SAS</t>
  </si>
  <si>
    <t>1000008168 MADERAS GÜIDO SRL</t>
  </si>
  <si>
    <t>1000000183 SEGUFER S.A.</t>
  </si>
  <si>
    <t>1000003377 ROYON HNOS SRL</t>
  </si>
  <si>
    <t>1000009543 AC SAT S.R.L.</t>
  </si>
  <si>
    <t>1000001550 OLIVARES ANTONIO ALBERTO</t>
  </si>
  <si>
    <t>1000002964 LACIAR LEANDRO ADOLFO</t>
  </si>
  <si>
    <t>1000001028 SOSTEN S.A.</t>
  </si>
  <si>
    <t>1000013392 ROCA FUNES MARCELO SEBASTIAN</t>
  </si>
  <si>
    <t>1000000279 NEUMATICOS VERONA S.R.L.</t>
  </si>
  <si>
    <t>1000001514 PIZZOLON PIETRO S.A.</t>
  </si>
  <si>
    <t>1000000038 YPF S.A.</t>
  </si>
  <si>
    <t>1000002050 RODAMIENTOS CUYO SEL</t>
  </si>
  <si>
    <t>1000008044 AGUDO DOHMEN MARIA ROMINA</t>
  </si>
  <si>
    <t>1000001474 CALZADOS ARGENTINOS SA</t>
  </si>
  <si>
    <t>1000002077 DBT S.A.</t>
  </si>
  <si>
    <t>1000000052 DEVOL S.A.</t>
  </si>
  <si>
    <t>1000013533 PREAR MINING SAS</t>
  </si>
  <si>
    <t>1000010056 AGU GUILLERMO ANDRES</t>
  </si>
  <si>
    <t>1000011286 FERMEB SAS</t>
  </si>
  <si>
    <t>1000000482 REUTEMANN AUTOMOTORES S.A.</t>
  </si>
  <si>
    <t>1000000016 OSVALDO L.SANTILLI E HIJOS S.A</t>
  </si>
  <si>
    <t>1000000884 TRUCKSTORE S.A.</t>
  </si>
  <si>
    <t>1000000257 RODAMAR SRL</t>
  </si>
  <si>
    <t>1000001488 PC SHOWS SRL</t>
  </si>
  <si>
    <t>1000000261 PARANA MAQUINARIAS SRL</t>
  </si>
  <si>
    <t>1000012464 LOOPING REPUESTOS SOCIEDAD ANONIMA</t>
  </si>
  <si>
    <t>1000003386 LA PLATENSE SA</t>
  </si>
  <si>
    <t>1000006823 SPEED BUSINESS S. A.</t>
  </si>
  <si>
    <t>1000002138 AMERICAN HEAVY PARTS S.R.L.</t>
  </si>
  <si>
    <t>1000009284 TRANSPORTE ANA S.R.L.</t>
  </si>
  <si>
    <t>1000013664 RAMOS ROBERTO DANIEL</t>
  </si>
  <si>
    <t>1000007442 CALINS SA</t>
  </si>
  <si>
    <t>1000001154 TRAVEL FILTERS SRL</t>
  </si>
  <si>
    <t>1000013098 EL ALTILLO SRL</t>
  </si>
  <si>
    <t>1000007799 VIDABLE CASTRO FERNANDO SEBASTIAN</t>
  </si>
  <si>
    <t>1000001477 ACER SAN JUAN S.R.L.</t>
  </si>
  <si>
    <t>1000009567 MAQBULON SAN BENITO S.A.S.</t>
  </si>
  <si>
    <t>1000012277 MARPAOL S.R.L.</t>
  </si>
  <si>
    <t>1000013728 FORMICA CARLOS ALBERTO</t>
  </si>
  <si>
    <t>1000010371 BARCELO NEUMATICOS SA</t>
  </si>
  <si>
    <t>CONCATENA</t>
  </si>
  <si>
    <t>1900001855</t>
  </si>
  <si>
    <t>1900001856</t>
  </si>
  <si>
    <t>5100009066</t>
  </si>
  <si>
    <t>5100009067</t>
  </si>
  <si>
    <t>5100009068</t>
  </si>
  <si>
    <t>5100009069</t>
  </si>
  <si>
    <t>5100009070</t>
  </si>
  <si>
    <t>5100009071</t>
  </si>
  <si>
    <t>5100009072</t>
  </si>
  <si>
    <t>5100009073</t>
  </si>
  <si>
    <t>5100009074</t>
  </si>
  <si>
    <t>5100009075</t>
  </si>
  <si>
    <t>5100009076</t>
  </si>
  <si>
    <t>5100009077</t>
  </si>
  <si>
    <t>5100009078</t>
  </si>
  <si>
    <t>5100009079</t>
  </si>
  <si>
    <t>5100009080</t>
  </si>
  <si>
    <t>5100009081</t>
  </si>
  <si>
    <t>5100009082</t>
  </si>
  <si>
    <t>5100009083</t>
  </si>
  <si>
    <t>5100009084</t>
  </si>
  <si>
    <t>5100009085</t>
  </si>
  <si>
    <t>5100009086</t>
  </si>
  <si>
    <t>5100009087</t>
  </si>
  <si>
    <t>5100009088</t>
  </si>
  <si>
    <t>4500132621</t>
  </si>
  <si>
    <t>5100009089</t>
  </si>
  <si>
    <t>5100009090</t>
  </si>
  <si>
    <t>5100009091</t>
  </si>
  <si>
    <t>5100009092</t>
  </si>
  <si>
    <t>5100009093</t>
  </si>
  <si>
    <t>5100009094</t>
  </si>
  <si>
    <t>5100009095</t>
  </si>
  <si>
    <t>5100009096</t>
  </si>
  <si>
    <t>5100009097</t>
  </si>
  <si>
    <t>5100009098</t>
  </si>
  <si>
    <t>5100009099</t>
  </si>
  <si>
    <t>5100009100</t>
  </si>
  <si>
    <t>5000010527</t>
  </si>
  <si>
    <t>4500140034</t>
  </si>
  <si>
    <t>5000010528</t>
  </si>
  <si>
    <t>4500138114</t>
  </si>
  <si>
    <t>5000010529</t>
  </si>
  <si>
    <t>5000010530</t>
  </si>
  <si>
    <t>5000010531</t>
  </si>
  <si>
    <t>GIOVAGNOLI S.R.L.</t>
  </si>
  <si>
    <t>4500140028</t>
  </si>
  <si>
    <t>5000010532</t>
  </si>
  <si>
    <t>4500138452</t>
  </si>
  <si>
    <t>5000010533</t>
  </si>
  <si>
    <t>GINZA S.A.</t>
  </si>
  <si>
    <t>4500139730</t>
  </si>
  <si>
    <t>5000010534</t>
  </si>
  <si>
    <t>4500138569</t>
  </si>
  <si>
    <t>5000010535</t>
  </si>
  <si>
    <t>5000010536</t>
  </si>
  <si>
    <t>5000010537</t>
  </si>
  <si>
    <t>5000010538</t>
  </si>
  <si>
    <t>5000010539</t>
  </si>
  <si>
    <t>5000010540</t>
  </si>
  <si>
    <t>5000010541</t>
  </si>
  <si>
    <t>5000010542</t>
  </si>
  <si>
    <t>5000010543</t>
  </si>
  <si>
    <t>5000010544</t>
  </si>
  <si>
    <t>4500139890</t>
  </si>
  <si>
    <t>5000010545</t>
  </si>
  <si>
    <t>ANDREANI LOGISTICA SA</t>
  </si>
  <si>
    <t>4500137581</t>
  </si>
  <si>
    <t>5000010546</t>
  </si>
  <si>
    <t>4500139936</t>
  </si>
  <si>
    <t>5000010547</t>
  </si>
  <si>
    <t>4500134423</t>
  </si>
  <si>
    <t>5000010548</t>
  </si>
  <si>
    <t>4500138206</t>
  </si>
  <si>
    <t>5000010549</t>
  </si>
  <si>
    <t>5000010550</t>
  </si>
  <si>
    <t>5000010551</t>
  </si>
  <si>
    <t>4500138324</t>
  </si>
  <si>
    <t>5000010552</t>
  </si>
  <si>
    <t>4500139650</t>
  </si>
  <si>
    <t>5000010553</t>
  </si>
  <si>
    <t>JAR COMPUTACION SRL</t>
  </si>
  <si>
    <t>4500139541</t>
  </si>
  <si>
    <t>5000010554</t>
  </si>
  <si>
    <t>4500139746</t>
  </si>
  <si>
    <t>5000010555</t>
  </si>
  <si>
    <t>5000010556</t>
  </si>
  <si>
    <t>5000010557</t>
  </si>
  <si>
    <t>EL GUARDIAN SRL</t>
  </si>
  <si>
    <t>4500119822</t>
  </si>
  <si>
    <t>5000010558</t>
  </si>
  <si>
    <t>4500136872</t>
  </si>
  <si>
    <t>5000010559</t>
  </si>
  <si>
    <t>5000010560</t>
  </si>
  <si>
    <t>4500139925</t>
  </si>
  <si>
    <t>5000010561</t>
  </si>
  <si>
    <t>5000010562</t>
  </si>
  <si>
    <t>IMPERIAL MOTOR S.A.</t>
  </si>
  <si>
    <t>4500136602</t>
  </si>
  <si>
    <t>5000010563</t>
  </si>
  <si>
    <t>MAXICONSUMO S A</t>
  </si>
  <si>
    <t>4500117642</t>
  </si>
  <si>
    <t>5000010564</t>
  </si>
  <si>
    <t>4500135720</t>
  </si>
  <si>
    <t>5000010565</t>
  </si>
  <si>
    <t>4500135508</t>
  </si>
  <si>
    <t>5000010566</t>
  </si>
  <si>
    <t>4500131299</t>
  </si>
  <si>
    <t>5000010567</t>
  </si>
  <si>
    <t>4500137628</t>
  </si>
  <si>
    <t>5000010568</t>
  </si>
  <si>
    <t>EPIROC ARGENTINA S.A.</t>
  </si>
  <si>
    <t>4500138982</t>
  </si>
  <si>
    <t>5000010569</t>
  </si>
  <si>
    <t>4500136599</t>
  </si>
  <si>
    <t>5000010570</t>
  </si>
  <si>
    <t>REINA NACUSI GERARDO RAUL</t>
  </si>
  <si>
    <t>4500136776</t>
  </si>
  <si>
    <t>5000010571</t>
  </si>
  <si>
    <t>4500139203</t>
  </si>
  <si>
    <t>5000010572</t>
  </si>
  <si>
    <t>ALUMETAL S A</t>
  </si>
  <si>
    <t>4500139396</t>
  </si>
  <si>
    <t>5000010573</t>
  </si>
  <si>
    <t>BOTAS MERCADO DAVID ESTEBAN</t>
  </si>
  <si>
    <t>4500139584</t>
  </si>
  <si>
    <t>C24</t>
  </si>
  <si>
    <t>1000012493 MAXICONSUMO S A</t>
  </si>
  <si>
    <t>1000010190 ANDREANI LOGISTICA SA</t>
  </si>
  <si>
    <t>1000000577 IMPERIAL MOTOR S.A.</t>
  </si>
  <si>
    <t>1000003582 EL GUARDIAN SRL</t>
  </si>
  <si>
    <t>1000009487 REINA NACUSI GERARDO RAUL</t>
  </si>
  <si>
    <t>1000001756 EPIROC ARGENTINA S.A.</t>
  </si>
  <si>
    <t>1000001491 ALUMETAL S A</t>
  </si>
  <si>
    <t>1000001306 JAR COMPUTACION SRL</t>
  </si>
  <si>
    <t>1000009391 BOTAS MERCADO DAVID ESTEBAN</t>
  </si>
  <si>
    <t>1000000581 GINZA S.A.</t>
  </si>
  <si>
    <t>1000000636 GIOVAGNOLI S.R.L.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</si>
</sst>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 indent="2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4" fontId="1" fillId="0" borderId="0" xfId="0" quotePrefix="1" applyNumberFormat="1" applyFont="1" applyAlignment="1">
      <alignment vertical="top"/>
    </xf>
    <xf numFmtId="0" fontId="1" fillId="3" borderId="0" xfId="0" applyFont="1" applyFill="1" applyAlignment="1">
      <alignment vertical="top"/>
    </xf>
    <xf numFmtId="4" fontId="1" fillId="3" borderId="0" xfId="0" quotePrefix="1" applyNumberFormat="1" applyFont="1" applyFill="1" applyAlignment="1">
      <alignment vertical="top"/>
    </xf>
    <xf numFmtId="1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133350</xdr:rowOff>
    </xdr:to>
    <xdr:pic>
      <xdr:nvPicPr>
        <xdr:cNvPr id="767" name="Picture@5C\QPendientes@" descr="@5C\QPendientes@">
          <a:extLst>
            <a:ext uri="{FF2B5EF4-FFF2-40B4-BE49-F238E27FC236}">
              <a16:creationId xmlns:a16="http://schemas.microsoft.com/office/drawing/2014/main" id="{26E24C17-0506-4621-82ED-AE05E0D149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133350</xdr:rowOff>
    </xdr:to>
    <xdr:pic>
      <xdr:nvPicPr>
        <xdr:cNvPr id="768" name="Picture@5C\QPendientes@" descr="@5C\QPendientes@">
          <a:extLst>
            <a:ext uri="{FF2B5EF4-FFF2-40B4-BE49-F238E27FC236}">
              <a16:creationId xmlns:a16="http://schemas.microsoft.com/office/drawing/2014/main" id="{7BF49D25-0743-42CC-9B64-176892DCB9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133350</xdr:rowOff>
    </xdr:to>
    <xdr:pic>
      <xdr:nvPicPr>
        <xdr:cNvPr id="769" name="Picture@5C\QPendientes@" descr="@5C\QPendientes@">
          <a:extLst>
            <a:ext uri="{FF2B5EF4-FFF2-40B4-BE49-F238E27FC236}">
              <a16:creationId xmlns:a16="http://schemas.microsoft.com/office/drawing/2014/main" id="{684F7CB5-FDBC-4B7C-90E3-4DB9B40C2F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133350</xdr:rowOff>
    </xdr:to>
    <xdr:pic>
      <xdr:nvPicPr>
        <xdr:cNvPr id="770" name="Picture@5C\QPendientes@" descr="@5C\QPendientes@">
          <a:extLst>
            <a:ext uri="{FF2B5EF4-FFF2-40B4-BE49-F238E27FC236}">
              <a16:creationId xmlns:a16="http://schemas.microsoft.com/office/drawing/2014/main" id="{CFFD59B5-C3AA-4CC1-A387-D33CDBC565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133350</xdr:rowOff>
    </xdr:to>
    <xdr:pic>
      <xdr:nvPicPr>
        <xdr:cNvPr id="771" name="Picture@5C\QPendientes@" descr="@5C\QPendientes@">
          <a:extLst>
            <a:ext uri="{FF2B5EF4-FFF2-40B4-BE49-F238E27FC236}">
              <a16:creationId xmlns:a16="http://schemas.microsoft.com/office/drawing/2014/main" id="{B3A03C09-8946-4279-A369-17F51FD72C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133350</xdr:rowOff>
    </xdr:to>
    <xdr:pic>
      <xdr:nvPicPr>
        <xdr:cNvPr id="772" name="Picture@5C\QPendientes@" descr="@5C\QPendientes@">
          <a:extLst>
            <a:ext uri="{FF2B5EF4-FFF2-40B4-BE49-F238E27FC236}">
              <a16:creationId xmlns:a16="http://schemas.microsoft.com/office/drawing/2014/main" id="{680C1898-94E8-4C95-81EF-164F5D8AE4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133350</xdr:rowOff>
    </xdr:to>
    <xdr:pic>
      <xdr:nvPicPr>
        <xdr:cNvPr id="773" name="Picture@5C\QPendientes@" descr="@5C\QPendientes@">
          <a:extLst>
            <a:ext uri="{FF2B5EF4-FFF2-40B4-BE49-F238E27FC236}">
              <a16:creationId xmlns:a16="http://schemas.microsoft.com/office/drawing/2014/main" id="{E95B955D-6477-4B22-B031-83CF5B70AE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133350</xdr:rowOff>
    </xdr:to>
    <xdr:pic>
      <xdr:nvPicPr>
        <xdr:cNvPr id="774" name="Picture@5C\QPendientes@" descr="@5C\QPendientes@">
          <a:extLst>
            <a:ext uri="{FF2B5EF4-FFF2-40B4-BE49-F238E27FC236}">
              <a16:creationId xmlns:a16="http://schemas.microsoft.com/office/drawing/2014/main" id="{95ACEF4A-CDCC-4F3E-A246-FC5C7BC173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133350</xdr:rowOff>
    </xdr:to>
    <xdr:pic>
      <xdr:nvPicPr>
        <xdr:cNvPr id="775" name="Picture@5C\QPendientes@" descr="@5C\QPendientes@">
          <a:extLst>
            <a:ext uri="{FF2B5EF4-FFF2-40B4-BE49-F238E27FC236}">
              <a16:creationId xmlns:a16="http://schemas.microsoft.com/office/drawing/2014/main" id="{EC8DC9E9-AF71-4A09-B142-442FA662BE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133350</xdr:rowOff>
    </xdr:to>
    <xdr:pic>
      <xdr:nvPicPr>
        <xdr:cNvPr id="776" name="Picture@5C\QPendientes@" descr="@5C\QPendientes@">
          <a:extLst>
            <a:ext uri="{FF2B5EF4-FFF2-40B4-BE49-F238E27FC236}">
              <a16:creationId xmlns:a16="http://schemas.microsoft.com/office/drawing/2014/main" id="{7060E165-C3C1-45B8-A0A5-3BC753A66E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133350</xdr:rowOff>
    </xdr:to>
    <xdr:pic>
      <xdr:nvPicPr>
        <xdr:cNvPr id="777" name="Picture@5C\QPendientes@" descr="@5C\QPendientes@">
          <a:extLst>
            <a:ext uri="{FF2B5EF4-FFF2-40B4-BE49-F238E27FC236}">
              <a16:creationId xmlns:a16="http://schemas.microsoft.com/office/drawing/2014/main" id="{4447A395-E9BF-464A-875C-7C5BA43C38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133350</xdr:rowOff>
    </xdr:to>
    <xdr:pic>
      <xdr:nvPicPr>
        <xdr:cNvPr id="778" name="Picture@5C\QPendientes@" descr="@5C\QPendientes@">
          <a:extLst>
            <a:ext uri="{FF2B5EF4-FFF2-40B4-BE49-F238E27FC236}">
              <a16:creationId xmlns:a16="http://schemas.microsoft.com/office/drawing/2014/main" id="{D73A2569-06A5-4883-8DB7-D60B7D0F47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133350</xdr:rowOff>
    </xdr:to>
    <xdr:pic>
      <xdr:nvPicPr>
        <xdr:cNvPr id="779" name="Picture@5C\QPendientes@" descr="@5C\QPendientes@">
          <a:extLst>
            <a:ext uri="{FF2B5EF4-FFF2-40B4-BE49-F238E27FC236}">
              <a16:creationId xmlns:a16="http://schemas.microsoft.com/office/drawing/2014/main" id="{3E7DAD2D-35EA-43EF-AD13-26B52E020A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133350</xdr:rowOff>
    </xdr:to>
    <xdr:pic>
      <xdr:nvPicPr>
        <xdr:cNvPr id="780" name="Picture@5C\QPendientes@" descr="@5C\QPendientes@">
          <a:extLst>
            <a:ext uri="{FF2B5EF4-FFF2-40B4-BE49-F238E27FC236}">
              <a16:creationId xmlns:a16="http://schemas.microsoft.com/office/drawing/2014/main" id="{360735F9-E546-419A-9171-697257DBCC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133350</xdr:rowOff>
    </xdr:to>
    <xdr:pic>
      <xdr:nvPicPr>
        <xdr:cNvPr id="781" name="Picture@5C\QPendientes@" descr="@5C\QPendientes@">
          <a:extLst>
            <a:ext uri="{FF2B5EF4-FFF2-40B4-BE49-F238E27FC236}">
              <a16:creationId xmlns:a16="http://schemas.microsoft.com/office/drawing/2014/main" id="{712E6025-6A4A-4C65-86ED-E0CC2097E1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133350</xdr:rowOff>
    </xdr:to>
    <xdr:pic>
      <xdr:nvPicPr>
        <xdr:cNvPr id="782" name="Picture@5C\QPendientes@" descr="@5C\QPendientes@">
          <a:extLst>
            <a:ext uri="{FF2B5EF4-FFF2-40B4-BE49-F238E27FC236}">
              <a16:creationId xmlns:a16="http://schemas.microsoft.com/office/drawing/2014/main" id="{0398A5AA-D6FE-46DD-933B-30ADA72132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133350</xdr:rowOff>
    </xdr:to>
    <xdr:pic>
      <xdr:nvPicPr>
        <xdr:cNvPr id="783" name="Picture@5C\QPendientes@" descr="@5C\QPendientes@">
          <a:extLst>
            <a:ext uri="{FF2B5EF4-FFF2-40B4-BE49-F238E27FC236}">
              <a16:creationId xmlns:a16="http://schemas.microsoft.com/office/drawing/2014/main" id="{820FFF40-9F86-45D7-B4E4-6447D3009C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133350</xdr:rowOff>
    </xdr:to>
    <xdr:pic>
      <xdr:nvPicPr>
        <xdr:cNvPr id="784" name="Picture@5C\QPendientes@" descr="@5C\QPendientes@">
          <a:extLst>
            <a:ext uri="{FF2B5EF4-FFF2-40B4-BE49-F238E27FC236}">
              <a16:creationId xmlns:a16="http://schemas.microsoft.com/office/drawing/2014/main" id="{A051F0F0-A0E2-4267-83AF-C8AD57888A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133350</xdr:rowOff>
    </xdr:to>
    <xdr:pic>
      <xdr:nvPicPr>
        <xdr:cNvPr id="785" name="Picture@5C\QPendientes@" descr="@5C\QPendientes@">
          <a:extLst>
            <a:ext uri="{FF2B5EF4-FFF2-40B4-BE49-F238E27FC236}">
              <a16:creationId xmlns:a16="http://schemas.microsoft.com/office/drawing/2014/main" id="{77F84C6C-3329-4CC0-9542-D27D791680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133350</xdr:rowOff>
    </xdr:to>
    <xdr:pic>
      <xdr:nvPicPr>
        <xdr:cNvPr id="786" name="Picture@5C\QPendientes@" descr="@5C\QPendientes@">
          <a:extLst>
            <a:ext uri="{FF2B5EF4-FFF2-40B4-BE49-F238E27FC236}">
              <a16:creationId xmlns:a16="http://schemas.microsoft.com/office/drawing/2014/main" id="{0457A6CF-2EFC-42D0-A65A-5DDEAE0707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133350</xdr:rowOff>
    </xdr:to>
    <xdr:pic>
      <xdr:nvPicPr>
        <xdr:cNvPr id="787" name="Picture@5C\QPendientes@" descr="@5C\QPendientes@">
          <a:extLst>
            <a:ext uri="{FF2B5EF4-FFF2-40B4-BE49-F238E27FC236}">
              <a16:creationId xmlns:a16="http://schemas.microsoft.com/office/drawing/2014/main" id="{3BA8E554-06CE-4EDE-A708-2997BF8103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133350</xdr:rowOff>
    </xdr:to>
    <xdr:pic>
      <xdr:nvPicPr>
        <xdr:cNvPr id="788" name="Picture@5C\QPendientes@" descr="@5C\QPendientes@">
          <a:extLst>
            <a:ext uri="{FF2B5EF4-FFF2-40B4-BE49-F238E27FC236}">
              <a16:creationId xmlns:a16="http://schemas.microsoft.com/office/drawing/2014/main" id="{B93759FA-424D-482C-AACC-2633388499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2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133350</xdr:rowOff>
    </xdr:to>
    <xdr:pic>
      <xdr:nvPicPr>
        <xdr:cNvPr id="789" name="Picture@5C\QPendientes@" descr="@5C\QPendientes@">
          <a:extLst>
            <a:ext uri="{FF2B5EF4-FFF2-40B4-BE49-F238E27FC236}">
              <a16:creationId xmlns:a16="http://schemas.microsoft.com/office/drawing/2014/main" id="{D37F2566-04C7-44C0-8A8E-3B6841415C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0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133350</xdr:rowOff>
    </xdr:to>
    <xdr:pic>
      <xdr:nvPicPr>
        <xdr:cNvPr id="790" name="Picture@5C\QPendientes@" descr="@5C\QPendientes@">
          <a:extLst>
            <a:ext uri="{FF2B5EF4-FFF2-40B4-BE49-F238E27FC236}">
              <a16:creationId xmlns:a16="http://schemas.microsoft.com/office/drawing/2014/main" id="{0EB27F50-F2F6-49CD-AB43-EFDD1AC4A3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8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133350</xdr:rowOff>
    </xdr:to>
    <xdr:pic>
      <xdr:nvPicPr>
        <xdr:cNvPr id="791" name="Picture@5C\QPendientes@" descr="@5C\QPendientes@">
          <a:extLst>
            <a:ext uri="{FF2B5EF4-FFF2-40B4-BE49-F238E27FC236}">
              <a16:creationId xmlns:a16="http://schemas.microsoft.com/office/drawing/2014/main" id="{A89228E8-A039-4E99-90E7-FE31496664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7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133350</xdr:rowOff>
    </xdr:to>
    <xdr:pic>
      <xdr:nvPicPr>
        <xdr:cNvPr id="792" name="Picture@5C\QPendientes@" descr="@5C\QPendientes@">
          <a:extLst>
            <a:ext uri="{FF2B5EF4-FFF2-40B4-BE49-F238E27FC236}">
              <a16:creationId xmlns:a16="http://schemas.microsoft.com/office/drawing/2014/main" id="{395B00B5-4717-4CA6-8D31-4AFBF3A82E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5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133350</xdr:rowOff>
    </xdr:to>
    <xdr:pic>
      <xdr:nvPicPr>
        <xdr:cNvPr id="793" name="Picture@5C\QPendientes@" descr="@5C\QPendientes@">
          <a:extLst>
            <a:ext uri="{FF2B5EF4-FFF2-40B4-BE49-F238E27FC236}">
              <a16:creationId xmlns:a16="http://schemas.microsoft.com/office/drawing/2014/main" id="{78069B3D-DB22-4313-81D8-8A4DF2AC0E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3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133350</xdr:rowOff>
    </xdr:to>
    <xdr:pic>
      <xdr:nvPicPr>
        <xdr:cNvPr id="794" name="Picture@5C\QPendientes@" descr="@5C\QPendientes@">
          <a:extLst>
            <a:ext uri="{FF2B5EF4-FFF2-40B4-BE49-F238E27FC236}">
              <a16:creationId xmlns:a16="http://schemas.microsoft.com/office/drawing/2014/main" id="{77E3A1C0-C9BC-4698-9603-5AF889E57F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2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133350</xdr:rowOff>
    </xdr:to>
    <xdr:pic>
      <xdr:nvPicPr>
        <xdr:cNvPr id="795" name="Picture@5C\QPendientes@" descr="@5C\QPendientes@">
          <a:extLst>
            <a:ext uri="{FF2B5EF4-FFF2-40B4-BE49-F238E27FC236}">
              <a16:creationId xmlns:a16="http://schemas.microsoft.com/office/drawing/2014/main" id="{A7413995-25F1-49CA-A701-D29C06D219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0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133350</xdr:rowOff>
    </xdr:to>
    <xdr:pic>
      <xdr:nvPicPr>
        <xdr:cNvPr id="796" name="Picture@5C\QPendientes@" descr="@5C\QPendientes@">
          <a:extLst>
            <a:ext uri="{FF2B5EF4-FFF2-40B4-BE49-F238E27FC236}">
              <a16:creationId xmlns:a16="http://schemas.microsoft.com/office/drawing/2014/main" id="{9F4D19AD-0B6B-444A-B7E3-3C087F0159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133350</xdr:rowOff>
    </xdr:to>
    <xdr:pic>
      <xdr:nvPicPr>
        <xdr:cNvPr id="797" name="Picture@5C\QPendientes@" descr="@5C\QPendientes@">
          <a:extLst>
            <a:ext uri="{FF2B5EF4-FFF2-40B4-BE49-F238E27FC236}">
              <a16:creationId xmlns:a16="http://schemas.microsoft.com/office/drawing/2014/main" id="{C9A74F6D-60B2-43F1-AA8E-1454342F9A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6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133350</xdr:rowOff>
    </xdr:to>
    <xdr:pic>
      <xdr:nvPicPr>
        <xdr:cNvPr id="798" name="Picture@5C\QPendientes@" descr="@5C\QPendientes@">
          <a:extLst>
            <a:ext uri="{FF2B5EF4-FFF2-40B4-BE49-F238E27FC236}">
              <a16:creationId xmlns:a16="http://schemas.microsoft.com/office/drawing/2014/main" id="{4C440329-DC05-4912-9831-3EFA5FC78A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5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133350</xdr:rowOff>
    </xdr:to>
    <xdr:pic>
      <xdr:nvPicPr>
        <xdr:cNvPr id="799" name="Picture@5C\QPendientes@" descr="@5C\QPendientes@">
          <a:extLst>
            <a:ext uri="{FF2B5EF4-FFF2-40B4-BE49-F238E27FC236}">
              <a16:creationId xmlns:a16="http://schemas.microsoft.com/office/drawing/2014/main" id="{058A7302-D14B-4BDB-9637-ED23296876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3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133350</xdr:rowOff>
    </xdr:to>
    <xdr:pic>
      <xdr:nvPicPr>
        <xdr:cNvPr id="800" name="Picture@5C\QPendientes@" descr="@5C\QPendientes@">
          <a:extLst>
            <a:ext uri="{FF2B5EF4-FFF2-40B4-BE49-F238E27FC236}">
              <a16:creationId xmlns:a16="http://schemas.microsoft.com/office/drawing/2014/main" id="{CE1705EC-ACA8-49AB-942F-48391B980E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1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133350</xdr:rowOff>
    </xdr:to>
    <xdr:pic>
      <xdr:nvPicPr>
        <xdr:cNvPr id="801" name="Picture@5C\QPendientes@" descr="@5C\QPendientes@">
          <a:extLst>
            <a:ext uri="{FF2B5EF4-FFF2-40B4-BE49-F238E27FC236}">
              <a16:creationId xmlns:a16="http://schemas.microsoft.com/office/drawing/2014/main" id="{687550D6-AD97-4331-9805-E2465D690E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0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133350</xdr:rowOff>
    </xdr:to>
    <xdr:pic>
      <xdr:nvPicPr>
        <xdr:cNvPr id="802" name="Picture@5C\QPendientes@" descr="@5C\QPendientes@">
          <a:extLst>
            <a:ext uri="{FF2B5EF4-FFF2-40B4-BE49-F238E27FC236}">
              <a16:creationId xmlns:a16="http://schemas.microsoft.com/office/drawing/2014/main" id="{D8830A80-3BAB-4D87-A5E4-4C2AEE2636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8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133350</xdr:rowOff>
    </xdr:to>
    <xdr:pic>
      <xdr:nvPicPr>
        <xdr:cNvPr id="803" name="Picture@5C\QPendientes@" descr="@5C\QPendientes@">
          <a:extLst>
            <a:ext uri="{FF2B5EF4-FFF2-40B4-BE49-F238E27FC236}">
              <a16:creationId xmlns:a16="http://schemas.microsoft.com/office/drawing/2014/main" id="{366839D9-741E-4CBA-9705-4E49B899DD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6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133350</xdr:rowOff>
    </xdr:to>
    <xdr:pic>
      <xdr:nvPicPr>
        <xdr:cNvPr id="804" name="Picture@5C\QPendientes@" descr="@5C\QPendientes@">
          <a:extLst>
            <a:ext uri="{FF2B5EF4-FFF2-40B4-BE49-F238E27FC236}">
              <a16:creationId xmlns:a16="http://schemas.microsoft.com/office/drawing/2014/main" id="{5D57DA16-7F92-40C3-8306-0996A3DD39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4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133350</xdr:rowOff>
    </xdr:to>
    <xdr:pic>
      <xdr:nvPicPr>
        <xdr:cNvPr id="805" name="Picture@5C\QPendientes@" descr="@5C\QPendientes@">
          <a:extLst>
            <a:ext uri="{FF2B5EF4-FFF2-40B4-BE49-F238E27FC236}">
              <a16:creationId xmlns:a16="http://schemas.microsoft.com/office/drawing/2014/main" id="{01EAB14F-D78D-4FA6-905F-921AFCA45E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3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133350</xdr:rowOff>
    </xdr:to>
    <xdr:pic>
      <xdr:nvPicPr>
        <xdr:cNvPr id="806" name="Picture@5C\QPendientes@" descr="@5C\QPendientes@">
          <a:extLst>
            <a:ext uri="{FF2B5EF4-FFF2-40B4-BE49-F238E27FC236}">
              <a16:creationId xmlns:a16="http://schemas.microsoft.com/office/drawing/2014/main" id="{7966A982-1711-4467-8508-4307E738F9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133350</xdr:rowOff>
    </xdr:to>
    <xdr:pic>
      <xdr:nvPicPr>
        <xdr:cNvPr id="807" name="Picture@5C\QPendientes@" descr="@5C\QPendientes@">
          <a:extLst>
            <a:ext uri="{FF2B5EF4-FFF2-40B4-BE49-F238E27FC236}">
              <a16:creationId xmlns:a16="http://schemas.microsoft.com/office/drawing/2014/main" id="{B042AF55-1895-46F2-963B-FE872B131B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9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133350</xdr:rowOff>
    </xdr:to>
    <xdr:pic>
      <xdr:nvPicPr>
        <xdr:cNvPr id="808" name="Picture@5C\QPendientes@" descr="@5C\QPendientes@">
          <a:extLst>
            <a:ext uri="{FF2B5EF4-FFF2-40B4-BE49-F238E27FC236}">
              <a16:creationId xmlns:a16="http://schemas.microsoft.com/office/drawing/2014/main" id="{EBFB2734-31F9-4640-800B-847BCBD13B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8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133350</xdr:rowOff>
    </xdr:to>
    <xdr:pic>
      <xdr:nvPicPr>
        <xdr:cNvPr id="809" name="Picture@5C\QPendientes@" descr="@5C\QPendientes@">
          <a:extLst>
            <a:ext uri="{FF2B5EF4-FFF2-40B4-BE49-F238E27FC236}">
              <a16:creationId xmlns:a16="http://schemas.microsoft.com/office/drawing/2014/main" id="{639C23EE-110E-405A-8211-9C3D76261C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6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133350</xdr:rowOff>
    </xdr:to>
    <xdr:pic>
      <xdr:nvPicPr>
        <xdr:cNvPr id="810" name="Picture@5C\QPendientes@" descr="@5C\QPendientes@">
          <a:extLst>
            <a:ext uri="{FF2B5EF4-FFF2-40B4-BE49-F238E27FC236}">
              <a16:creationId xmlns:a16="http://schemas.microsoft.com/office/drawing/2014/main" id="{112DCF7F-3983-47E7-946C-E402E7A283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4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133350</xdr:rowOff>
    </xdr:to>
    <xdr:pic>
      <xdr:nvPicPr>
        <xdr:cNvPr id="811" name="Picture@5C\QPendientes@" descr="@5C\QPendientes@">
          <a:extLst>
            <a:ext uri="{FF2B5EF4-FFF2-40B4-BE49-F238E27FC236}">
              <a16:creationId xmlns:a16="http://schemas.microsoft.com/office/drawing/2014/main" id="{12B67456-4EE1-4844-85EF-B958499D88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2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133350</xdr:rowOff>
    </xdr:to>
    <xdr:pic>
      <xdr:nvPicPr>
        <xdr:cNvPr id="812" name="Picture@5C\QPendientes@" descr="@5C\QPendientes@">
          <a:extLst>
            <a:ext uri="{FF2B5EF4-FFF2-40B4-BE49-F238E27FC236}">
              <a16:creationId xmlns:a16="http://schemas.microsoft.com/office/drawing/2014/main" id="{CD077096-F5C7-4660-BB37-5E9189E439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1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133350</xdr:rowOff>
    </xdr:to>
    <xdr:pic>
      <xdr:nvPicPr>
        <xdr:cNvPr id="813" name="Picture@5C\QPendientes@" descr="@5C\QPendientes@">
          <a:extLst>
            <a:ext uri="{FF2B5EF4-FFF2-40B4-BE49-F238E27FC236}">
              <a16:creationId xmlns:a16="http://schemas.microsoft.com/office/drawing/2014/main" id="{9D62860C-39DC-4BF3-90E4-A7C08FD0B4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9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133350</xdr:rowOff>
    </xdr:to>
    <xdr:pic>
      <xdr:nvPicPr>
        <xdr:cNvPr id="814" name="Picture@5C\QPendientes@" descr="@5C\QPendientes@">
          <a:extLst>
            <a:ext uri="{FF2B5EF4-FFF2-40B4-BE49-F238E27FC236}">
              <a16:creationId xmlns:a16="http://schemas.microsoft.com/office/drawing/2014/main" id="{F5F082E8-C8A7-480E-BE01-1266CE8DB2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7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133350</xdr:rowOff>
    </xdr:to>
    <xdr:pic>
      <xdr:nvPicPr>
        <xdr:cNvPr id="815" name="Picture@5C\QPendientes@" descr="@5C\QPendientes@">
          <a:extLst>
            <a:ext uri="{FF2B5EF4-FFF2-40B4-BE49-F238E27FC236}">
              <a16:creationId xmlns:a16="http://schemas.microsoft.com/office/drawing/2014/main" id="{C7E59BE0-FCF5-45EB-A5D8-843739FEC0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6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133350</xdr:rowOff>
    </xdr:to>
    <xdr:pic>
      <xdr:nvPicPr>
        <xdr:cNvPr id="816" name="Picture@5C\QPendientes@" descr="@5C\QPendientes@">
          <a:extLst>
            <a:ext uri="{FF2B5EF4-FFF2-40B4-BE49-F238E27FC236}">
              <a16:creationId xmlns:a16="http://schemas.microsoft.com/office/drawing/2014/main" id="{A4CC6682-397A-49A4-A643-1258FB351A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133350</xdr:rowOff>
    </xdr:to>
    <xdr:pic>
      <xdr:nvPicPr>
        <xdr:cNvPr id="817" name="Picture@5C\QPendientes@" descr="@5C\QPendientes@">
          <a:extLst>
            <a:ext uri="{FF2B5EF4-FFF2-40B4-BE49-F238E27FC236}">
              <a16:creationId xmlns:a16="http://schemas.microsoft.com/office/drawing/2014/main" id="{2E7C4C6C-7A9D-4B8B-A55E-5107058EB4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2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133350</xdr:rowOff>
    </xdr:to>
    <xdr:pic>
      <xdr:nvPicPr>
        <xdr:cNvPr id="818" name="Picture@5C\QPendientes@" descr="@5C\QPendientes@">
          <a:extLst>
            <a:ext uri="{FF2B5EF4-FFF2-40B4-BE49-F238E27FC236}">
              <a16:creationId xmlns:a16="http://schemas.microsoft.com/office/drawing/2014/main" id="{D16B50D4-DB64-44C9-B865-EC62461EB3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0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133350</xdr:rowOff>
    </xdr:to>
    <xdr:pic>
      <xdr:nvPicPr>
        <xdr:cNvPr id="819" name="Picture@5C\QPendientes@" descr="@5C\QPendientes@">
          <a:extLst>
            <a:ext uri="{FF2B5EF4-FFF2-40B4-BE49-F238E27FC236}">
              <a16:creationId xmlns:a16="http://schemas.microsoft.com/office/drawing/2014/main" id="{C98D5578-192C-40C2-849D-E275332F30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9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133350</xdr:rowOff>
    </xdr:to>
    <xdr:pic>
      <xdr:nvPicPr>
        <xdr:cNvPr id="820" name="Picture@5C\QPendientes@" descr="@5C\QPendientes@">
          <a:extLst>
            <a:ext uri="{FF2B5EF4-FFF2-40B4-BE49-F238E27FC236}">
              <a16:creationId xmlns:a16="http://schemas.microsoft.com/office/drawing/2014/main" id="{8732631C-3E99-490B-8DA5-4B7D805CB8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7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133350</xdr:rowOff>
    </xdr:to>
    <xdr:pic>
      <xdr:nvPicPr>
        <xdr:cNvPr id="821" name="Picture@5C\QPendientes@" descr="@5C\QPendientes@">
          <a:extLst>
            <a:ext uri="{FF2B5EF4-FFF2-40B4-BE49-F238E27FC236}">
              <a16:creationId xmlns:a16="http://schemas.microsoft.com/office/drawing/2014/main" id="{70570F3A-DCD8-4FC5-A6B0-7445651723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5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133350</xdr:rowOff>
    </xdr:to>
    <xdr:pic>
      <xdr:nvPicPr>
        <xdr:cNvPr id="822" name="Picture@5C\QPendientes@" descr="@5C\QPendientes@">
          <a:extLst>
            <a:ext uri="{FF2B5EF4-FFF2-40B4-BE49-F238E27FC236}">
              <a16:creationId xmlns:a16="http://schemas.microsoft.com/office/drawing/2014/main" id="{603850D7-0BB1-4351-95A7-6AF0E477E2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4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133350</xdr:rowOff>
    </xdr:to>
    <xdr:pic>
      <xdr:nvPicPr>
        <xdr:cNvPr id="823" name="Picture@5C\QPendientes@" descr="@5C\QPendientes@">
          <a:extLst>
            <a:ext uri="{FF2B5EF4-FFF2-40B4-BE49-F238E27FC236}">
              <a16:creationId xmlns:a16="http://schemas.microsoft.com/office/drawing/2014/main" id="{7875D15A-8057-4B4B-A13F-59E8837081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2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133350</xdr:rowOff>
    </xdr:to>
    <xdr:pic>
      <xdr:nvPicPr>
        <xdr:cNvPr id="824" name="Picture@5C\QPendientes@" descr="@5C\QPendientes@">
          <a:extLst>
            <a:ext uri="{FF2B5EF4-FFF2-40B4-BE49-F238E27FC236}">
              <a16:creationId xmlns:a16="http://schemas.microsoft.com/office/drawing/2014/main" id="{8C142381-B4FE-41D9-B989-410525A5C8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0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133350</xdr:rowOff>
    </xdr:to>
    <xdr:pic>
      <xdr:nvPicPr>
        <xdr:cNvPr id="825" name="Picture@5C\QPendientes@" descr="@5C\QPendientes@">
          <a:extLst>
            <a:ext uri="{FF2B5EF4-FFF2-40B4-BE49-F238E27FC236}">
              <a16:creationId xmlns:a16="http://schemas.microsoft.com/office/drawing/2014/main" id="{9911C3DB-8C86-431C-9FC6-FB3C8AA889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8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133350</xdr:rowOff>
    </xdr:to>
    <xdr:pic>
      <xdr:nvPicPr>
        <xdr:cNvPr id="826" name="Picture@5C\QPendientes@" descr="@5C\QPendientes@">
          <a:extLst>
            <a:ext uri="{FF2B5EF4-FFF2-40B4-BE49-F238E27FC236}">
              <a16:creationId xmlns:a16="http://schemas.microsoft.com/office/drawing/2014/main" id="{5D118D2F-5E93-45CB-B935-E434265C3C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133350</xdr:rowOff>
    </xdr:to>
    <xdr:pic>
      <xdr:nvPicPr>
        <xdr:cNvPr id="827" name="Picture@5C\QPendientes@" descr="@5C\QPendientes@">
          <a:extLst>
            <a:ext uri="{FF2B5EF4-FFF2-40B4-BE49-F238E27FC236}">
              <a16:creationId xmlns:a16="http://schemas.microsoft.com/office/drawing/2014/main" id="{F1D5CC65-2007-40E8-B6BF-87435F4B40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5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133350</xdr:rowOff>
    </xdr:to>
    <xdr:pic>
      <xdr:nvPicPr>
        <xdr:cNvPr id="828" name="Picture@5C\QPendientes@" descr="@5C\QPendientes@">
          <a:extLst>
            <a:ext uri="{FF2B5EF4-FFF2-40B4-BE49-F238E27FC236}">
              <a16:creationId xmlns:a16="http://schemas.microsoft.com/office/drawing/2014/main" id="{AF24E152-8349-4D09-8C39-4993F06D6C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3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133350</xdr:rowOff>
    </xdr:to>
    <xdr:pic>
      <xdr:nvPicPr>
        <xdr:cNvPr id="829" name="Picture@5C\QPendientes@" descr="@5C\QPendientes@">
          <a:extLst>
            <a:ext uri="{FF2B5EF4-FFF2-40B4-BE49-F238E27FC236}">
              <a16:creationId xmlns:a16="http://schemas.microsoft.com/office/drawing/2014/main" id="{13D7F208-7495-4C8A-9090-0D56DC0D81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2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133350</xdr:rowOff>
    </xdr:to>
    <xdr:pic>
      <xdr:nvPicPr>
        <xdr:cNvPr id="830" name="Picture@5C\QPendientes@" descr="@5C\QPendientes@">
          <a:extLst>
            <a:ext uri="{FF2B5EF4-FFF2-40B4-BE49-F238E27FC236}">
              <a16:creationId xmlns:a16="http://schemas.microsoft.com/office/drawing/2014/main" id="{0804B8AA-28C8-4002-8BDE-0B418B5B8A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0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133350</xdr:rowOff>
    </xdr:to>
    <xdr:pic>
      <xdr:nvPicPr>
        <xdr:cNvPr id="831" name="Picture@5C\QPendientes@" descr="@5C\QPendientes@">
          <a:extLst>
            <a:ext uri="{FF2B5EF4-FFF2-40B4-BE49-F238E27FC236}">
              <a16:creationId xmlns:a16="http://schemas.microsoft.com/office/drawing/2014/main" id="{A990E6FD-C69D-44B6-BE4E-08C035A945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8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133350</xdr:rowOff>
    </xdr:to>
    <xdr:pic>
      <xdr:nvPicPr>
        <xdr:cNvPr id="832" name="Picture@5C\QPendientes@" descr="@5C\QPendientes@">
          <a:extLst>
            <a:ext uri="{FF2B5EF4-FFF2-40B4-BE49-F238E27FC236}">
              <a16:creationId xmlns:a16="http://schemas.microsoft.com/office/drawing/2014/main" id="{2A7C57D7-E05D-43D1-A0D9-E21494128F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7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133350</xdr:rowOff>
    </xdr:to>
    <xdr:pic>
      <xdr:nvPicPr>
        <xdr:cNvPr id="833" name="Picture@5C\QPendientes@" descr="@5C\QPendientes@">
          <a:extLst>
            <a:ext uri="{FF2B5EF4-FFF2-40B4-BE49-F238E27FC236}">
              <a16:creationId xmlns:a16="http://schemas.microsoft.com/office/drawing/2014/main" id="{4C1367F3-B16C-4377-9307-9FB0378C4C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5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133350</xdr:rowOff>
    </xdr:to>
    <xdr:pic>
      <xdr:nvPicPr>
        <xdr:cNvPr id="834" name="Picture@5C\QPendientes@" descr="@5C\QPendientes@">
          <a:extLst>
            <a:ext uri="{FF2B5EF4-FFF2-40B4-BE49-F238E27FC236}">
              <a16:creationId xmlns:a16="http://schemas.microsoft.com/office/drawing/2014/main" id="{712E6C8A-A484-4A2A-A4FA-C4312EC40E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3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133350</xdr:rowOff>
    </xdr:to>
    <xdr:pic>
      <xdr:nvPicPr>
        <xdr:cNvPr id="835" name="Picture@5C\QPendientes@" descr="@5C\QPendientes@">
          <a:extLst>
            <a:ext uri="{FF2B5EF4-FFF2-40B4-BE49-F238E27FC236}">
              <a16:creationId xmlns:a16="http://schemas.microsoft.com/office/drawing/2014/main" id="{C03A7F10-0C68-43CD-BB24-2B4ABA9FAA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1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133350</xdr:rowOff>
    </xdr:to>
    <xdr:pic>
      <xdr:nvPicPr>
        <xdr:cNvPr id="836" name="Picture@5C\QPendientes@" descr="@5C\QPendientes@">
          <a:extLst>
            <a:ext uri="{FF2B5EF4-FFF2-40B4-BE49-F238E27FC236}">
              <a16:creationId xmlns:a16="http://schemas.microsoft.com/office/drawing/2014/main" id="{B81FC055-CBF0-4B63-B97A-36DEB48AEE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0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133350</xdr:rowOff>
    </xdr:to>
    <xdr:pic>
      <xdr:nvPicPr>
        <xdr:cNvPr id="837" name="Picture@5C\QPendientes@" descr="@5C\QPendientes@">
          <a:extLst>
            <a:ext uri="{FF2B5EF4-FFF2-40B4-BE49-F238E27FC236}">
              <a16:creationId xmlns:a16="http://schemas.microsoft.com/office/drawing/2014/main" id="{38F5085C-003F-444D-A651-0FE2CAA546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98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133350</xdr:rowOff>
    </xdr:to>
    <xdr:pic>
      <xdr:nvPicPr>
        <xdr:cNvPr id="838" name="Picture@5C\QPendientes@" descr="@5C\QPendientes@">
          <a:extLst>
            <a:ext uri="{FF2B5EF4-FFF2-40B4-BE49-F238E27FC236}">
              <a16:creationId xmlns:a16="http://schemas.microsoft.com/office/drawing/2014/main" id="{9CC8F8E8-990A-4389-864D-627C9E43F9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16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133350</xdr:rowOff>
    </xdr:to>
    <xdr:pic>
      <xdr:nvPicPr>
        <xdr:cNvPr id="839" name="Picture@5C\QPendientes@" descr="@5C\QPendientes@">
          <a:extLst>
            <a:ext uri="{FF2B5EF4-FFF2-40B4-BE49-F238E27FC236}">
              <a16:creationId xmlns:a16="http://schemas.microsoft.com/office/drawing/2014/main" id="{E131D918-4F49-4562-AEFA-66BA03E916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5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133350</xdr:rowOff>
    </xdr:to>
    <xdr:pic>
      <xdr:nvPicPr>
        <xdr:cNvPr id="840" name="Picture@5C\QPendientes@" descr="@5C\QPendientes@">
          <a:extLst>
            <a:ext uri="{FF2B5EF4-FFF2-40B4-BE49-F238E27FC236}">
              <a16:creationId xmlns:a16="http://schemas.microsoft.com/office/drawing/2014/main" id="{FE6C62B1-1444-4BD3-9319-D0D8B3F9A9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3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133350</xdr:rowOff>
    </xdr:to>
    <xdr:pic>
      <xdr:nvPicPr>
        <xdr:cNvPr id="841" name="Picture@5C\QPendientes@" descr="@5C\QPendientes@">
          <a:extLst>
            <a:ext uri="{FF2B5EF4-FFF2-40B4-BE49-F238E27FC236}">
              <a16:creationId xmlns:a16="http://schemas.microsoft.com/office/drawing/2014/main" id="{27AD7BDB-8AE4-461C-B61E-A92132AD6D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71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133350</xdr:rowOff>
    </xdr:to>
    <xdr:pic>
      <xdr:nvPicPr>
        <xdr:cNvPr id="842" name="Picture@5C\QPendientes@" descr="@5C\QPendientes@">
          <a:extLst>
            <a:ext uri="{FF2B5EF4-FFF2-40B4-BE49-F238E27FC236}">
              <a16:creationId xmlns:a16="http://schemas.microsoft.com/office/drawing/2014/main" id="{8DA45B82-BAAC-43B5-8EB6-9EA856C802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89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133350</xdr:rowOff>
    </xdr:to>
    <xdr:pic>
      <xdr:nvPicPr>
        <xdr:cNvPr id="843" name="Picture@5C\QPendientes@" descr="@5C\QPendientes@">
          <a:extLst>
            <a:ext uri="{FF2B5EF4-FFF2-40B4-BE49-F238E27FC236}">
              <a16:creationId xmlns:a16="http://schemas.microsoft.com/office/drawing/2014/main" id="{68BEF335-843B-42C4-A842-83523A648C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08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133350</xdr:rowOff>
    </xdr:to>
    <xdr:pic>
      <xdr:nvPicPr>
        <xdr:cNvPr id="844" name="Picture@5C\QPendientes@" descr="@5C\QPendientes@">
          <a:extLst>
            <a:ext uri="{FF2B5EF4-FFF2-40B4-BE49-F238E27FC236}">
              <a16:creationId xmlns:a16="http://schemas.microsoft.com/office/drawing/2014/main" id="{633083B0-13FE-4B0E-997A-71BFBB9499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26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133350</xdr:rowOff>
    </xdr:to>
    <xdr:pic>
      <xdr:nvPicPr>
        <xdr:cNvPr id="845" name="Picture@5C\QPendientes@" descr="@5C\QPendientes@">
          <a:extLst>
            <a:ext uri="{FF2B5EF4-FFF2-40B4-BE49-F238E27FC236}">
              <a16:creationId xmlns:a16="http://schemas.microsoft.com/office/drawing/2014/main" id="{8239A2FB-BDC4-4125-90D1-F8BDCBA038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44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133350</xdr:rowOff>
    </xdr:to>
    <xdr:pic>
      <xdr:nvPicPr>
        <xdr:cNvPr id="846" name="Picture@5C\QPendientes@" descr="@5C\QPendientes@">
          <a:extLst>
            <a:ext uri="{FF2B5EF4-FFF2-40B4-BE49-F238E27FC236}">
              <a16:creationId xmlns:a16="http://schemas.microsoft.com/office/drawing/2014/main" id="{457235CD-2537-49B5-A9BC-2D63E19859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3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133350</xdr:rowOff>
    </xdr:to>
    <xdr:pic>
      <xdr:nvPicPr>
        <xdr:cNvPr id="847" name="Picture@5C\QPendientes@" descr="@5C\QPendientes@">
          <a:extLst>
            <a:ext uri="{FF2B5EF4-FFF2-40B4-BE49-F238E27FC236}">
              <a16:creationId xmlns:a16="http://schemas.microsoft.com/office/drawing/2014/main" id="{707E3221-0DA8-4C76-8D36-6949EC9C93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81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133350</xdr:rowOff>
    </xdr:to>
    <xdr:pic>
      <xdr:nvPicPr>
        <xdr:cNvPr id="848" name="Picture@5C\QPendientes@" descr="@5C\QPendientes@">
          <a:extLst>
            <a:ext uri="{FF2B5EF4-FFF2-40B4-BE49-F238E27FC236}">
              <a16:creationId xmlns:a16="http://schemas.microsoft.com/office/drawing/2014/main" id="{6E27CFDD-AD51-4D75-8205-3B9895D302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99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133350</xdr:rowOff>
    </xdr:to>
    <xdr:pic>
      <xdr:nvPicPr>
        <xdr:cNvPr id="849" name="Picture@5C\QPendientes@" descr="@5C\QPendientes@">
          <a:extLst>
            <a:ext uri="{FF2B5EF4-FFF2-40B4-BE49-F238E27FC236}">
              <a16:creationId xmlns:a16="http://schemas.microsoft.com/office/drawing/2014/main" id="{8EE7CB61-2692-424D-B21C-30427D7090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17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133350</xdr:rowOff>
    </xdr:to>
    <xdr:pic>
      <xdr:nvPicPr>
        <xdr:cNvPr id="850" name="Picture@5C\QPendientes@" descr="@5C\QPendientes@">
          <a:extLst>
            <a:ext uri="{FF2B5EF4-FFF2-40B4-BE49-F238E27FC236}">
              <a16:creationId xmlns:a16="http://schemas.microsoft.com/office/drawing/2014/main" id="{479C0F62-4A09-46D7-A669-881778A2E7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36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133350</xdr:rowOff>
    </xdr:to>
    <xdr:pic>
      <xdr:nvPicPr>
        <xdr:cNvPr id="851" name="Picture@5C\QPendientes@" descr="@5C\QPendientes@">
          <a:extLst>
            <a:ext uri="{FF2B5EF4-FFF2-40B4-BE49-F238E27FC236}">
              <a16:creationId xmlns:a16="http://schemas.microsoft.com/office/drawing/2014/main" id="{F90F8B82-1253-4349-B75D-3B83E11167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54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133350</xdr:rowOff>
    </xdr:to>
    <xdr:pic>
      <xdr:nvPicPr>
        <xdr:cNvPr id="852" name="Picture@5C\QPendientes@" descr="@5C\QPendientes@">
          <a:extLst>
            <a:ext uri="{FF2B5EF4-FFF2-40B4-BE49-F238E27FC236}">
              <a16:creationId xmlns:a16="http://schemas.microsoft.com/office/drawing/2014/main" id="{15503D97-AF6B-40F3-A401-16DDF41E24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72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133350</xdr:rowOff>
    </xdr:to>
    <xdr:pic>
      <xdr:nvPicPr>
        <xdr:cNvPr id="853" name="Picture@5C\QPendientes@" descr="@5C\QPendientes@">
          <a:extLst>
            <a:ext uri="{FF2B5EF4-FFF2-40B4-BE49-F238E27FC236}">
              <a16:creationId xmlns:a16="http://schemas.microsoft.com/office/drawing/2014/main" id="{C34BECA1-DE99-4FCF-888C-F51A1AA4A7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91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133350</xdr:rowOff>
    </xdr:to>
    <xdr:pic>
      <xdr:nvPicPr>
        <xdr:cNvPr id="854" name="Picture@5C\QPendientes@" descr="@5C\QPendientes@">
          <a:extLst>
            <a:ext uri="{FF2B5EF4-FFF2-40B4-BE49-F238E27FC236}">
              <a16:creationId xmlns:a16="http://schemas.microsoft.com/office/drawing/2014/main" id="{10F6864D-A437-4979-9C9C-E9884678FF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09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133350</xdr:rowOff>
    </xdr:to>
    <xdr:pic>
      <xdr:nvPicPr>
        <xdr:cNvPr id="855" name="Picture@5C\QPendientes@" descr="@5C\QPendientes@">
          <a:extLst>
            <a:ext uri="{FF2B5EF4-FFF2-40B4-BE49-F238E27FC236}">
              <a16:creationId xmlns:a16="http://schemas.microsoft.com/office/drawing/2014/main" id="{0BF6EDC2-3E89-426B-807A-3D92AE3C53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27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133350</xdr:rowOff>
    </xdr:to>
    <xdr:pic>
      <xdr:nvPicPr>
        <xdr:cNvPr id="856" name="Picture@5C\QPendientes@" descr="@5C\QPendientes@">
          <a:extLst>
            <a:ext uri="{FF2B5EF4-FFF2-40B4-BE49-F238E27FC236}">
              <a16:creationId xmlns:a16="http://schemas.microsoft.com/office/drawing/2014/main" id="{32E2484B-C985-452E-A763-2924366A46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5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133350</xdr:rowOff>
    </xdr:to>
    <xdr:pic>
      <xdr:nvPicPr>
        <xdr:cNvPr id="857" name="Picture@5C\QPendientes@" descr="@5C\QPendientes@">
          <a:extLst>
            <a:ext uri="{FF2B5EF4-FFF2-40B4-BE49-F238E27FC236}">
              <a16:creationId xmlns:a16="http://schemas.microsoft.com/office/drawing/2014/main" id="{DB5EE333-1384-43FE-A3A6-5C8BE1AA82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64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133350</xdr:rowOff>
    </xdr:to>
    <xdr:pic>
      <xdr:nvPicPr>
        <xdr:cNvPr id="858" name="Picture@5C\QPendientes@" descr="@5C\QPendientes@">
          <a:extLst>
            <a:ext uri="{FF2B5EF4-FFF2-40B4-BE49-F238E27FC236}">
              <a16:creationId xmlns:a16="http://schemas.microsoft.com/office/drawing/2014/main" id="{1CB6B6FB-4D44-4C39-A942-C9E2C35357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82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133350</xdr:rowOff>
    </xdr:to>
    <xdr:pic>
      <xdr:nvPicPr>
        <xdr:cNvPr id="859" name="Picture@5C\QPendientes@" descr="@5C\QPendientes@">
          <a:extLst>
            <a:ext uri="{FF2B5EF4-FFF2-40B4-BE49-F238E27FC236}">
              <a16:creationId xmlns:a16="http://schemas.microsoft.com/office/drawing/2014/main" id="{26BD0E72-7981-4636-8101-167D2A9CD7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00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133350</xdr:rowOff>
    </xdr:to>
    <xdr:pic>
      <xdr:nvPicPr>
        <xdr:cNvPr id="860" name="Picture@5C\QPendientes@" descr="@5C\QPendientes@">
          <a:extLst>
            <a:ext uri="{FF2B5EF4-FFF2-40B4-BE49-F238E27FC236}">
              <a16:creationId xmlns:a16="http://schemas.microsoft.com/office/drawing/2014/main" id="{FECD463A-258E-43EB-9B65-61C1D4354B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19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133350</xdr:rowOff>
    </xdr:to>
    <xdr:pic>
      <xdr:nvPicPr>
        <xdr:cNvPr id="861" name="Picture@5C\QPendientes@" descr="@5C\QPendientes@">
          <a:extLst>
            <a:ext uri="{FF2B5EF4-FFF2-40B4-BE49-F238E27FC236}">
              <a16:creationId xmlns:a16="http://schemas.microsoft.com/office/drawing/2014/main" id="{9EEA4A57-F518-4EDC-9F59-B0D4BDCBE8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37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133350</xdr:rowOff>
    </xdr:to>
    <xdr:pic>
      <xdr:nvPicPr>
        <xdr:cNvPr id="862" name="Picture@5C\QPendientes@" descr="@5C\QPendientes@">
          <a:extLst>
            <a:ext uri="{FF2B5EF4-FFF2-40B4-BE49-F238E27FC236}">
              <a16:creationId xmlns:a16="http://schemas.microsoft.com/office/drawing/2014/main" id="{3CE3E457-B382-4C72-B1BF-D8B2E45529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55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133350</xdr:rowOff>
    </xdr:to>
    <xdr:pic>
      <xdr:nvPicPr>
        <xdr:cNvPr id="863" name="Picture@5C\QPendientes@" descr="@5C\QPendientes@">
          <a:extLst>
            <a:ext uri="{FF2B5EF4-FFF2-40B4-BE49-F238E27FC236}">
              <a16:creationId xmlns:a16="http://schemas.microsoft.com/office/drawing/2014/main" id="{1F0EBDAD-B1B3-4D98-ADF6-1FF08D3D65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73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133350</xdr:rowOff>
    </xdr:to>
    <xdr:pic>
      <xdr:nvPicPr>
        <xdr:cNvPr id="864" name="Picture@5C\QPendientes@" descr="@5C\QPendientes@">
          <a:extLst>
            <a:ext uri="{FF2B5EF4-FFF2-40B4-BE49-F238E27FC236}">
              <a16:creationId xmlns:a16="http://schemas.microsoft.com/office/drawing/2014/main" id="{3A119B9C-E0BD-49A8-902B-AC4C038997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92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133350</xdr:rowOff>
    </xdr:to>
    <xdr:pic>
      <xdr:nvPicPr>
        <xdr:cNvPr id="865" name="Picture@5C\QPendientes@" descr="@5C\QPendientes@">
          <a:extLst>
            <a:ext uri="{FF2B5EF4-FFF2-40B4-BE49-F238E27FC236}">
              <a16:creationId xmlns:a16="http://schemas.microsoft.com/office/drawing/2014/main" id="{A098E4F2-AB43-4DD5-98B0-DF324660AE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10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133350</xdr:rowOff>
    </xdr:to>
    <xdr:pic>
      <xdr:nvPicPr>
        <xdr:cNvPr id="866" name="Picture@5C\QPendientes@" descr="@5C\QPendientes@">
          <a:extLst>
            <a:ext uri="{FF2B5EF4-FFF2-40B4-BE49-F238E27FC236}">
              <a16:creationId xmlns:a16="http://schemas.microsoft.com/office/drawing/2014/main" id="{3083BDBC-D459-4977-A99D-10764BF0F6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133350</xdr:rowOff>
    </xdr:to>
    <xdr:pic>
      <xdr:nvPicPr>
        <xdr:cNvPr id="867" name="Picture@5C\QPendientes@" descr="@5C\QPendientes@">
          <a:extLst>
            <a:ext uri="{FF2B5EF4-FFF2-40B4-BE49-F238E27FC236}">
              <a16:creationId xmlns:a16="http://schemas.microsoft.com/office/drawing/2014/main" id="{4BB552FA-F571-4C6F-B726-1A2D3BC864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47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133350</xdr:rowOff>
    </xdr:to>
    <xdr:pic>
      <xdr:nvPicPr>
        <xdr:cNvPr id="868" name="Picture@5C\QPendientes@" descr="@5C\QPendientes@">
          <a:extLst>
            <a:ext uri="{FF2B5EF4-FFF2-40B4-BE49-F238E27FC236}">
              <a16:creationId xmlns:a16="http://schemas.microsoft.com/office/drawing/2014/main" id="{F82D2AE8-CE99-4C46-AED8-20958BD13A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65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133350</xdr:rowOff>
    </xdr:to>
    <xdr:pic>
      <xdr:nvPicPr>
        <xdr:cNvPr id="869" name="Picture@5C\QPendientes@" descr="@5C\QPendientes@">
          <a:extLst>
            <a:ext uri="{FF2B5EF4-FFF2-40B4-BE49-F238E27FC236}">
              <a16:creationId xmlns:a16="http://schemas.microsoft.com/office/drawing/2014/main" id="{F822E64B-4E9F-4FBC-9438-B5C19894F7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83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133350</xdr:rowOff>
    </xdr:to>
    <xdr:pic>
      <xdr:nvPicPr>
        <xdr:cNvPr id="870" name="Picture@5C\QPendientes@" descr="@5C\QPendientes@">
          <a:extLst>
            <a:ext uri="{FF2B5EF4-FFF2-40B4-BE49-F238E27FC236}">
              <a16:creationId xmlns:a16="http://schemas.microsoft.com/office/drawing/2014/main" id="{F59612E4-2861-49AD-8D15-C8EA947FA8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01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133350</xdr:rowOff>
    </xdr:to>
    <xdr:pic>
      <xdr:nvPicPr>
        <xdr:cNvPr id="871" name="Picture@5C\QPendientes@" descr="@5C\QPendientes@">
          <a:extLst>
            <a:ext uri="{FF2B5EF4-FFF2-40B4-BE49-F238E27FC236}">
              <a16:creationId xmlns:a16="http://schemas.microsoft.com/office/drawing/2014/main" id="{3242CC66-39B2-4C5A-A8DD-BCB6ACF104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20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133350</xdr:rowOff>
    </xdr:to>
    <xdr:pic>
      <xdr:nvPicPr>
        <xdr:cNvPr id="872" name="Picture@5C\QPendientes@" descr="@5C\QPendientes@">
          <a:extLst>
            <a:ext uri="{FF2B5EF4-FFF2-40B4-BE49-F238E27FC236}">
              <a16:creationId xmlns:a16="http://schemas.microsoft.com/office/drawing/2014/main" id="{A254F97E-95BE-4AD1-88AA-478E5529AA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38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133350</xdr:rowOff>
    </xdr:to>
    <xdr:pic>
      <xdr:nvPicPr>
        <xdr:cNvPr id="873" name="Picture@5C\QPendientes@" descr="@5C\QPendientes@">
          <a:extLst>
            <a:ext uri="{FF2B5EF4-FFF2-40B4-BE49-F238E27FC236}">
              <a16:creationId xmlns:a16="http://schemas.microsoft.com/office/drawing/2014/main" id="{4F4C3250-3DDB-4957-80B5-866B234A0B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56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133350</xdr:rowOff>
    </xdr:to>
    <xdr:pic>
      <xdr:nvPicPr>
        <xdr:cNvPr id="874" name="Picture@5C\QPendientes@" descr="@5C\QPendientes@">
          <a:extLst>
            <a:ext uri="{FF2B5EF4-FFF2-40B4-BE49-F238E27FC236}">
              <a16:creationId xmlns:a16="http://schemas.microsoft.com/office/drawing/2014/main" id="{9A95923B-E5F9-46A9-9DCA-206571627F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75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133350</xdr:rowOff>
    </xdr:to>
    <xdr:pic>
      <xdr:nvPicPr>
        <xdr:cNvPr id="875" name="Picture@5C\QPendientes@" descr="@5C\QPendientes@">
          <a:extLst>
            <a:ext uri="{FF2B5EF4-FFF2-40B4-BE49-F238E27FC236}">
              <a16:creationId xmlns:a16="http://schemas.microsoft.com/office/drawing/2014/main" id="{AF6FF761-9E0E-4466-A841-2D0E04AA52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93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133350</xdr:rowOff>
    </xdr:to>
    <xdr:pic>
      <xdr:nvPicPr>
        <xdr:cNvPr id="876" name="Picture@5C\QPendientes@" descr="@5C\QPendientes@">
          <a:extLst>
            <a:ext uri="{FF2B5EF4-FFF2-40B4-BE49-F238E27FC236}">
              <a16:creationId xmlns:a16="http://schemas.microsoft.com/office/drawing/2014/main" id="{DD35305A-8A40-4D91-A6F0-C6A011CD72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1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133350</xdr:rowOff>
    </xdr:to>
    <xdr:pic>
      <xdr:nvPicPr>
        <xdr:cNvPr id="877" name="Picture@5C\QPendientes@" descr="@5C\QPendientes@">
          <a:extLst>
            <a:ext uri="{FF2B5EF4-FFF2-40B4-BE49-F238E27FC236}">
              <a16:creationId xmlns:a16="http://schemas.microsoft.com/office/drawing/2014/main" id="{FEDA1A53-B7D0-41CF-B749-15FAD24A2A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29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133350</xdr:rowOff>
    </xdr:to>
    <xdr:pic>
      <xdr:nvPicPr>
        <xdr:cNvPr id="878" name="Picture@5C\QPendientes@" descr="@5C\QPendientes@">
          <a:extLst>
            <a:ext uri="{FF2B5EF4-FFF2-40B4-BE49-F238E27FC236}">
              <a16:creationId xmlns:a16="http://schemas.microsoft.com/office/drawing/2014/main" id="{578DDF8F-DE08-47BA-919D-0A8BBB0969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48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133350</xdr:rowOff>
    </xdr:to>
    <xdr:pic>
      <xdr:nvPicPr>
        <xdr:cNvPr id="879" name="Picture@5C\QPendientes@" descr="@5C\QPendientes@">
          <a:extLst>
            <a:ext uri="{FF2B5EF4-FFF2-40B4-BE49-F238E27FC236}">
              <a16:creationId xmlns:a16="http://schemas.microsoft.com/office/drawing/2014/main" id="{FAEF2D78-FD32-4AAB-A7B5-0306810D7D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66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133350</xdr:rowOff>
    </xdr:to>
    <xdr:pic>
      <xdr:nvPicPr>
        <xdr:cNvPr id="880" name="Picture@5C\QPendientes@" descr="@5C\QPendientes@">
          <a:extLst>
            <a:ext uri="{FF2B5EF4-FFF2-40B4-BE49-F238E27FC236}">
              <a16:creationId xmlns:a16="http://schemas.microsoft.com/office/drawing/2014/main" id="{FB6E89D7-6433-4163-970B-4D13AC78B6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84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133350</xdr:rowOff>
    </xdr:to>
    <xdr:pic>
      <xdr:nvPicPr>
        <xdr:cNvPr id="881" name="Picture@5C\QPendientes@" descr="@5C\QPendientes@">
          <a:extLst>
            <a:ext uri="{FF2B5EF4-FFF2-40B4-BE49-F238E27FC236}">
              <a16:creationId xmlns:a16="http://schemas.microsoft.com/office/drawing/2014/main" id="{16965C37-1841-49A1-B86E-1A4742CF6D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03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133350</xdr:rowOff>
    </xdr:to>
    <xdr:pic>
      <xdr:nvPicPr>
        <xdr:cNvPr id="882" name="Picture@5C\QPendientes@" descr="@5C\QPendientes@">
          <a:extLst>
            <a:ext uri="{FF2B5EF4-FFF2-40B4-BE49-F238E27FC236}">
              <a16:creationId xmlns:a16="http://schemas.microsoft.com/office/drawing/2014/main" id="{F7540845-010E-45E4-9660-B59841BB7D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21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133350</xdr:rowOff>
    </xdr:to>
    <xdr:pic>
      <xdr:nvPicPr>
        <xdr:cNvPr id="883" name="Picture@5C\QPendientes@" descr="@5C\QPendientes@">
          <a:extLst>
            <a:ext uri="{FF2B5EF4-FFF2-40B4-BE49-F238E27FC236}">
              <a16:creationId xmlns:a16="http://schemas.microsoft.com/office/drawing/2014/main" id="{BEB0AF60-E739-451F-BD87-91651DA885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39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133350</xdr:rowOff>
    </xdr:to>
    <xdr:pic>
      <xdr:nvPicPr>
        <xdr:cNvPr id="884" name="Picture@5C\QPendientes@" descr="@5C\QPendientes@">
          <a:extLst>
            <a:ext uri="{FF2B5EF4-FFF2-40B4-BE49-F238E27FC236}">
              <a16:creationId xmlns:a16="http://schemas.microsoft.com/office/drawing/2014/main" id="{692DA0A2-00F7-4AC9-9993-208DC2F48F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57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133350</xdr:rowOff>
    </xdr:to>
    <xdr:pic>
      <xdr:nvPicPr>
        <xdr:cNvPr id="885" name="Picture@5C\QPendientes@" descr="@5C\QPendientes@">
          <a:extLst>
            <a:ext uri="{FF2B5EF4-FFF2-40B4-BE49-F238E27FC236}">
              <a16:creationId xmlns:a16="http://schemas.microsoft.com/office/drawing/2014/main" id="{8DE3E0AF-1748-4A55-B7DD-C095A29714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76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133350</xdr:rowOff>
    </xdr:to>
    <xdr:pic>
      <xdr:nvPicPr>
        <xdr:cNvPr id="886" name="Picture@5C\QPendientes@" descr="@5C\QPendientes@">
          <a:extLst>
            <a:ext uri="{FF2B5EF4-FFF2-40B4-BE49-F238E27FC236}">
              <a16:creationId xmlns:a16="http://schemas.microsoft.com/office/drawing/2014/main" id="{E94A42DE-E004-48C1-B557-90B0A57ECF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4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133350</xdr:rowOff>
    </xdr:to>
    <xdr:pic>
      <xdr:nvPicPr>
        <xdr:cNvPr id="887" name="Picture@5C\QPendientes@" descr="@5C\QPendientes@">
          <a:extLst>
            <a:ext uri="{FF2B5EF4-FFF2-40B4-BE49-F238E27FC236}">
              <a16:creationId xmlns:a16="http://schemas.microsoft.com/office/drawing/2014/main" id="{99C04453-76C0-4435-B793-2EC750F037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12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133350</xdr:rowOff>
    </xdr:to>
    <xdr:pic>
      <xdr:nvPicPr>
        <xdr:cNvPr id="888" name="Picture@5C\QPendientes@" descr="@5C\QPendientes@">
          <a:extLst>
            <a:ext uri="{FF2B5EF4-FFF2-40B4-BE49-F238E27FC236}">
              <a16:creationId xmlns:a16="http://schemas.microsoft.com/office/drawing/2014/main" id="{05E3FCE6-B098-4771-B331-27B730033A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31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133350</xdr:rowOff>
    </xdr:to>
    <xdr:pic>
      <xdr:nvPicPr>
        <xdr:cNvPr id="889" name="Picture@5C\QPendientes@" descr="@5C\QPendientes@">
          <a:extLst>
            <a:ext uri="{FF2B5EF4-FFF2-40B4-BE49-F238E27FC236}">
              <a16:creationId xmlns:a16="http://schemas.microsoft.com/office/drawing/2014/main" id="{FFE026B4-F4F5-4E53-9C96-50EEAC8301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49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133350</xdr:rowOff>
    </xdr:to>
    <xdr:pic>
      <xdr:nvPicPr>
        <xdr:cNvPr id="890" name="Picture@5C\QPendientes@" descr="@5C\QPendientes@">
          <a:extLst>
            <a:ext uri="{FF2B5EF4-FFF2-40B4-BE49-F238E27FC236}">
              <a16:creationId xmlns:a16="http://schemas.microsoft.com/office/drawing/2014/main" id="{636C6F55-D33F-4641-9744-6461085384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67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133350</xdr:rowOff>
    </xdr:to>
    <xdr:pic>
      <xdr:nvPicPr>
        <xdr:cNvPr id="891" name="Picture@5C\QPendientes@" descr="@5C\QPendientes@">
          <a:extLst>
            <a:ext uri="{FF2B5EF4-FFF2-40B4-BE49-F238E27FC236}">
              <a16:creationId xmlns:a16="http://schemas.microsoft.com/office/drawing/2014/main" id="{BF6A6BB1-529E-4151-9D45-51B6BD07D2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86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133350</xdr:rowOff>
    </xdr:to>
    <xdr:pic>
      <xdr:nvPicPr>
        <xdr:cNvPr id="892" name="Picture@5C\QPendientes@" descr="@5C\QPendientes@">
          <a:extLst>
            <a:ext uri="{FF2B5EF4-FFF2-40B4-BE49-F238E27FC236}">
              <a16:creationId xmlns:a16="http://schemas.microsoft.com/office/drawing/2014/main" id="{630350F3-6880-457F-9030-94A642674D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04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133350</xdr:rowOff>
    </xdr:to>
    <xdr:pic>
      <xdr:nvPicPr>
        <xdr:cNvPr id="893" name="Picture@5C\QPendientes@" descr="@5C\QPendientes@">
          <a:extLst>
            <a:ext uri="{FF2B5EF4-FFF2-40B4-BE49-F238E27FC236}">
              <a16:creationId xmlns:a16="http://schemas.microsoft.com/office/drawing/2014/main" id="{B6C28A88-6F43-4FB5-8F0C-E932C87C0B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22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133350</xdr:rowOff>
    </xdr:to>
    <xdr:pic>
      <xdr:nvPicPr>
        <xdr:cNvPr id="894" name="Picture@5C\QPendientes@" descr="@5C\QPendientes@">
          <a:extLst>
            <a:ext uri="{FF2B5EF4-FFF2-40B4-BE49-F238E27FC236}">
              <a16:creationId xmlns:a16="http://schemas.microsoft.com/office/drawing/2014/main" id="{2AE30EBB-B07F-46E9-A51D-1829E4F1F8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40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133350</xdr:rowOff>
    </xdr:to>
    <xdr:pic>
      <xdr:nvPicPr>
        <xdr:cNvPr id="895" name="Picture@5C\QPendientes@" descr="@5C\QPendientes@">
          <a:extLst>
            <a:ext uri="{FF2B5EF4-FFF2-40B4-BE49-F238E27FC236}">
              <a16:creationId xmlns:a16="http://schemas.microsoft.com/office/drawing/2014/main" id="{118AB4E1-3EF6-42AB-B9EF-18651845D5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59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133350</xdr:rowOff>
    </xdr:to>
    <xdr:pic>
      <xdr:nvPicPr>
        <xdr:cNvPr id="896" name="Picture@5C\QPendientes@" descr="@5C\QPendientes@">
          <a:extLst>
            <a:ext uri="{FF2B5EF4-FFF2-40B4-BE49-F238E27FC236}">
              <a16:creationId xmlns:a16="http://schemas.microsoft.com/office/drawing/2014/main" id="{0CF5C116-41ED-44DE-A948-A6E770CB08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7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133350</xdr:rowOff>
    </xdr:to>
    <xdr:pic>
      <xdr:nvPicPr>
        <xdr:cNvPr id="897" name="Picture@5C\QPendientes@" descr="@5C\QPendientes@">
          <a:extLst>
            <a:ext uri="{FF2B5EF4-FFF2-40B4-BE49-F238E27FC236}">
              <a16:creationId xmlns:a16="http://schemas.microsoft.com/office/drawing/2014/main" id="{86FFF7AA-F4EA-4BE0-9E21-5BE471E781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95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133350</xdr:rowOff>
    </xdr:to>
    <xdr:pic>
      <xdr:nvPicPr>
        <xdr:cNvPr id="898" name="Picture@5C\QPendientes@" descr="@5C\QPendientes@">
          <a:extLst>
            <a:ext uri="{FF2B5EF4-FFF2-40B4-BE49-F238E27FC236}">
              <a16:creationId xmlns:a16="http://schemas.microsoft.com/office/drawing/2014/main" id="{50B7891A-120B-4495-87BB-53E5289345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14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133350</xdr:rowOff>
    </xdr:to>
    <xdr:pic>
      <xdr:nvPicPr>
        <xdr:cNvPr id="899" name="Picture@5C\QPendientes@" descr="@5C\QPendientes@">
          <a:extLst>
            <a:ext uri="{FF2B5EF4-FFF2-40B4-BE49-F238E27FC236}">
              <a16:creationId xmlns:a16="http://schemas.microsoft.com/office/drawing/2014/main" id="{03EF3EED-B027-4ADC-AB63-51BC2F8F13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32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133350</xdr:rowOff>
    </xdr:to>
    <xdr:pic>
      <xdr:nvPicPr>
        <xdr:cNvPr id="900" name="Picture@5C\QPendientes@" descr="@5C\QPendientes@">
          <a:extLst>
            <a:ext uri="{FF2B5EF4-FFF2-40B4-BE49-F238E27FC236}">
              <a16:creationId xmlns:a16="http://schemas.microsoft.com/office/drawing/2014/main" id="{EEB3C279-19C2-4D8A-A146-096F3FCD6A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50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133350</xdr:rowOff>
    </xdr:to>
    <xdr:pic>
      <xdr:nvPicPr>
        <xdr:cNvPr id="901" name="Picture@5C\QPendientes@" descr="@5C\QPendientes@">
          <a:extLst>
            <a:ext uri="{FF2B5EF4-FFF2-40B4-BE49-F238E27FC236}">
              <a16:creationId xmlns:a16="http://schemas.microsoft.com/office/drawing/2014/main" id="{A8D7EE6A-656D-4CEC-A1B9-7CF2E4019B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68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133350</xdr:rowOff>
    </xdr:to>
    <xdr:pic>
      <xdr:nvPicPr>
        <xdr:cNvPr id="902" name="Picture@5C\QPendientes@" descr="@5C\QPendientes@">
          <a:extLst>
            <a:ext uri="{FF2B5EF4-FFF2-40B4-BE49-F238E27FC236}">
              <a16:creationId xmlns:a16="http://schemas.microsoft.com/office/drawing/2014/main" id="{4FD8D8D0-1B6E-48A5-8B7D-F64206F826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87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133350</xdr:rowOff>
    </xdr:to>
    <xdr:pic>
      <xdr:nvPicPr>
        <xdr:cNvPr id="903" name="Picture@5C\QPendientes@" descr="@5C\QPendientes@">
          <a:extLst>
            <a:ext uri="{FF2B5EF4-FFF2-40B4-BE49-F238E27FC236}">
              <a16:creationId xmlns:a16="http://schemas.microsoft.com/office/drawing/2014/main" id="{649997D3-4E4A-4C5A-A805-5BAA3E4A80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05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133350</xdr:rowOff>
    </xdr:to>
    <xdr:pic>
      <xdr:nvPicPr>
        <xdr:cNvPr id="904" name="Picture@5C\QPendientes@" descr="@5C\QPendientes@">
          <a:extLst>
            <a:ext uri="{FF2B5EF4-FFF2-40B4-BE49-F238E27FC236}">
              <a16:creationId xmlns:a16="http://schemas.microsoft.com/office/drawing/2014/main" id="{8421B974-E720-4BA3-9B62-4E1765933A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23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133350</xdr:rowOff>
    </xdr:to>
    <xdr:pic>
      <xdr:nvPicPr>
        <xdr:cNvPr id="905" name="Picture@5C\QPendientes@" descr="@5C\QPendientes@">
          <a:extLst>
            <a:ext uri="{FF2B5EF4-FFF2-40B4-BE49-F238E27FC236}">
              <a16:creationId xmlns:a16="http://schemas.microsoft.com/office/drawing/2014/main" id="{1E329EAF-F14F-4F55-ACEF-6CFF780A0D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42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133350</xdr:rowOff>
    </xdr:to>
    <xdr:pic>
      <xdr:nvPicPr>
        <xdr:cNvPr id="906" name="Picture@5C\QPendientes@" descr="@5C\QPendientes@">
          <a:extLst>
            <a:ext uri="{FF2B5EF4-FFF2-40B4-BE49-F238E27FC236}">
              <a16:creationId xmlns:a16="http://schemas.microsoft.com/office/drawing/2014/main" id="{BD322E14-732C-40D9-9F30-BADAB62CC9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0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133350</xdr:rowOff>
    </xdr:to>
    <xdr:pic>
      <xdr:nvPicPr>
        <xdr:cNvPr id="907" name="Picture@5C\QPendientes@" descr="@5C\QPendientes@">
          <a:extLst>
            <a:ext uri="{FF2B5EF4-FFF2-40B4-BE49-F238E27FC236}">
              <a16:creationId xmlns:a16="http://schemas.microsoft.com/office/drawing/2014/main" id="{1865DD53-2EFE-40F0-A765-72967AC084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78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133350</xdr:rowOff>
    </xdr:to>
    <xdr:pic>
      <xdr:nvPicPr>
        <xdr:cNvPr id="908" name="Picture@5C\QPendientes@" descr="@5C\QPendientes@">
          <a:extLst>
            <a:ext uri="{FF2B5EF4-FFF2-40B4-BE49-F238E27FC236}">
              <a16:creationId xmlns:a16="http://schemas.microsoft.com/office/drawing/2014/main" id="{1BEBCC12-DD80-4A56-A33D-BEE94ED750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96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133350</xdr:rowOff>
    </xdr:to>
    <xdr:pic>
      <xdr:nvPicPr>
        <xdr:cNvPr id="909" name="Picture@5C\QPendientes@" descr="@5C\QPendientes@">
          <a:extLst>
            <a:ext uri="{FF2B5EF4-FFF2-40B4-BE49-F238E27FC236}">
              <a16:creationId xmlns:a16="http://schemas.microsoft.com/office/drawing/2014/main" id="{5B3BF3CC-279F-44FA-99D7-4DEDD400BF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15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133350</xdr:rowOff>
    </xdr:to>
    <xdr:pic>
      <xdr:nvPicPr>
        <xdr:cNvPr id="910" name="Picture@5C\QPendientes@" descr="@5C\QPendientes@">
          <a:extLst>
            <a:ext uri="{FF2B5EF4-FFF2-40B4-BE49-F238E27FC236}">
              <a16:creationId xmlns:a16="http://schemas.microsoft.com/office/drawing/2014/main" id="{FEF46EED-BD02-45B4-8EB3-7B855B3F8E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33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133350</xdr:rowOff>
    </xdr:to>
    <xdr:pic>
      <xdr:nvPicPr>
        <xdr:cNvPr id="911" name="Picture@5C\QPendientes@" descr="@5C\QPendientes@">
          <a:extLst>
            <a:ext uri="{FF2B5EF4-FFF2-40B4-BE49-F238E27FC236}">
              <a16:creationId xmlns:a16="http://schemas.microsoft.com/office/drawing/2014/main" id="{1766990F-B54B-4BB3-859E-BAAFB03B37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51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133350</xdr:rowOff>
    </xdr:to>
    <xdr:pic>
      <xdr:nvPicPr>
        <xdr:cNvPr id="912" name="Picture@5C\QPendientes@" descr="@5C\QPendientes@">
          <a:extLst>
            <a:ext uri="{FF2B5EF4-FFF2-40B4-BE49-F238E27FC236}">
              <a16:creationId xmlns:a16="http://schemas.microsoft.com/office/drawing/2014/main" id="{112CC19A-7CA2-4F22-A58D-6D42314B1A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70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133350</xdr:rowOff>
    </xdr:to>
    <xdr:pic>
      <xdr:nvPicPr>
        <xdr:cNvPr id="913" name="Picture@5C\QPendientes@" descr="@5C\QPendientes@">
          <a:extLst>
            <a:ext uri="{FF2B5EF4-FFF2-40B4-BE49-F238E27FC236}">
              <a16:creationId xmlns:a16="http://schemas.microsoft.com/office/drawing/2014/main" id="{F493712D-347D-4DB8-927C-3CDE0E4166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88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133350</xdr:rowOff>
    </xdr:to>
    <xdr:pic>
      <xdr:nvPicPr>
        <xdr:cNvPr id="914" name="Picture@5C\QPendientes@" descr="@5C\QPendientes@">
          <a:extLst>
            <a:ext uri="{FF2B5EF4-FFF2-40B4-BE49-F238E27FC236}">
              <a16:creationId xmlns:a16="http://schemas.microsoft.com/office/drawing/2014/main" id="{4260EFAC-5C94-40CD-822D-FC7E3B6774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06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133350</xdr:rowOff>
    </xdr:to>
    <xdr:pic>
      <xdr:nvPicPr>
        <xdr:cNvPr id="915" name="Picture@5C\QPendientes@" descr="@5C\QPendientes@">
          <a:extLst>
            <a:ext uri="{FF2B5EF4-FFF2-40B4-BE49-F238E27FC236}">
              <a16:creationId xmlns:a16="http://schemas.microsoft.com/office/drawing/2014/main" id="{45156F16-A941-4C4A-949F-EA50E26EB4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24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133350</xdr:rowOff>
    </xdr:to>
    <xdr:pic>
      <xdr:nvPicPr>
        <xdr:cNvPr id="916" name="Picture@5C\QPendientes@" descr="@5C\QPendientes@">
          <a:extLst>
            <a:ext uri="{FF2B5EF4-FFF2-40B4-BE49-F238E27FC236}">
              <a16:creationId xmlns:a16="http://schemas.microsoft.com/office/drawing/2014/main" id="{105D63A3-E852-4F38-964B-42CD3C0191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3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133350</xdr:rowOff>
    </xdr:to>
    <xdr:pic>
      <xdr:nvPicPr>
        <xdr:cNvPr id="917" name="Picture@5C\QPendientes@" descr="@5C\QPendientes@">
          <a:extLst>
            <a:ext uri="{FF2B5EF4-FFF2-40B4-BE49-F238E27FC236}">
              <a16:creationId xmlns:a16="http://schemas.microsoft.com/office/drawing/2014/main" id="{A7AA4131-7A38-4C7A-99E2-0251C50367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61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133350</xdr:rowOff>
    </xdr:to>
    <xdr:pic>
      <xdr:nvPicPr>
        <xdr:cNvPr id="918" name="Picture@5C\QPendientes@" descr="@5C\QPendientes@">
          <a:extLst>
            <a:ext uri="{FF2B5EF4-FFF2-40B4-BE49-F238E27FC236}">
              <a16:creationId xmlns:a16="http://schemas.microsoft.com/office/drawing/2014/main" id="{D0B52C2E-1D29-480F-BDC0-1E9273F0E7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79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133350</xdr:rowOff>
    </xdr:to>
    <xdr:pic>
      <xdr:nvPicPr>
        <xdr:cNvPr id="919" name="Picture@5C\QPendientes@" descr="@5C\QPendientes@">
          <a:extLst>
            <a:ext uri="{FF2B5EF4-FFF2-40B4-BE49-F238E27FC236}">
              <a16:creationId xmlns:a16="http://schemas.microsoft.com/office/drawing/2014/main" id="{4B4882DF-85C3-404E-A39A-A41FAE9B66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98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133350</xdr:rowOff>
    </xdr:to>
    <xdr:pic>
      <xdr:nvPicPr>
        <xdr:cNvPr id="920" name="Picture@5C\QPendientes@" descr="@5C\QPendientes@">
          <a:extLst>
            <a:ext uri="{FF2B5EF4-FFF2-40B4-BE49-F238E27FC236}">
              <a16:creationId xmlns:a16="http://schemas.microsoft.com/office/drawing/2014/main" id="{674D100D-BF95-497B-A2F0-241C2CB8A7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16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133350</xdr:rowOff>
    </xdr:to>
    <xdr:pic>
      <xdr:nvPicPr>
        <xdr:cNvPr id="921" name="Picture@5C\QPendientes@" descr="@5C\QPendientes@">
          <a:extLst>
            <a:ext uri="{FF2B5EF4-FFF2-40B4-BE49-F238E27FC236}">
              <a16:creationId xmlns:a16="http://schemas.microsoft.com/office/drawing/2014/main" id="{17C58BF8-7102-4AF8-A33A-57208077D7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34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133350</xdr:rowOff>
    </xdr:to>
    <xdr:pic>
      <xdr:nvPicPr>
        <xdr:cNvPr id="922" name="Picture@5C\QPendientes@" descr="@5C\QPendientes@">
          <a:extLst>
            <a:ext uri="{FF2B5EF4-FFF2-40B4-BE49-F238E27FC236}">
              <a16:creationId xmlns:a16="http://schemas.microsoft.com/office/drawing/2014/main" id="{176D961A-6A98-407D-800A-A17F9453B6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52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133350</xdr:rowOff>
    </xdr:to>
    <xdr:pic>
      <xdr:nvPicPr>
        <xdr:cNvPr id="923" name="Picture@5C\QPendientes@" descr="@5C\QPendientes@">
          <a:extLst>
            <a:ext uri="{FF2B5EF4-FFF2-40B4-BE49-F238E27FC236}">
              <a16:creationId xmlns:a16="http://schemas.microsoft.com/office/drawing/2014/main" id="{72F2A9B0-558B-4317-8F10-028DCC8C4E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71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133350</xdr:rowOff>
    </xdr:to>
    <xdr:pic>
      <xdr:nvPicPr>
        <xdr:cNvPr id="924" name="Picture@5C\QPendientes@" descr="@5C\QPendientes@">
          <a:extLst>
            <a:ext uri="{FF2B5EF4-FFF2-40B4-BE49-F238E27FC236}">
              <a16:creationId xmlns:a16="http://schemas.microsoft.com/office/drawing/2014/main" id="{AE5E19E0-34CD-4A00-AA22-F6516870F8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89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133350</xdr:rowOff>
    </xdr:to>
    <xdr:pic>
      <xdr:nvPicPr>
        <xdr:cNvPr id="925" name="Picture@5C\QPendientes@" descr="@5C\QPendientes@">
          <a:extLst>
            <a:ext uri="{FF2B5EF4-FFF2-40B4-BE49-F238E27FC236}">
              <a16:creationId xmlns:a16="http://schemas.microsoft.com/office/drawing/2014/main" id="{09B99E39-5AA4-4DFC-A077-A74526DB8D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07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133350</xdr:rowOff>
    </xdr:to>
    <xdr:pic>
      <xdr:nvPicPr>
        <xdr:cNvPr id="926" name="Picture@5C\QPendientes@" descr="@5C\QPendientes@">
          <a:extLst>
            <a:ext uri="{FF2B5EF4-FFF2-40B4-BE49-F238E27FC236}">
              <a16:creationId xmlns:a16="http://schemas.microsoft.com/office/drawing/2014/main" id="{BBD161DC-FA9F-4A39-9A60-B67B79BB9B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6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133350</xdr:rowOff>
    </xdr:to>
    <xdr:pic>
      <xdr:nvPicPr>
        <xdr:cNvPr id="927" name="Picture@5C\QPendientes@" descr="@5C\QPendientes@">
          <a:extLst>
            <a:ext uri="{FF2B5EF4-FFF2-40B4-BE49-F238E27FC236}">
              <a16:creationId xmlns:a16="http://schemas.microsoft.com/office/drawing/2014/main" id="{932A9EEC-DF3C-4046-BD1D-4236C69D7B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44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133350</xdr:rowOff>
    </xdr:to>
    <xdr:pic>
      <xdr:nvPicPr>
        <xdr:cNvPr id="928" name="Picture@5C\QPendientes@" descr="@5C\QPendientes@">
          <a:extLst>
            <a:ext uri="{FF2B5EF4-FFF2-40B4-BE49-F238E27FC236}">
              <a16:creationId xmlns:a16="http://schemas.microsoft.com/office/drawing/2014/main" id="{9B925C18-9FD9-403B-9492-86A4C55EBB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62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133350</xdr:rowOff>
    </xdr:to>
    <xdr:pic>
      <xdr:nvPicPr>
        <xdr:cNvPr id="929" name="Picture@5C\QPendientes@" descr="@5C\QPendientes@">
          <a:extLst>
            <a:ext uri="{FF2B5EF4-FFF2-40B4-BE49-F238E27FC236}">
              <a16:creationId xmlns:a16="http://schemas.microsoft.com/office/drawing/2014/main" id="{C35E9289-222D-4AB0-BFD0-89662B2E6A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80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133350</xdr:rowOff>
    </xdr:to>
    <xdr:pic>
      <xdr:nvPicPr>
        <xdr:cNvPr id="930" name="Picture@5C\QPendientes@" descr="@5C\QPendientes@">
          <a:extLst>
            <a:ext uri="{FF2B5EF4-FFF2-40B4-BE49-F238E27FC236}">
              <a16:creationId xmlns:a16="http://schemas.microsoft.com/office/drawing/2014/main" id="{69189902-96DA-4654-9480-584605656D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99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133350</xdr:rowOff>
    </xdr:to>
    <xdr:pic>
      <xdr:nvPicPr>
        <xdr:cNvPr id="931" name="Picture@5C\QPendientes@" descr="@5C\QPendientes@">
          <a:extLst>
            <a:ext uri="{FF2B5EF4-FFF2-40B4-BE49-F238E27FC236}">
              <a16:creationId xmlns:a16="http://schemas.microsoft.com/office/drawing/2014/main" id="{0300A199-FFAC-436C-9102-035D176C5E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17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133350</xdr:rowOff>
    </xdr:to>
    <xdr:pic>
      <xdr:nvPicPr>
        <xdr:cNvPr id="932" name="Picture@5C\QPendientes@" descr="@5C\QPendientes@">
          <a:extLst>
            <a:ext uri="{FF2B5EF4-FFF2-40B4-BE49-F238E27FC236}">
              <a16:creationId xmlns:a16="http://schemas.microsoft.com/office/drawing/2014/main" id="{89F672F3-24FD-4164-BB67-29807B1C54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35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133350</xdr:rowOff>
    </xdr:to>
    <xdr:pic>
      <xdr:nvPicPr>
        <xdr:cNvPr id="933" name="Picture@5C\QPendientes@" descr="@5C\QPendientes@">
          <a:extLst>
            <a:ext uri="{FF2B5EF4-FFF2-40B4-BE49-F238E27FC236}">
              <a16:creationId xmlns:a16="http://schemas.microsoft.com/office/drawing/2014/main" id="{79895566-EC9E-489B-8F6C-0D3A77FFFC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54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133350</xdr:rowOff>
    </xdr:to>
    <xdr:pic>
      <xdr:nvPicPr>
        <xdr:cNvPr id="934" name="Picture@5C\QPendientes@" descr="@5C\QPendientes@">
          <a:extLst>
            <a:ext uri="{FF2B5EF4-FFF2-40B4-BE49-F238E27FC236}">
              <a16:creationId xmlns:a16="http://schemas.microsoft.com/office/drawing/2014/main" id="{E69FAD68-88E3-4A60-BC5A-6B118BE659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72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133350</xdr:rowOff>
    </xdr:to>
    <xdr:pic>
      <xdr:nvPicPr>
        <xdr:cNvPr id="935" name="Picture@5C\QPendientes@" descr="@5C\QPendientes@">
          <a:extLst>
            <a:ext uri="{FF2B5EF4-FFF2-40B4-BE49-F238E27FC236}">
              <a16:creationId xmlns:a16="http://schemas.microsoft.com/office/drawing/2014/main" id="{B98ADBD8-7531-42C3-9414-E3191D5570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90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133350</xdr:rowOff>
    </xdr:to>
    <xdr:pic>
      <xdr:nvPicPr>
        <xdr:cNvPr id="936" name="Picture@5C\QPendientes@" descr="@5C\QPendientes@">
          <a:extLst>
            <a:ext uri="{FF2B5EF4-FFF2-40B4-BE49-F238E27FC236}">
              <a16:creationId xmlns:a16="http://schemas.microsoft.com/office/drawing/2014/main" id="{DE6CC2B3-8624-43F2-BF92-8DE65B6D3B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8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133350</xdr:rowOff>
    </xdr:to>
    <xdr:pic>
      <xdr:nvPicPr>
        <xdr:cNvPr id="937" name="Picture@5C\QPendientes@" descr="@5C\QPendientes@">
          <a:extLst>
            <a:ext uri="{FF2B5EF4-FFF2-40B4-BE49-F238E27FC236}">
              <a16:creationId xmlns:a16="http://schemas.microsoft.com/office/drawing/2014/main" id="{195B425B-C5BC-4BAD-B49D-7748BF8238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27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133350</xdr:rowOff>
    </xdr:to>
    <xdr:pic>
      <xdr:nvPicPr>
        <xdr:cNvPr id="938" name="Picture@5C\QPendientes@" descr="@5C\QPendientes@">
          <a:extLst>
            <a:ext uri="{FF2B5EF4-FFF2-40B4-BE49-F238E27FC236}">
              <a16:creationId xmlns:a16="http://schemas.microsoft.com/office/drawing/2014/main" id="{DCB44C04-9F2F-40A2-A0F1-B29495A24B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45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133350</xdr:rowOff>
    </xdr:to>
    <xdr:pic>
      <xdr:nvPicPr>
        <xdr:cNvPr id="939" name="Picture@5C\QPendientes@" descr="@5C\QPendientes@">
          <a:extLst>
            <a:ext uri="{FF2B5EF4-FFF2-40B4-BE49-F238E27FC236}">
              <a16:creationId xmlns:a16="http://schemas.microsoft.com/office/drawing/2014/main" id="{AB679F4F-E963-455E-AF1E-55CF981639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63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133350</xdr:rowOff>
    </xdr:to>
    <xdr:pic>
      <xdr:nvPicPr>
        <xdr:cNvPr id="940" name="Picture@5C\QPendientes@" descr="@5C\QPendientes@">
          <a:extLst>
            <a:ext uri="{FF2B5EF4-FFF2-40B4-BE49-F238E27FC236}">
              <a16:creationId xmlns:a16="http://schemas.microsoft.com/office/drawing/2014/main" id="{FE9D43A8-C956-47DC-B49E-DC4DC66199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82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133350</xdr:rowOff>
    </xdr:to>
    <xdr:pic>
      <xdr:nvPicPr>
        <xdr:cNvPr id="941" name="Picture@5C\QPendientes@" descr="@5C\QPendientes@">
          <a:extLst>
            <a:ext uri="{FF2B5EF4-FFF2-40B4-BE49-F238E27FC236}">
              <a16:creationId xmlns:a16="http://schemas.microsoft.com/office/drawing/2014/main" id="{DE6F745F-82E6-4199-BE56-BA03414D65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00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133350</xdr:rowOff>
    </xdr:to>
    <xdr:pic>
      <xdr:nvPicPr>
        <xdr:cNvPr id="942" name="Picture@5C\QPendientes@" descr="@5C\QPendientes@">
          <a:extLst>
            <a:ext uri="{FF2B5EF4-FFF2-40B4-BE49-F238E27FC236}">
              <a16:creationId xmlns:a16="http://schemas.microsoft.com/office/drawing/2014/main" id="{02B6B08B-1E73-4385-9A91-44B13C0964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18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133350</xdr:rowOff>
    </xdr:to>
    <xdr:pic>
      <xdr:nvPicPr>
        <xdr:cNvPr id="943" name="Picture@5C\QPendientes@" descr="@5C\QPendientes@">
          <a:extLst>
            <a:ext uri="{FF2B5EF4-FFF2-40B4-BE49-F238E27FC236}">
              <a16:creationId xmlns:a16="http://schemas.microsoft.com/office/drawing/2014/main" id="{DC4A595A-AF13-48DA-8B2C-E4FB2E90D7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36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133350</xdr:rowOff>
    </xdr:to>
    <xdr:pic>
      <xdr:nvPicPr>
        <xdr:cNvPr id="944" name="Picture@5C\QPendientes@" descr="@5C\QPendientes@">
          <a:extLst>
            <a:ext uri="{FF2B5EF4-FFF2-40B4-BE49-F238E27FC236}">
              <a16:creationId xmlns:a16="http://schemas.microsoft.com/office/drawing/2014/main" id="{357CE8A3-35B5-418B-8A9D-3358FC845D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55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133350</xdr:rowOff>
    </xdr:to>
    <xdr:pic>
      <xdr:nvPicPr>
        <xdr:cNvPr id="945" name="Picture@5C\QPendientes@" descr="@5C\QPendientes@">
          <a:extLst>
            <a:ext uri="{FF2B5EF4-FFF2-40B4-BE49-F238E27FC236}">
              <a16:creationId xmlns:a16="http://schemas.microsoft.com/office/drawing/2014/main" id="{C5036602-724E-44B1-8984-7CF3999B4C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73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133350</xdr:rowOff>
    </xdr:to>
    <xdr:pic>
      <xdr:nvPicPr>
        <xdr:cNvPr id="946" name="Picture@5C\QPendientes@" descr="@5C\QPendientes@">
          <a:extLst>
            <a:ext uri="{FF2B5EF4-FFF2-40B4-BE49-F238E27FC236}">
              <a16:creationId xmlns:a16="http://schemas.microsoft.com/office/drawing/2014/main" id="{6564A6BA-9DF4-4384-8188-EB2BD55478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1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133350</xdr:rowOff>
    </xdr:to>
    <xdr:pic>
      <xdr:nvPicPr>
        <xdr:cNvPr id="947" name="Picture@5C\QPendientes@" descr="@5C\QPendientes@">
          <a:extLst>
            <a:ext uri="{FF2B5EF4-FFF2-40B4-BE49-F238E27FC236}">
              <a16:creationId xmlns:a16="http://schemas.microsoft.com/office/drawing/2014/main" id="{328000C2-09AF-4A06-8251-07DC3831E0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10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133350</xdr:rowOff>
    </xdr:to>
    <xdr:pic>
      <xdr:nvPicPr>
        <xdr:cNvPr id="948" name="Picture@5C\QPendientes@" descr="@5C\QPendientes@">
          <a:extLst>
            <a:ext uri="{FF2B5EF4-FFF2-40B4-BE49-F238E27FC236}">
              <a16:creationId xmlns:a16="http://schemas.microsoft.com/office/drawing/2014/main" id="{5532A36F-4BD3-4BDA-AA7C-53FACE7694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28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133350</xdr:rowOff>
    </xdr:to>
    <xdr:pic>
      <xdr:nvPicPr>
        <xdr:cNvPr id="949" name="Picture@5C\QPendientes@" descr="@5C\QPendientes@">
          <a:extLst>
            <a:ext uri="{FF2B5EF4-FFF2-40B4-BE49-F238E27FC236}">
              <a16:creationId xmlns:a16="http://schemas.microsoft.com/office/drawing/2014/main" id="{7770677C-28C0-46C5-AC84-ED7B8F81DC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46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133350</xdr:rowOff>
    </xdr:to>
    <xdr:pic>
      <xdr:nvPicPr>
        <xdr:cNvPr id="950" name="Picture@5C\QPendientes@" descr="@5C\QPendientes@">
          <a:extLst>
            <a:ext uri="{FF2B5EF4-FFF2-40B4-BE49-F238E27FC236}">
              <a16:creationId xmlns:a16="http://schemas.microsoft.com/office/drawing/2014/main" id="{9E5D0396-21F2-4385-8301-3EFF9F6CB1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64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133350</xdr:rowOff>
    </xdr:to>
    <xdr:pic>
      <xdr:nvPicPr>
        <xdr:cNvPr id="951" name="Picture@5C\QPendientes@" descr="@5C\QPendientes@">
          <a:extLst>
            <a:ext uri="{FF2B5EF4-FFF2-40B4-BE49-F238E27FC236}">
              <a16:creationId xmlns:a16="http://schemas.microsoft.com/office/drawing/2014/main" id="{108F93CD-6447-4EA7-912E-DFE7BBC80C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83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133350</xdr:rowOff>
    </xdr:to>
    <xdr:pic>
      <xdr:nvPicPr>
        <xdr:cNvPr id="952" name="Picture@5C\QPendientes@" descr="@5C\QPendientes@">
          <a:extLst>
            <a:ext uri="{FF2B5EF4-FFF2-40B4-BE49-F238E27FC236}">
              <a16:creationId xmlns:a16="http://schemas.microsoft.com/office/drawing/2014/main" id="{9D5EE05A-3390-40D7-AAF7-DF2FD69381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01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133350</xdr:rowOff>
    </xdr:to>
    <xdr:pic>
      <xdr:nvPicPr>
        <xdr:cNvPr id="953" name="Picture@5C\QPendientes@" descr="@5C\QPendientes@">
          <a:extLst>
            <a:ext uri="{FF2B5EF4-FFF2-40B4-BE49-F238E27FC236}">
              <a16:creationId xmlns:a16="http://schemas.microsoft.com/office/drawing/2014/main" id="{88C4E65E-82AF-4BA7-A127-91219EF957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19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133350</xdr:rowOff>
    </xdr:to>
    <xdr:pic>
      <xdr:nvPicPr>
        <xdr:cNvPr id="954" name="Picture@5C\QPendientes@" descr="@5C\QPendientes@">
          <a:extLst>
            <a:ext uri="{FF2B5EF4-FFF2-40B4-BE49-F238E27FC236}">
              <a16:creationId xmlns:a16="http://schemas.microsoft.com/office/drawing/2014/main" id="{31A07109-AE03-4D03-A11A-62890BEEC0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38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133350</xdr:rowOff>
    </xdr:to>
    <xdr:pic>
      <xdr:nvPicPr>
        <xdr:cNvPr id="955" name="Picture@5C\QPendientes@" descr="@5C\QPendientes@">
          <a:extLst>
            <a:ext uri="{FF2B5EF4-FFF2-40B4-BE49-F238E27FC236}">
              <a16:creationId xmlns:a16="http://schemas.microsoft.com/office/drawing/2014/main" id="{968BEBFF-B87A-4C03-9302-17A93B29B0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56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133350</xdr:rowOff>
    </xdr:to>
    <xdr:pic>
      <xdr:nvPicPr>
        <xdr:cNvPr id="956" name="Picture@5C\QPendientes@" descr="@5C\QPendientes@">
          <a:extLst>
            <a:ext uri="{FF2B5EF4-FFF2-40B4-BE49-F238E27FC236}">
              <a16:creationId xmlns:a16="http://schemas.microsoft.com/office/drawing/2014/main" id="{704B28E7-E448-40F0-9B95-8D52154C41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4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133350</xdr:rowOff>
    </xdr:to>
    <xdr:pic>
      <xdr:nvPicPr>
        <xdr:cNvPr id="957" name="Picture@5C\QPendientes@" descr="@5C\QPendientes@">
          <a:extLst>
            <a:ext uri="{FF2B5EF4-FFF2-40B4-BE49-F238E27FC236}">
              <a16:creationId xmlns:a16="http://schemas.microsoft.com/office/drawing/2014/main" id="{B18550A4-E21F-4B6C-A1BB-E22704A425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93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133350</xdr:rowOff>
    </xdr:to>
    <xdr:pic>
      <xdr:nvPicPr>
        <xdr:cNvPr id="958" name="Picture@5C\QPendientes@" descr="@5C\QPendientes@">
          <a:extLst>
            <a:ext uri="{FF2B5EF4-FFF2-40B4-BE49-F238E27FC236}">
              <a16:creationId xmlns:a16="http://schemas.microsoft.com/office/drawing/2014/main" id="{AD5C82D6-4A57-4B1F-9DA9-1D97F7A6B6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11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133350</xdr:rowOff>
    </xdr:to>
    <xdr:pic>
      <xdr:nvPicPr>
        <xdr:cNvPr id="959" name="Picture@5C\QPendientes@" descr="@5C\QPendientes@">
          <a:extLst>
            <a:ext uri="{FF2B5EF4-FFF2-40B4-BE49-F238E27FC236}">
              <a16:creationId xmlns:a16="http://schemas.microsoft.com/office/drawing/2014/main" id="{C4ECF719-938F-4C04-89BF-E2147B8607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29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133350</xdr:rowOff>
    </xdr:to>
    <xdr:pic>
      <xdr:nvPicPr>
        <xdr:cNvPr id="960" name="Picture@5C\QPendientes@" descr="@5C\QPendientes@">
          <a:extLst>
            <a:ext uri="{FF2B5EF4-FFF2-40B4-BE49-F238E27FC236}">
              <a16:creationId xmlns:a16="http://schemas.microsoft.com/office/drawing/2014/main" id="{6E675F9E-7D46-4C8D-B285-B13B774E66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47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133350</xdr:rowOff>
    </xdr:to>
    <xdr:pic>
      <xdr:nvPicPr>
        <xdr:cNvPr id="961" name="Picture@5C\QPendientes@" descr="@5C\QPendientes@">
          <a:extLst>
            <a:ext uri="{FF2B5EF4-FFF2-40B4-BE49-F238E27FC236}">
              <a16:creationId xmlns:a16="http://schemas.microsoft.com/office/drawing/2014/main" id="{35CE5096-2579-44CF-AD65-CEE9BBD909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66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133350</xdr:rowOff>
    </xdr:to>
    <xdr:pic>
      <xdr:nvPicPr>
        <xdr:cNvPr id="962" name="Picture@5C\QPendientes@" descr="@5C\QPendientes@">
          <a:extLst>
            <a:ext uri="{FF2B5EF4-FFF2-40B4-BE49-F238E27FC236}">
              <a16:creationId xmlns:a16="http://schemas.microsoft.com/office/drawing/2014/main" id="{299CA3D4-3F7C-4CE2-90ED-CD9F7849EA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84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133350</xdr:rowOff>
    </xdr:to>
    <xdr:pic>
      <xdr:nvPicPr>
        <xdr:cNvPr id="963" name="Picture@5C\QPendientes@" descr="@5C\QPendientes@">
          <a:extLst>
            <a:ext uri="{FF2B5EF4-FFF2-40B4-BE49-F238E27FC236}">
              <a16:creationId xmlns:a16="http://schemas.microsoft.com/office/drawing/2014/main" id="{AC888D1A-8B80-4785-A9C3-B741994657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02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133350</xdr:rowOff>
    </xdr:to>
    <xdr:pic>
      <xdr:nvPicPr>
        <xdr:cNvPr id="964" name="Picture@5C\QPendientes@" descr="@5C\QPendientes@">
          <a:extLst>
            <a:ext uri="{FF2B5EF4-FFF2-40B4-BE49-F238E27FC236}">
              <a16:creationId xmlns:a16="http://schemas.microsoft.com/office/drawing/2014/main" id="{DEE53EA0-5668-4552-8960-2C0168B325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21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133350</xdr:rowOff>
    </xdr:to>
    <xdr:pic>
      <xdr:nvPicPr>
        <xdr:cNvPr id="965" name="Picture@5C\QPendientes@" descr="@5C\QPendientes@">
          <a:extLst>
            <a:ext uri="{FF2B5EF4-FFF2-40B4-BE49-F238E27FC236}">
              <a16:creationId xmlns:a16="http://schemas.microsoft.com/office/drawing/2014/main" id="{8D37007A-2575-400E-BABE-D17FC534B1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39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133350</xdr:rowOff>
    </xdr:to>
    <xdr:pic>
      <xdr:nvPicPr>
        <xdr:cNvPr id="966" name="Picture@5C\QPendientes@" descr="@5C\QPendientes@">
          <a:extLst>
            <a:ext uri="{FF2B5EF4-FFF2-40B4-BE49-F238E27FC236}">
              <a16:creationId xmlns:a16="http://schemas.microsoft.com/office/drawing/2014/main" id="{370B8695-97BC-4A6F-9D45-0CB98A3E22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133350</xdr:rowOff>
    </xdr:to>
    <xdr:pic>
      <xdr:nvPicPr>
        <xdr:cNvPr id="967" name="Picture@5C\QPendientes@" descr="@5C\QPendientes@">
          <a:extLst>
            <a:ext uri="{FF2B5EF4-FFF2-40B4-BE49-F238E27FC236}">
              <a16:creationId xmlns:a16="http://schemas.microsoft.com/office/drawing/2014/main" id="{4669B375-8792-404F-9E4B-F62581D37F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75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133350</xdr:rowOff>
    </xdr:to>
    <xdr:pic>
      <xdr:nvPicPr>
        <xdr:cNvPr id="968" name="Picture@5C\QPendientes@" descr="@5C\QPendientes@">
          <a:extLst>
            <a:ext uri="{FF2B5EF4-FFF2-40B4-BE49-F238E27FC236}">
              <a16:creationId xmlns:a16="http://schemas.microsoft.com/office/drawing/2014/main" id="{5092FC5B-A27A-471B-A435-7963F32D8D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94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133350</xdr:rowOff>
    </xdr:to>
    <xdr:pic>
      <xdr:nvPicPr>
        <xdr:cNvPr id="969" name="Picture@5C\QPendientes@" descr="@5C\QPendientes@">
          <a:extLst>
            <a:ext uri="{FF2B5EF4-FFF2-40B4-BE49-F238E27FC236}">
              <a16:creationId xmlns:a16="http://schemas.microsoft.com/office/drawing/2014/main" id="{38AA05A8-734C-4E36-BAD2-4721BBFE59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12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133350</xdr:rowOff>
    </xdr:to>
    <xdr:pic>
      <xdr:nvPicPr>
        <xdr:cNvPr id="970" name="Picture@5C\QPendientes@" descr="@5C\QPendientes@">
          <a:extLst>
            <a:ext uri="{FF2B5EF4-FFF2-40B4-BE49-F238E27FC236}">
              <a16:creationId xmlns:a16="http://schemas.microsoft.com/office/drawing/2014/main" id="{725341E6-5984-4438-BC9F-4214106B91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30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133350</xdr:rowOff>
    </xdr:to>
    <xdr:pic>
      <xdr:nvPicPr>
        <xdr:cNvPr id="971" name="Picture@5C\QPendientes@" descr="@5C\QPendientes@">
          <a:extLst>
            <a:ext uri="{FF2B5EF4-FFF2-40B4-BE49-F238E27FC236}">
              <a16:creationId xmlns:a16="http://schemas.microsoft.com/office/drawing/2014/main" id="{339BC6F5-22D1-469D-B7F5-69B3C3A7BA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49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133350</xdr:rowOff>
    </xdr:to>
    <xdr:pic>
      <xdr:nvPicPr>
        <xdr:cNvPr id="972" name="Picture@5C\QPendientes@" descr="@5C\QPendientes@">
          <a:extLst>
            <a:ext uri="{FF2B5EF4-FFF2-40B4-BE49-F238E27FC236}">
              <a16:creationId xmlns:a16="http://schemas.microsoft.com/office/drawing/2014/main" id="{CE481D08-B032-46C4-B6FE-CAB0E160D0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67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133350</xdr:rowOff>
    </xdr:to>
    <xdr:pic>
      <xdr:nvPicPr>
        <xdr:cNvPr id="973" name="Picture@5C\QPendientes@" descr="@5C\QPendientes@">
          <a:extLst>
            <a:ext uri="{FF2B5EF4-FFF2-40B4-BE49-F238E27FC236}">
              <a16:creationId xmlns:a16="http://schemas.microsoft.com/office/drawing/2014/main" id="{0136C6E3-D0DE-418B-8EE2-C636637D32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85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133350</xdr:rowOff>
    </xdr:to>
    <xdr:pic>
      <xdr:nvPicPr>
        <xdr:cNvPr id="974" name="Picture@5C\QPendientes@" descr="@5C\QPendientes@">
          <a:extLst>
            <a:ext uri="{FF2B5EF4-FFF2-40B4-BE49-F238E27FC236}">
              <a16:creationId xmlns:a16="http://schemas.microsoft.com/office/drawing/2014/main" id="{C614EEAA-5BC4-4F8E-9EC2-D0DBEA16AC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03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133350</xdr:rowOff>
    </xdr:to>
    <xdr:pic>
      <xdr:nvPicPr>
        <xdr:cNvPr id="975" name="Picture@5C\QPendientes@" descr="@5C\QPendientes@">
          <a:extLst>
            <a:ext uri="{FF2B5EF4-FFF2-40B4-BE49-F238E27FC236}">
              <a16:creationId xmlns:a16="http://schemas.microsoft.com/office/drawing/2014/main" id="{F0266A14-CDF9-4278-8D53-FD45187EB4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22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133350</xdr:rowOff>
    </xdr:to>
    <xdr:pic>
      <xdr:nvPicPr>
        <xdr:cNvPr id="976" name="Picture@5C\QPendientes@" descr="@5C\QPendientes@">
          <a:extLst>
            <a:ext uri="{FF2B5EF4-FFF2-40B4-BE49-F238E27FC236}">
              <a16:creationId xmlns:a16="http://schemas.microsoft.com/office/drawing/2014/main" id="{EF9B6651-8D88-4A13-A195-C7759F5CC2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0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133350</xdr:rowOff>
    </xdr:to>
    <xdr:pic>
      <xdr:nvPicPr>
        <xdr:cNvPr id="977" name="Picture@5C\QPendientes@" descr="@5C\QPendientes@">
          <a:extLst>
            <a:ext uri="{FF2B5EF4-FFF2-40B4-BE49-F238E27FC236}">
              <a16:creationId xmlns:a16="http://schemas.microsoft.com/office/drawing/2014/main" id="{79E4E4D4-5208-49FD-870C-CEFB69E09F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58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133350</xdr:rowOff>
    </xdr:to>
    <xdr:pic>
      <xdr:nvPicPr>
        <xdr:cNvPr id="978" name="Picture@5C\QPendientes@" descr="@5C\QPendientes@">
          <a:extLst>
            <a:ext uri="{FF2B5EF4-FFF2-40B4-BE49-F238E27FC236}">
              <a16:creationId xmlns:a16="http://schemas.microsoft.com/office/drawing/2014/main" id="{43E29E66-0241-4790-8193-3500093CC6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77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133350</xdr:rowOff>
    </xdr:to>
    <xdr:pic>
      <xdr:nvPicPr>
        <xdr:cNvPr id="979" name="Picture@5C\QPendientes@" descr="@5C\QPendientes@">
          <a:extLst>
            <a:ext uri="{FF2B5EF4-FFF2-40B4-BE49-F238E27FC236}">
              <a16:creationId xmlns:a16="http://schemas.microsoft.com/office/drawing/2014/main" id="{16B37808-1E1D-44DF-A282-2FBB9E5B9B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95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133350</xdr:rowOff>
    </xdr:to>
    <xdr:pic>
      <xdr:nvPicPr>
        <xdr:cNvPr id="980" name="Picture@5C\QPendientes@" descr="@5C\QPendientes@">
          <a:extLst>
            <a:ext uri="{FF2B5EF4-FFF2-40B4-BE49-F238E27FC236}">
              <a16:creationId xmlns:a16="http://schemas.microsoft.com/office/drawing/2014/main" id="{17F15BAC-59EE-43D6-876C-1F4164D89E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13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133350</xdr:rowOff>
    </xdr:to>
    <xdr:pic>
      <xdr:nvPicPr>
        <xdr:cNvPr id="981" name="Picture@5C\QPendientes@" descr="@5C\QPendientes@">
          <a:extLst>
            <a:ext uri="{FF2B5EF4-FFF2-40B4-BE49-F238E27FC236}">
              <a16:creationId xmlns:a16="http://schemas.microsoft.com/office/drawing/2014/main" id="{BD04BDB1-FAED-4C9C-AEEE-17926EBA31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31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133350</xdr:rowOff>
    </xdr:to>
    <xdr:pic>
      <xdr:nvPicPr>
        <xdr:cNvPr id="982" name="Picture@5C\QPendientes@" descr="@5C\QPendientes@">
          <a:extLst>
            <a:ext uri="{FF2B5EF4-FFF2-40B4-BE49-F238E27FC236}">
              <a16:creationId xmlns:a16="http://schemas.microsoft.com/office/drawing/2014/main" id="{06D8AF9A-A9BC-4475-949E-3261EC8B91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50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133350</xdr:rowOff>
    </xdr:to>
    <xdr:pic>
      <xdr:nvPicPr>
        <xdr:cNvPr id="983" name="Picture@5C\QPendientes@" descr="@5C\QPendientes@">
          <a:extLst>
            <a:ext uri="{FF2B5EF4-FFF2-40B4-BE49-F238E27FC236}">
              <a16:creationId xmlns:a16="http://schemas.microsoft.com/office/drawing/2014/main" id="{3530386D-BF02-4BAD-ACEE-AC07B15191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68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133350</xdr:rowOff>
    </xdr:to>
    <xdr:pic>
      <xdr:nvPicPr>
        <xdr:cNvPr id="984" name="Picture@5C\QPendientes@" descr="@5C\QPendientes@">
          <a:extLst>
            <a:ext uri="{FF2B5EF4-FFF2-40B4-BE49-F238E27FC236}">
              <a16:creationId xmlns:a16="http://schemas.microsoft.com/office/drawing/2014/main" id="{1B7E61AC-3697-4C43-9D03-03327EE3E4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86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133350</xdr:rowOff>
    </xdr:to>
    <xdr:pic>
      <xdr:nvPicPr>
        <xdr:cNvPr id="985" name="Picture@5C\QPendientes@" descr="@5C\QPendientes@">
          <a:extLst>
            <a:ext uri="{FF2B5EF4-FFF2-40B4-BE49-F238E27FC236}">
              <a16:creationId xmlns:a16="http://schemas.microsoft.com/office/drawing/2014/main" id="{341D012F-2C26-4670-B203-880123C39F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05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133350</xdr:rowOff>
    </xdr:to>
    <xdr:pic>
      <xdr:nvPicPr>
        <xdr:cNvPr id="986" name="Picture@5C\QPendientes@" descr="@5C\QPendientes@">
          <a:extLst>
            <a:ext uri="{FF2B5EF4-FFF2-40B4-BE49-F238E27FC236}">
              <a16:creationId xmlns:a16="http://schemas.microsoft.com/office/drawing/2014/main" id="{AA3E250D-0529-408C-BE94-F5AEE40BA1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23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133350</xdr:rowOff>
    </xdr:to>
    <xdr:pic>
      <xdr:nvPicPr>
        <xdr:cNvPr id="987" name="Picture@5C\QPendientes@" descr="@5C\QPendientes@">
          <a:extLst>
            <a:ext uri="{FF2B5EF4-FFF2-40B4-BE49-F238E27FC236}">
              <a16:creationId xmlns:a16="http://schemas.microsoft.com/office/drawing/2014/main" id="{00817B65-00ED-4326-8E26-A80D7D67D5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41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133350</xdr:rowOff>
    </xdr:to>
    <xdr:pic>
      <xdr:nvPicPr>
        <xdr:cNvPr id="988" name="Picture@5C\QPendientes@" descr="@5C\QPendientes@">
          <a:extLst>
            <a:ext uri="{FF2B5EF4-FFF2-40B4-BE49-F238E27FC236}">
              <a16:creationId xmlns:a16="http://schemas.microsoft.com/office/drawing/2014/main" id="{75505011-FC14-465B-A2BE-0B397E7BB1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59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133350</xdr:rowOff>
    </xdr:to>
    <xdr:pic>
      <xdr:nvPicPr>
        <xdr:cNvPr id="989" name="Picture@5C\QPendientes@" descr="@5C\QPendientes@">
          <a:extLst>
            <a:ext uri="{FF2B5EF4-FFF2-40B4-BE49-F238E27FC236}">
              <a16:creationId xmlns:a16="http://schemas.microsoft.com/office/drawing/2014/main" id="{BBBECFEF-0B99-47A3-830C-2051961F14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78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133350</xdr:rowOff>
    </xdr:to>
    <xdr:pic>
      <xdr:nvPicPr>
        <xdr:cNvPr id="990" name="Picture@5C\QPendientes@" descr="@5C\QPendientes@">
          <a:extLst>
            <a:ext uri="{FF2B5EF4-FFF2-40B4-BE49-F238E27FC236}">
              <a16:creationId xmlns:a16="http://schemas.microsoft.com/office/drawing/2014/main" id="{41B60A6A-D3CC-4291-9C5A-4A90AC3835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96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133350</xdr:rowOff>
    </xdr:to>
    <xdr:pic>
      <xdr:nvPicPr>
        <xdr:cNvPr id="991" name="Picture@5C\QPendientes@" descr="@5C\QPendientes@">
          <a:extLst>
            <a:ext uri="{FF2B5EF4-FFF2-40B4-BE49-F238E27FC236}">
              <a16:creationId xmlns:a16="http://schemas.microsoft.com/office/drawing/2014/main" id="{530ACF63-8A4A-4086-96F7-8B90103EC4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14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133350</xdr:rowOff>
    </xdr:to>
    <xdr:pic>
      <xdr:nvPicPr>
        <xdr:cNvPr id="992" name="Picture@5C\QPendientes@" descr="@5C\QPendientes@">
          <a:extLst>
            <a:ext uri="{FF2B5EF4-FFF2-40B4-BE49-F238E27FC236}">
              <a16:creationId xmlns:a16="http://schemas.microsoft.com/office/drawing/2014/main" id="{D2D60240-4941-4958-9481-5EE741FA7B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33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133350</xdr:rowOff>
    </xdr:to>
    <xdr:pic>
      <xdr:nvPicPr>
        <xdr:cNvPr id="993" name="Picture@5C\QPendientes@" descr="@5C\QPendientes@">
          <a:extLst>
            <a:ext uri="{FF2B5EF4-FFF2-40B4-BE49-F238E27FC236}">
              <a16:creationId xmlns:a16="http://schemas.microsoft.com/office/drawing/2014/main" id="{8A58D4B3-083C-49A5-B379-66ECE51C7C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51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133350</xdr:rowOff>
    </xdr:to>
    <xdr:pic>
      <xdr:nvPicPr>
        <xdr:cNvPr id="994" name="Picture@5C\QPendientes@" descr="@5C\QPendientes@">
          <a:extLst>
            <a:ext uri="{FF2B5EF4-FFF2-40B4-BE49-F238E27FC236}">
              <a16:creationId xmlns:a16="http://schemas.microsoft.com/office/drawing/2014/main" id="{C27954A3-DDBF-4F4D-85F0-D1AD5529BA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69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133350</xdr:rowOff>
    </xdr:to>
    <xdr:pic>
      <xdr:nvPicPr>
        <xdr:cNvPr id="995" name="Picture@5C\QPendientes@" descr="@5C\QPendientes@">
          <a:extLst>
            <a:ext uri="{FF2B5EF4-FFF2-40B4-BE49-F238E27FC236}">
              <a16:creationId xmlns:a16="http://schemas.microsoft.com/office/drawing/2014/main" id="{9BEB1962-F179-4307-93F4-08FDA0755B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87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133350</xdr:rowOff>
    </xdr:to>
    <xdr:pic>
      <xdr:nvPicPr>
        <xdr:cNvPr id="996" name="Picture@5C\QPendientes@" descr="@5C\QPendientes@">
          <a:extLst>
            <a:ext uri="{FF2B5EF4-FFF2-40B4-BE49-F238E27FC236}">
              <a16:creationId xmlns:a16="http://schemas.microsoft.com/office/drawing/2014/main" id="{03AA366F-6D21-4E98-9D13-E40E7D4D40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06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133350</xdr:rowOff>
    </xdr:to>
    <xdr:pic>
      <xdr:nvPicPr>
        <xdr:cNvPr id="997" name="Picture@5C\QPendientes@" descr="@5C\QPendientes@">
          <a:extLst>
            <a:ext uri="{FF2B5EF4-FFF2-40B4-BE49-F238E27FC236}">
              <a16:creationId xmlns:a16="http://schemas.microsoft.com/office/drawing/2014/main" id="{E72BAB1A-F1FD-4919-BC20-68C8A2D21A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24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133350</xdr:rowOff>
    </xdr:to>
    <xdr:pic>
      <xdr:nvPicPr>
        <xdr:cNvPr id="998" name="Picture@5C\QPendientes@" descr="@5C\QPendientes@">
          <a:extLst>
            <a:ext uri="{FF2B5EF4-FFF2-40B4-BE49-F238E27FC236}">
              <a16:creationId xmlns:a16="http://schemas.microsoft.com/office/drawing/2014/main" id="{CEE6E048-29A7-4005-BEFB-60AE036DDC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42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133350</xdr:rowOff>
    </xdr:to>
    <xdr:pic>
      <xdr:nvPicPr>
        <xdr:cNvPr id="999" name="Picture@5C\QPendientes@" descr="@5C\QPendientes@">
          <a:extLst>
            <a:ext uri="{FF2B5EF4-FFF2-40B4-BE49-F238E27FC236}">
              <a16:creationId xmlns:a16="http://schemas.microsoft.com/office/drawing/2014/main" id="{DBCFCA8E-3529-481F-83FE-DB20AF7FA4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61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133350</xdr:rowOff>
    </xdr:to>
    <xdr:pic>
      <xdr:nvPicPr>
        <xdr:cNvPr id="1000" name="Picture@5C\QPendientes@" descr="@5C\QPendientes@">
          <a:extLst>
            <a:ext uri="{FF2B5EF4-FFF2-40B4-BE49-F238E27FC236}">
              <a16:creationId xmlns:a16="http://schemas.microsoft.com/office/drawing/2014/main" id="{CC8ABC7C-2F1B-4474-9823-57F97357A2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79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133350</xdr:rowOff>
    </xdr:to>
    <xdr:pic>
      <xdr:nvPicPr>
        <xdr:cNvPr id="1001" name="Picture@5C\QPendientes@" descr="@5C\QPendientes@">
          <a:extLst>
            <a:ext uri="{FF2B5EF4-FFF2-40B4-BE49-F238E27FC236}">
              <a16:creationId xmlns:a16="http://schemas.microsoft.com/office/drawing/2014/main" id="{481BD6C7-7B7D-4E64-B8B5-B67877CAB9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97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133350</xdr:rowOff>
    </xdr:to>
    <xdr:pic>
      <xdr:nvPicPr>
        <xdr:cNvPr id="1002" name="Picture@5C\QPendientes@" descr="@5C\QPendientes@">
          <a:extLst>
            <a:ext uri="{FF2B5EF4-FFF2-40B4-BE49-F238E27FC236}">
              <a16:creationId xmlns:a16="http://schemas.microsoft.com/office/drawing/2014/main" id="{AA15C614-94E7-4C82-AB8F-CDF11328BD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15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133350</xdr:rowOff>
    </xdr:to>
    <xdr:pic>
      <xdr:nvPicPr>
        <xdr:cNvPr id="1003" name="Picture@5C\QPendientes@" descr="@5C\QPendientes@">
          <a:extLst>
            <a:ext uri="{FF2B5EF4-FFF2-40B4-BE49-F238E27FC236}">
              <a16:creationId xmlns:a16="http://schemas.microsoft.com/office/drawing/2014/main" id="{8EB58C88-174E-4085-AB92-E4A0498A34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34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133350</xdr:rowOff>
    </xdr:to>
    <xdr:pic>
      <xdr:nvPicPr>
        <xdr:cNvPr id="1004" name="Picture@5C\QPendientes@" descr="@5C\QPendientes@">
          <a:extLst>
            <a:ext uri="{FF2B5EF4-FFF2-40B4-BE49-F238E27FC236}">
              <a16:creationId xmlns:a16="http://schemas.microsoft.com/office/drawing/2014/main" id="{34621B99-80D4-4FC2-B217-49A4018808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52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133350</xdr:rowOff>
    </xdr:to>
    <xdr:pic>
      <xdr:nvPicPr>
        <xdr:cNvPr id="1005" name="Picture@5C\QPendientes@" descr="@5C\QPendientes@">
          <a:extLst>
            <a:ext uri="{FF2B5EF4-FFF2-40B4-BE49-F238E27FC236}">
              <a16:creationId xmlns:a16="http://schemas.microsoft.com/office/drawing/2014/main" id="{4BEB88B0-4F13-4D22-A726-5D3EDFADA0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70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133350</xdr:rowOff>
    </xdr:to>
    <xdr:pic>
      <xdr:nvPicPr>
        <xdr:cNvPr id="1006" name="Picture@5C\QPendientes@" descr="@5C\QPendientes@">
          <a:extLst>
            <a:ext uri="{FF2B5EF4-FFF2-40B4-BE49-F238E27FC236}">
              <a16:creationId xmlns:a16="http://schemas.microsoft.com/office/drawing/2014/main" id="{49C026B8-2A9F-4D82-9979-A8DDBCBD6D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89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133350</xdr:rowOff>
    </xdr:to>
    <xdr:pic>
      <xdr:nvPicPr>
        <xdr:cNvPr id="1007" name="Picture@5C\QPendientes@" descr="@5C\QPendientes@">
          <a:extLst>
            <a:ext uri="{FF2B5EF4-FFF2-40B4-BE49-F238E27FC236}">
              <a16:creationId xmlns:a16="http://schemas.microsoft.com/office/drawing/2014/main" id="{34410D97-2326-48C5-B9EF-2F591CB4A1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07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133350</xdr:rowOff>
    </xdr:to>
    <xdr:pic>
      <xdr:nvPicPr>
        <xdr:cNvPr id="1008" name="Picture@5C\QPendientes@" descr="@5C\QPendientes@">
          <a:extLst>
            <a:ext uri="{FF2B5EF4-FFF2-40B4-BE49-F238E27FC236}">
              <a16:creationId xmlns:a16="http://schemas.microsoft.com/office/drawing/2014/main" id="{D76671EE-C062-431F-9EDB-7D50BC3E39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25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133350</xdr:rowOff>
    </xdr:to>
    <xdr:pic>
      <xdr:nvPicPr>
        <xdr:cNvPr id="1009" name="Picture@5C\QPendientes@" descr="@5C\QPendientes@">
          <a:extLst>
            <a:ext uri="{FF2B5EF4-FFF2-40B4-BE49-F238E27FC236}">
              <a16:creationId xmlns:a16="http://schemas.microsoft.com/office/drawing/2014/main" id="{25EDD0C3-4514-4D3C-B383-49BFBB6562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43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133350</xdr:rowOff>
    </xdr:to>
    <xdr:pic>
      <xdr:nvPicPr>
        <xdr:cNvPr id="1010" name="Picture@5C\QPendientes@" descr="@5C\QPendientes@">
          <a:extLst>
            <a:ext uri="{FF2B5EF4-FFF2-40B4-BE49-F238E27FC236}">
              <a16:creationId xmlns:a16="http://schemas.microsoft.com/office/drawing/2014/main" id="{6025F9EC-ADA6-4AE3-BCEB-0E06049CD2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62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133350</xdr:rowOff>
    </xdr:to>
    <xdr:pic>
      <xdr:nvPicPr>
        <xdr:cNvPr id="1011" name="Picture@5C\QPendientes@" descr="@5C\QPendientes@">
          <a:extLst>
            <a:ext uri="{FF2B5EF4-FFF2-40B4-BE49-F238E27FC236}">
              <a16:creationId xmlns:a16="http://schemas.microsoft.com/office/drawing/2014/main" id="{57FFC65A-39C4-4B98-91DE-BF36B226B4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80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133350</xdr:rowOff>
    </xdr:to>
    <xdr:pic>
      <xdr:nvPicPr>
        <xdr:cNvPr id="1012" name="Picture@5C\QPendientes@" descr="@5C\QPendientes@">
          <a:extLst>
            <a:ext uri="{FF2B5EF4-FFF2-40B4-BE49-F238E27FC236}">
              <a16:creationId xmlns:a16="http://schemas.microsoft.com/office/drawing/2014/main" id="{6905539D-C5C9-4F58-8009-CEB7D035B4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98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133350</xdr:rowOff>
    </xdr:to>
    <xdr:pic>
      <xdr:nvPicPr>
        <xdr:cNvPr id="1013" name="Picture@5C\QPendientes@" descr="@5C\QPendientes@">
          <a:extLst>
            <a:ext uri="{FF2B5EF4-FFF2-40B4-BE49-F238E27FC236}">
              <a16:creationId xmlns:a16="http://schemas.microsoft.com/office/drawing/2014/main" id="{A3615A08-928B-42AC-A255-27442BFC64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17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133350</xdr:rowOff>
    </xdr:to>
    <xdr:pic>
      <xdr:nvPicPr>
        <xdr:cNvPr id="1014" name="Picture@5C\QPendientes@" descr="@5C\QPendientes@">
          <a:extLst>
            <a:ext uri="{FF2B5EF4-FFF2-40B4-BE49-F238E27FC236}">
              <a16:creationId xmlns:a16="http://schemas.microsoft.com/office/drawing/2014/main" id="{32E9FC97-06EC-44D4-9D10-32C92C231A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35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133350</xdr:rowOff>
    </xdr:to>
    <xdr:pic>
      <xdr:nvPicPr>
        <xdr:cNvPr id="1015" name="Picture@5C\QPendientes@" descr="@5C\QPendientes@">
          <a:extLst>
            <a:ext uri="{FF2B5EF4-FFF2-40B4-BE49-F238E27FC236}">
              <a16:creationId xmlns:a16="http://schemas.microsoft.com/office/drawing/2014/main" id="{82D079EF-495C-413F-A2DF-774530673F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53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133350</xdr:rowOff>
    </xdr:to>
    <xdr:pic>
      <xdr:nvPicPr>
        <xdr:cNvPr id="1016" name="Picture@5C\QPendientes@" descr="@5C\QPendientes@">
          <a:extLst>
            <a:ext uri="{FF2B5EF4-FFF2-40B4-BE49-F238E27FC236}">
              <a16:creationId xmlns:a16="http://schemas.microsoft.com/office/drawing/2014/main" id="{26CA85A2-0114-4AB1-A073-E4079132EB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72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133350</xdr:rowOff>
    </xdr:to>
    <xdr:pic>
      <xdr:nvPicPr>
        <xdr:cNvPr id="1017" name="Picture@5C\QPendientes@" descr="@5C\QPendientes@">
          <a:extLst>
            <a:ext uri="{FF2B5EF4-FFF2-40B4-BE49-F238E27FC236}">
              <a16:creationId xmlns:a16="http://schemas.microsoft.com/office/drawing/2014/main" id="{9970F54D-CDFA-4BE6-A329-4030F5DEEB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90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133350</xdr:rowOff>
    </xdr:to>
    <xdr:pic>
      <xdr:nvPicPr>
        <xdr:cNvPr id="1018" name="Picture@5C\QPendientes@" descr="@5C\QPendientes@">
          <a:extLst>
            <a:ext uri="{FF2B5EF4-FFF2-40B4-BE49-F238E27FC236}">
              <a16:creationId xmlns:a16="http://schemas.microsoft.com/office/drawing/2014/main" id="{5F0BC64C-5200-4DDF-BA81-546FC5B2DC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08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133350</xdr:rowOff>
    </xdr:to>
    <xdr:pic>
      <xdr:nvPicPr>
        <xdr:cNvPr id="1019" name="Picture@5C\QPendientes@" descr="@5C\QPendientes@">
          <a:extLst>
            <a:ext uri="{FF2B5EF4-FFF2-40B4-BE49-F238E27FC236}">
              <a16:creationId xmlns:a16="http://schemas.microsoft.com/office/drawing/2014/main" id="{A62D4C9E-8FC3-4C88-8544-13A5FEAE23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26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133350</xdr:rowOff>
    </xdr:to>
    <xdr:pic>
      <xdr:nvPicPr>
        <xdr:cNvPr id="1020" name="Picture@5C\QPendientes@" descr="@5C\QPendientes@">
          <a:extLst>
            <a:ext uri="{FF2B5EF4-FFF2-40B4-BE49-F238E27FC236}">
              <a16:creationId xmlns:a16="http://schemas.microsoft.com/office/drawing/2014/main" id="{029610C8-26E0-4C38-BC35-7A3FDC88AC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45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133350</xdr:rowOff>
    </xdr:to>
    <xdr:pic>
      <xdr:nvPicPr>
        <xdr:cNvPr id="1021" name="Picture@5C\QPendientes@" descr="@5C\QPendientes@">
          <a:extLst>
            <a:ext uri="{FF2B5EF4-FFF2-40B4-BE49-F238E27FC236}">
              <a16:creationId xmlns:a16="http://schemas.microsoft.com/office/drawing/2014/main" id="{71EEAB44-457B-40AD-A84C-AF8323BB23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63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133350</xdr:rowOff>
    </xdr:to>
    <xdr:pic>
      <xdr:nvPicPr>
        <xdr:cNvPr id="1022" name="Picture@5C\QPendientes@" descr="@5C\QPendientes@">
          <a:extLst>
            <a:ext uri="{FF2B5EF4-FFF2-40B4-BE49-F238E27FC236}">
              <a16:creationId xmlns:a16="http://schemas.microsoft.com/office/drawing/2014/main" id="{DADB5094-75A6-4BA6-ACA2-5525BD9D2F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81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133350</xdr:rowOff>
    </xdr:to>
    <xdr:pic>
      <xdr:nvPicPr>
        <xdr:cNvPr id="1023" name="Picture@5C\QPendientes@" descr="@5C\QPendientes@">
          <a:extLst>
            <a:ext uri="{FF2B5EF4-FFF2-40B4-BE49-F238E27FC236}">
              <a16:creationId xmlns:a16="http://schemas.microsoft.com/office/drawing/2014/main" id="{9A9E54AC-F8EC-429F-BBD5-186F14FC55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00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133350</xdr:rowOff>
    </xdr:to>
    <xdr:pic>
      <xdr:nvPicPr>
        <xdr:cNvPr id="1024" name="Picture@5C\QPendientes@" descr="@5C\QPendientes@">
          <a:extLst>
            <a:ext uri="{FF2B5EF4-FFF2-40B4-BE49-F238E27FC236}">
              <a16:creationId xmlns:a16="http://schemas.microsoft.com/office/drawing/2014/main" id="{31E17D57-83A3-415A-BCD2-18FDF38EFA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18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133350</xdr:rowOff>
    </xdr:to>
    <xdr:pic>
      <xdr:nvPicPr>
        <xdr:cNvPr id="1025" name="Picture@5C\QPendientes@" descr="@5C\QPendientes@">
          <a:extLst>
            <a:ext uri="{FF2B5EF4-FFF2-40B4-BE49-F238E27FC236}">
              <a16:creationId xmlns:a16="http://schemas.microsoft.com/office/drawing/2014/main" id="{8D24B488-D1AF-45EE-A470-E45C190936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36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133350</xdr:rowOff>
    </xdr:to>
    <xdr:pic>
      <xdr:nvPicPr>
        <xdr:cNvPr id="1026" name="Picture@5C\QPendientes@" descr="@5C\QPendientes@">
          <a:extLst>
            <a:ext uri="{FF2B5EF4-FFF2-40B4-BE49-F238E27FC236}">
              <a16:creationId xmlns:a16="http://schemas.microsoft.com/office/drawing/2014/main" id="{923D57EE-E48B-4A4B-B677-6CC4F823F6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54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133350</xdr:rowOff>
    </xdr:to>
    <xdr:pic>
      <xdr:nvPicPr>
        <xdr:cNvPr id="1027" name="Picture@5C\QPendientes@" descr="@5C\QPendientes@">
          <a:extLst>
            <a:ext uri="{FF2B5EF4-FFF2-40B4-BE49-F238E27FC236}">
              <a16:creationId xmlns:a16="http://schemas.microsoft.com/office/drawing/2014/main" id="{2CDDD52B-D69B-4029-9754-8F6A111A46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73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133350</xdr:rowOff>
    </xdr:to>
    <xdr:pic>
      <xdr:nvPicPr>
        <xdr:cNvPr id="1028" name="Picture@5C\QPendientes@" descr="@5C\QPendientes@">
          <a:extLst>
            <a:ext uri="{FF2B5EF4-FFF2-40B4-BE49-F238E27FC236}">
              <a16:creationId xmlns:a16="http://schemas.microsoft.com/office/drawing/2014/main" id="{D84C73E2-A531-47C4-900C-8AFE0CC874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91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133350</xdr:rowOff>
    </xdr:to>
    <xdr:pic>
      <xdr:nvPicPr>
        <xdr:cNvPr id="1029" name="Picture@5C\QPendientes@" descr="@5C\QPendientes@">
          <a:extLst>
            <a:ext uri="{FF2B5EF4-FFF2-40B4-BE49-F238E27FC236}">
              <a16:creationId xmlns:a16="http://schemas.microsoft.com/office/drawing/2014/main" id="{ED602896-1384-46C2-8734-8F96C46DDC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09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133350</xdr:rowOff>
    </xdr:to>
    <xdr:pic>
      <xdr:nvPicPr>
        <xdr:cNvPr id="1030" name="Picture@5C\QPendientes@" descr="@5C\QPendientes@">
          <a:extLst>
            <a:ext uri="{FF2B5EF4-FFF2-40B4-BE49-F238E27FC236}">
              <a16:creationId xmlns:a16="http://schemas.microsoft.com/office/drawing/2014/main" id="{1D7632AB-8BE3-4987-8FC8-CC6154BEBE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28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133350</xdr:rowOff>
    </xdr:to>
    <xdr:pic>
      <xdr:nvPicPr>
        <xdr:cNvPr id="1031" name="Picture@5C\QPendientes@" descr="@5C\QPendientes@">
          <a:extLst>
            <a:ext uri="{FF2B5EF4-FFF2-40B4-BE49-F238E27FC236}">
              <a16:creationId xmlns:a16="http://schemas.microsoft.com/office/drawing/2014/main" id="{65748935-4742-45C4-AB31-80BC2FB83A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46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133350</xdr:rowOff>
    </xdr:to>
    <xdr:pic>
      <xdr:nvPicPr>
        <xdr:cNvPr id="1032" name="Picture@5C\QPendientes@" descr="@5C\QPendientes@">
          <a:extLst>
            <a:ext uri="{FF2B5EF4-FFF2-40B4-BE49-F238E27FC236}">
              <a16:creationId xmlns:a16="http://schemas.microsoft.com/office/drawing/2014/main" id="{A63231A6-5719-4ECD-9306-9499982823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64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133350</xdr:rowOff>
    </xdr:to>
    <xdr:pic>
      <xdr:nvPicPr>
        <xdr:cNvPr id="1033" name="Picture@5C\QPendientes@" descr="@5C\QPendientes@">
          <a:extLst>
            <a:ext uri="{FF2B5EF4-FFF2-40B4-BE49-F238E27FC236}">
              <a16:creationId xmlns:a16="http://schemas.microsoft.com/office/drawing/2014/main" id="{C6145A24-4690-4AC6-8C44-8E6D81B717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82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133350</xdr:rowOff>
    </xdr:to>
    <xdr:pic>
      <xdr:nvPicPr>
        <xdr:cNvPr id="1034" name="Picture@5C\QPendientes@" descr="@5C\QPendientes@">
          <a:extLst>
            <a:ext uri="{FF2B5EF4-FFF2-40B4-BE49-F238E27FC236}">
              <a16:creationId xmlns:a16="http://schemas.microsoft.com/office/drawing/2014/main" id="{E41E807C-9A7B-4F2A-B8CB-2441E4CA15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01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133350</xdr:rowOff>
    </xdr:to>
    <xdr:pic>
      <xdr:nvPicPr>
        <xdr:cNvPr id="1035" name="Picture@5C\QPendientes@" descr="@5C\QPendientes@">
          <a:extLst>
            <a:ext uri="{FF2B5EF4-FFF2-40B4-BE49-F238E27FC236}">
              <a16:creationId xmlns:a16="http://schemas.microsoft.com/office/drawing/2014/main" id="{76D3F77A-02E1-4390-AB1E-982539E9BA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19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133350</xdr:rowOff>
    </xdr:to>
    <xdr:pic>
      <xdr:nvPicPr>
        <xdr:cNvPr id="1036" name="Picture@5C\QPendientes@" descr="@5C\QPendientes@">
          <a:extLst>
            <a:ext uri="{FF2B5EF4-FFF2-40B4-BE49-F238E27FC236}">
              <a16:creationId xmlns:a16="http://schemas.microsoft.com/office/drawing/2014/main" id="{A7D289CB-C518-4930-8617-1FBCA68693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37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133350</xdr:rowOff>
    </xdr:to>
    <xdr:pic>
      <xdr:nvPicPr>
        <xdr:cNvPr id="1037" name="Picture@5C\QPendientes@" descr="@5C\QPendientes@">
          <a:extLst>
            <a:ext uri="{FF2B5EF4-FFF2-40B4-BE49-F238E27FC236}">
              <a16:creationId xmlns:a16="http://schemas.microsoft.com/office/drawing/2014/main" id="{5FAAD889-B9FC-446B-BAAC-55211539B1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56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133350</xdr:rowOff>
    </xdr:to>
    <xdr:pic>
      <xdr:nvPicPr>
        <xdr:cNvPr id="1038" name="Picture@5C\QPendientes@" descr="@5C\QPendientes@">
          <a:extLst>
            <a:ext uri="{FF2B5EF4-FFF2-40B4-BE49-F238E27FC236}">
              <a16:creationId xmlns:a16="http://schemas.microsoft.com/office/drawing/2014/main" id="{F293641F-3BB9-444D-BC0C-BDD2DC7F67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74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133350</xdr:rowOff>
    </xdr:to>
    <xdr:pic>
      <xdr:nvPicPr>
        <xdr:cNvPr id="1039" name="Picture@5C\QPendientes@" descr="@5C\QPendientes@">
          <a:extLst>
            <a:ext uri="{FF2B5EF4-FFF2-40B4-BE49-F238E27FC236}">
              <a16:creationId xmlns:a16="http://schemas.microsoft.com/office/drawing/2014/main" id="{FEC1B702-EBBF-4B96-806A-1DBE53FA05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92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133350</xdr:rowOff>
    </xdr:to>
    <xdr:pic>
      <xdr:nvPicPr>
        <xdr:cNvPr id="1040" name="Picture@5C\QPendientes@" descr="@5C\QPendientes@">
          <a:extLst>
            <a:ext uri="{FF2B5EF4-FFF2-40B4-BE49-F238E27FC236}">
              <a16:creationId xmlns:a16="http://schemas.microsoft.com/office/drawing/2014/main" id="{B2307C9E-3EBC-4664-9601-429C359233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10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133350</xdr:rowOff>
    </xdr:to>
    <xdr:pic>
      <xdr:nvPicPr>
        <xdr:cNvPr id="1041" name="Picture@5C\QPendientes@" descr="@5C\QPendientes@">
          <a:extLst>
            <a:ext uri="{FF2B5EF4-FFF2-40B4-BE49-F238E27FC236}">
              <a16:creationId xmlns:a16="http://schemas.microsoft.com/office/drawing/2014/main" id="{53BB51D3-3738-477C-B1E5-8AFAFB8A7C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29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133350</xdr:rowOff>
    </xdr:to>
    <xdr:pic>
      <xdr:nvPicPr>
        <xdr:cNvPr id="1042" name="Picture@5C\QPendientes@" descr="@5C\QPendientes@">
          <a:extLst>
            <a:ext uri="{FF2B5EF4-FFF2-40B4-BE49-F238E27FC236}">
              <a16:creationId xmlns:a16="http://schemas.microsoft.com/office/drawing/2014/main" id="{B9696682-5DBE-41AD-BDB3-66DD3AC0D0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47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133350</xdr:rowOff>
    </xdr:to>
    <xdr:pic>
      <xdr:nvPicPr>
        <xdr:cNvPr id="1043" name="Picture@5C\QPendientes@" descr="@5C\QPendientes@">
          <a:extLst>
            <a:ext uri="{FF2B5EF4-FFF2-40B4-BE49-F238E27FC236}">
              <a16:creationId xmlns:a16="http://schemas.microsoft.com/office/drawing/2014/main" id="{51ED7DFF-0FD5-4A80-B909-4C1629218E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65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133350</xdr:rowOff>
    </xdr:to>
    <xdr:pic>
      <xdr:nvPicPr>
        <xdr:cNvPr id="1044" name="Picture@5C\QPendientes@" descr="@5C\QPendientes@">
          <a:extLst>
            <a:ext uri="{FF2B5EF4-FFF2-40B4-BE49-F238E27FC236}">
              <a16:creationId xmlns:a16="http://schemas.microsoft.com/office/drawing/2014/main" id="{1A20F784-B22B-41E6-B3F4-1E2ABB61C3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84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133350</xdr:rowOff>
    </xdr:to>
    <xdr:pic>
      <xdr:nvPicPr>
        <xdr:cNvPr id="1045" name="Picture@5C\QPendientes@" descr="@5C\QPendientes@">
          <a:extLst>
            <a:ext uri="{FF2B5EF4-FFF2-40B4-BE49-F238E27FC236}">
              <a16:creationId xmlns:a16="http://schemas.microsoft.com/office/drawing/2014/main" id="{C292EAD5-39C5-4C23-98C3-649C19CE44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02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133350</xdr:rowOff>
    </xdr:to>
    <xdr:pic>
      <xdr:nvPicPr>
        <xdr:cNvPr id="1046" name="Picture@5C\QPendientes@" descr="@5C\QPendientes@">
          <a:extLst>
            <a:ext uri="{FF2B5EF4-FFF2-40B4-BE49-F238E27FC236}">
              <a16:creationId xmlns:a16="http://schemas.microsoft.com/office/drawing/2014/main" id="{74EDDEB5-69EC-4720-AC74-488747508B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20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133350</xdr:rowOff>
    </xdr:to>
    <xdr:pic>
      <xdr:nvPicPr>
        <xdr:cNvPr id="1047" name="Picture@5C\QPendientes@" descr="@5C\QPendientes@">
          <a:extLst>
            <a:ext uri="{FF2B5EF4-FFF2-40B4-BE49-F238E27FC236}">
              <a16:creationId xmlns:a16="http://schemas.microsoft.com/office/drawing/2014/main" id="{9905F876-D22D-4B3B-BB78-CA6BB2618C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38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133350</xdr:rowOff>
    </xdr:to>
    <xdr:pic>
      <xdr:nvPicPr>
        <xdr:cNvPr id="1048" name="Picture@5C\QPendientes@" descr="@5C\QPendientes@">
          <a:extLst>
            <a:ext uri="{FF2B5EF4-FFF2-40B4-BE49-F238E27FC236}">
              <a16:creationId xmlns:a16="http://schemas.microsoft.com/office/drawing/2014/main" id="{4E49772F-A3C6-4D00-A5FE-D62D377150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57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133350</xdr:rowOff>
    </xdr:to>
    <xdr:pic>
      <xdr:nvPicPr>
        <xdr:cNvPr id="1049" name="Picture@5C\QPendientes@" descr="@5C\QPendientes@">
          <a:extLst>
            <a:ext uri="{FF2B5EF4-FFF2-40B4-BE49-F238E27FC236}">
              <a16:creationId xmlns:a16="http://schemas.microsoft.com/office/drawing/2014/main" id="{30FDEA38-5ECF-4C96-ACED-B84820004B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75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133350</xdr:rowOff>
    </xdr:to>
    <xdr:pic>
      <xdr:nvPicPr>
        <xdr:cNvPr id="1050" name="Picture@5C\QPendientes@" descr="@5C\QPendientes@">
          <a:extLst>
            <a:ext uri="{FF2B5EF4-FFF2-40B4-BE49-F238E27FC236}">
              <a16:creationId xmlns:a16="http://schemas.microsoft.com/office/drawing/2014/main" id="{9AF2DF09-5A0E-4FA7-9F2B-315A2CDE30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93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133350</xdr:rowOff>
    </xdr:to>
    <xdr:pic>
      <xdr:nvPicPr>
        <xdr:cNvPr id="1051" name="Picture@5C\QPendientes@" descr="@5C\QPendientes@">
          <a:extLst>
            <a:ext uri="{FF2B5EF4-FFF2-40B4-BE49-F238E27FC236}">
              <a16:creationId xmlns:a16="http://schemas.microsoft.com/office/drawing/2014/main" id="{DA45F3CE-6231-4090-B19F-7D34C9A476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12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133350</xdr:rowOff>
    </xdr:to>
    <xdr:pic>
      <xdr:nvPicPr>
        <xdr:cNvPr id="1052" name="Picture@5C\QPendientes@" descr="@5C\QPendientes@">
          <a:extLst>
            <a:ext uri="{FF2B5EF4-FFF2-40B4-BE49-F238E27FC236}">
              <a16:creationId xmlns:a16="http://schemas.microsoft.com/office/drawing/2014/main" id="{16AFC2FA-588A-4070-A99B-232141CB75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30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133350</xdr:rowOff>
    </xdr:to>
    <xdr:pic>
      <xdr:nvPicPr>
        <xdr:cNvPr id="1053" name="Picture@5C\QPendientes@" descr="@5C\QPendientes@">
          <a:extLst>
            <a:ext uri="{FF2B5EF4-FFF2-40B4-BE49-F238E27FC236}">
              <a16:creationId xmlns:a16="http://schemas.microsoft.com/office/drawing/2014/main" id="{A9F38FF4-C5EC-417B-8C0D-1B722E5600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48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133350</xdr:rowOff>
    </xdr:to>
    <xdr:pic>
      <xdr:nvPicPr>
        <xdr:cNvPr id="1054" name="Picture@5C\QPendientes@" descr="@5C\QPendientes@">
          <a:extLst>
            <a:ext uri="{FF2B5EF4-FFF2-40B4-BE49-F238E27FC236}">
              <a16:creationId xmlns:a16="http://schemas.microsoft.com/office/drawing/2014/main" id="{4633A0D9-EB8B-49AB-A542-47955CA938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66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133350</xdr:rowOff>
    </xdr:to>
    <xdr:pic>
      <xdr:nvPicPr>
        <xdr:cNvPr id="1055" name="Picture@5C\QPendientes@" descr="@5C\QPendientes@">
          <a:extLst>
            <a:ext uri="{FF2B5EF4-FFF2-40B4-BE49-F238E27FC236}">
              <a16:creationId xmlns:a16="http://schemas.microsoft.com/office/drawing/2014/main" id="{CBD025AD-4511-4A9D-9B5D-E375F22DA6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85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133350</xdr:rowOff>
    </xdr:to>
    <xdr:pic>
      <xdr:nvPicPr>
        <xdr:cNvPr id="1056" name="Picture@5C\QPendientes@" descr="@5C\QPendientes@">
          <a:extLst>
            <a:ext uri="{FF2B5EF4-FFF2-40B4-BE49-F238E27FC236}">
              <a16:creationId xmlns:a16="http://schemas.microsoft.com/office/drawing/2014/main" id="{4C6744E9-DC12-45A5-A372-6D2FCAEAF3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03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133350</xdr:rowOff>
    </xdr:to>
    <xdr:pic>
      <xdr:nvPicPr>
        <xdr:cNvPr id="1057" name="Picture@5C\QPendientes@" descr="@5C\QPendientes@">
          <a:extLst>
            <a:ext uri="{FF2B5EF4-FFF2-40B4-BE49-F238E27FC236}">
              <a16:creationId xmlns:a16="http://schemas.microsoft.com/office/drawing/2014/main" id="{BEF79C0B-D87E-4B8C-B8A8-226A0C444A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21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133350</xdr:rowOff>
    </xdr:to>
    <xdr:pic>
      <xdr:nvPicPr>
        <xdr:cNvPr id="1058" name="Picture@5C\QPendientes@" descr="@5C\QPendientes@">
          <a:extLst>
            <a:ext uri="{FF2B5EF4-FFF2-40B4-BE49-F238E27FC236}">
              <a16:creationId xmlns:a16="http://schemas.microsoft.com/office/drawing/2014/main" id="{D7A94DEA-5BC7-49B9-91A6-93393240AF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40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133350</xdr:rowOff>
    </xdr:to>
    <xdr:pic>
      <xdr:nvPicPr>
        <xdr:cNvPr id="1059" name="Picture@5C\QPendientes@" descr="@5C\QPendientes@">
          <a:extLst>
            <a:ext uri="{FF2B5EF4-FFF2-40B4-BE49-F238E27FC236}">
              <a16:creationId xmlns:a16="http://schemas.microsoft.com/office/drawing/2014/main" id="{9A1E0C17-D391-49F8-9F3E-E2969E296E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58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133350</xdr:rowOff>
    </xdr:to>
    <xdr:pic>
      <xdr:nvPicPr>
        <xdr:cNvPr id="1060" name="Picture@5C\QPendientes@" descr="@5C\QPendientes@">
          <a:extLst>
            <a:ext uri="{FF2B5EF4-FFF2-40B4-BE49-F238E27FC236}">
              <a16:creationId xmlns:a16="http://schemas.microsoft.com/office/drawing/2014/main" id="{89EB3809-91AE-412B-8A04-9DF42B14BB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76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133350</xdr:rowOff>
    </xdr:to>
    <xdr:pic>
      <xdr:nvPicPr>
        <xdr:cNvPr id="1061" name="Picture@5C\QPendientes@" descr="@5C\QPendientes@">
          <a:extLst>
            <a:ext uri="{FF2B5EF4-FFF2-40B4-BE49-F238E27FC236}">
              <a16:creationId xmlns:a16="http://schemas.microsoft.com/office/drawing/2014/main" id="{9191EA07-6DC1-469A-81E6-40782DC0CE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94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133350</xdr:rowOff>
    </xdr:to>
    <xdr:pic>
      <xdr:nvPicPr>
        <xdr:cNvPr id="1062" name="Picture@5C\QPendientes@" descr="@5C\QPendientes@">
          <a:extLst>
            <a:ext uri="{FF2B5EF4-FFF2-40B4-BE49-F238E27FC236}">
              <a16:creationId xmlns:a16="http://schemas.microsoft.com/office/drawing/2014/main" id="{510AC77B-24E9-42CE-83FA-A64022F85D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13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133350</xdr:rowOff>
    </xdr:to>
    <xdr:pic>
      <xdr:nvPicPr>
        <xdr:cNvPr id="1063" name="Picture@5C\QPendientes@" descr="@5C\QPendientes@">
          <a:extLst>
            <a:ext uri="{FF2B5EF4-FFF2-40B4-BE49-F238E27FC236}">
              <a16:creationId xmlns:a16="http://schemas.microsoft.com/office/drawing/2014/main" id="{8C91DF2F-1C8F-4F37-A118-E849C51AB2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31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133350</xdr:rowOff>
    </xdr:to>
    <xdr:pic>
      <xdr:nvPicPr>
        <xdr:cNvPr id="1064" name="Picture@5C\QPendientes@" descr="@5C\QPendientes@">
          <a:extLst>
            <a:ext uri="{FF2B5EF4-FFF2-40B4-BE49-F238E27FC236}">
              <a16:creationId xmlns:a16="http://schemas.microsoft.com/office/drawing/2014/main" id="{75EFC81C-5B19-4F32-A5E0-C370C302D5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49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133350</xdr:rowOff>
    </xdr:to>
    <xdr:pic>
      <xdr:nvPicPr>
        <xdr:cNvPr id="1065" name="Picture@5C\QPendientes@" descr="@5C\QPendientes@">
          <a:extLst>
            <a:ext uri="{FF2B5EF4-FFF2-40B4-BE49-F238E27FC236}">
              <a16:creationId xmlns:a16="http://schemas.microsoft.com/office/drawing/2014/main" id="{45591491-1EC8-442B-A1BB-C6016EC3F2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68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133350</xdr:rowOff>
    </xdr:to>
    <xdr:pic>
      <xdr:nvPicPr>
        <xdr:cNvPr id="1066" name="Picture@5C\QPendientes@" descr="@5C\QPendientes@">
          <a:extLst>
            <a:ext uri="{FF2B5EF4-FFF2-40B4-BE49-F238E27FC236}">
              <a16:creationId xmlns:a16="http://schemas.microsoft.com/office/drawing/2014/main" id="{B69EB8EA-EA52-496A-9881-C3A38F3780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133350</xdr:rowOff>
    </xdr:to>
    <xdr:pic>
      <xdr:nvPicPr>
        <xdr:cNvPr id="1067" name="Picture@5C\QPendientes@" descr="@5C\QPendientes@">
          <a:extLst>
            <a:ext uri="{FF2B5EF4-FFF2-40B4-BE49-F238E27FC236}">
              <a16:creationId xmlns:a16="http://schemas.microsoft.com/office/drawing/2014/main" id="{AAB42C96-A2BB-4880-A44C-D1CE9D859D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04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133350</xdr:rowOff>
    </xdr:to>
    <xdr:pic>
      <xdr:nvPicPr>
        <xdr:cNvPr id="1068" name="Picture@5C\QPendientes@" descr="@5C\QPendientes@">
          <a:extLst>
            <a:ext uri="{FF2B5EF4-FFF2-40B4-BE49-F238E27FC236}">
              <a16:creationId xmlns:a16="http://schemas.microsoft.com/office/drawing/2014/main" id="{7FA3013D-EB77-4415-9A2B-D9A442D932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22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133350</xdr:rowOff>
    </xdr:to>
    <xdr:pic>
      <xdr:nvPicPr>
        <xdr:cNvPr id="1069" name="Picture@5C\QPendientes@" descr="@5C\QPendientes@">
          <a:extLst>
            <a:ext uri="{FF2B5EF4-FFF2-40B4-BE49-F238E27FC236}">
              <a16:creationId xmlns:a16="http://schemas.microsoft.com/office/drawing/2014/main" id="{D1C47213-9EFB-4819-A86B-73683A3557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41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133350</xdr:rowOff>
    </xdr:to>
    <xdr:pic>
      <xdr:nvPicPr>
        <xdr:cNvPr id="1070" name="Picture@5C\QPendientes@" descr="@5C\QPendientes@">
          <a:extLst>
            <a:ext uri="{FF2B5EF4-FFF2-40B4-BE49-F238E27FC236}">
              <a16:creationId xmlns:a16="http://schemas.microsoft.com/office/drawing/2014/main" id="{49BA69BC-8E91-4B45-9334-80F14F0D84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59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133350</xdr:rowOff>
    </xdr:to>
    <xdr:pic>
      <xdr:nvPicPr>
        <xdr:cNvPr id="1071" name="Picture@5C\QPendientes@" descr="@5C\QPendientes@">
          <a:extLst>
            <a:ext uri="{FF2B5EF4-FFF2-40B4-BE49-F238E27FC236}">
              <a16:creationId xmlns:a16="http://schemas.microsoft.com/office/drawing/2014/main" id="{949931B3-88D3-496D-B415-25769E73C6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77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133350</xdr:rowOff>
    </xdr:to>
    <xdr:pic>
      <xdr:nvPicPr>
        <xdr:cNvPr id="1072" name="Picture@5C\QPendientes@" descr="@5C\QPendientes@">
          <a:extLst>
            <a:ext uri="{FF2B5EF4-FFF2-40B4-BE49-F238E27FC236}">
              <a16:creationId xmlns:a16="http://schemas.microsoft.com/office/drawing/2014/main" id="{C7878AB8-9F0A-4283-A2BD-DBF41499F1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96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133350</xdr:rowOff>
    </xdr:to>
    <xdr:pic>
      <xdr:nvPicPr>
        <xdr:cNvPr id="1073" name="Picture@5C\QPendientes@" descr="@5C\QPendientes@">
          <a:extLst>
            <a:ext uri="{FF2B5EF4-FFF2-40B4-BE49-F238E27FC236}">
              <a16:creationId xmlns:a16="http://schemas.microsoft.com/office/drawing/2014/main" id="{3854F974-2390-4E2B-A4DD-DBA8C767A6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14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133350</xdr:rowOff>
    </xdr:to>
    <xdr:pic>
      <xdr:nvPicPr>
        <xdr:cNvPr id="1074" name="Picture@5C\QPendientes@" descr="@5C\QPendientes@">
          <a:extLst>
            <a:ext uri="{FF2B5EF4-FFF2-40B4-BE49-F238E27FC236}">
              <a16:creationId xmlns:a16="http://schemas.microsoft.com/office/drawing/2014/main" id="{3C35AEEA-1CFB-4936-8AFC-84E425F134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32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133350</xdr:rowOff>
    </xdr:to>
    <xdr:pic>
      <xdr:nvPicPr>
        <xdr:cNvPr id="1075" name="Picture@5C\QPendientes@" descr="@5C\QPendientes@">
          <a:extLst>
            <a:ext uri="{FF2B5EF4-FFF2-40B4-BE49-F238E27FC236}">
              <a16:creationId xmlns:a16="http://schemas.microsoft.com/office/drawing/2014/main" id="{8879EC9C-CFF6-4BA3-933B-104A4E5663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50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133350</xdr:rowOff>
    </xdr:to>
    <xdr:pic>
      <xdr:nvPicPr>
        <xdr:cNvPr id="1076" name="Picture@5C\QPendientes@" descr="@5C\QPendientes@">
          <a:extLst>
            <a:ext uri="{FF2B5EF4-FFF2-40B4-BE49-F238E27FC236}">
              <a16:creationId xmlns:a16="http://schemas.microsoft.com/office/drawing/2014/main" id="{A211A52F-8822-41F2-8C52-BB5D251481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69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133350</xdr:rowOff>
    </xdr:to>
    <xdr:pic>
      <xdr:nvPicPr>
        <xdr:cNvPr id="1077" name="Picture@5C\QPendientes@" descr="@5C\QPendientes@">
          <a:extLst>
            <a:ext uri="{FF2B5EF4-FFF2-40B4-BE49-F238E27FC236}">
              <a16:creationId xmlns:a16="http://schemas.microsoft.com/office/drawing/2014/main" id="{78DB2F8A-9649-4054-A160-E16F2F7514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87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171450</xdr:colOff>
      <xdr:row>312</xdr:row>
      <xdr:rowOff>133350</xdr:rowOff>
    </xdr:to>
    <xdr:pic>
      <xdr:nvPicPr>
        <xdr:cNvPr id="1078" name="Picture@5C\QPendientes@" descr="@5C\QPendientes@">
          <a:extLst>
            <a:ext uri="{FF2B5EF4-FFF2-40B4-BE49-F238E27FC236}">
              <a16:creationId xmlns:a16="http://schemas.microsoft.com/office/drawing/2014/main" id="{5C1745B8-3201-44D3-A166-C8BDDD0AA0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05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133350</xdr:rowOff>
    </xdr:to>
    <xdr:pic>
      <xdr:nvPicPr>
        <xdr:cNvPr id="1079" name="Picture@5C\QPendientes@" descr="@5C\QPendientes@">
          <a:extLst>
            <a:ext uri="{FF2B5EF4-FFF2-40B4-BE49-F238E27FC236}">
              <a16:creationId xmlns:a16="http://schemas.microsoft.com/office/drawing/2014/main" id="{64B1F885-3B6F-4AF6-8288-8DE6A76684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24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</xdr:row>
      <xdr:rowOff>0</xdr:rowOff>
    </xdr:from>
    <xdr:to>
      <xdr:col>0</xdr:col>
      <xdr:colOff>171450</xdr:colOff>
      <xdr:row>314</xdr:row>
      <xdr:rowOff>133350</xdr:rowOff>
    </xdr:to>
    <xdr:pic>
      <xdr:nvPicPr>
        <xdr:cNvPr id="1080" name="Picture@5C\QPendientes@" descr="@5C\QPendientes@">
          <a:extLst>
            <a:ext uri="{FF2B5EF4-FFF2-40B4-BE49-F238E27FC236}">
              <a16:creationId xmlns:a16="http://schemas.microsoft.com/office/drawing/2014/main" id="{7B8D8390-CFB1-4EBF-817E-223563F685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42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133350</xdr:rowOff>
    </xdr:to>
    <xdr:pic>
      <xdr:nvPicPr>
        <xdr:cNvPr id="1081" name="Picture@5C\QPendientes@" descr="@5C\QPendientes@">
          <a:extLst>
            <a:ext uri="{FF2B5EF4-FFF2-40B4-BE49-F238E27FC236}">
              <a16:creationId xmlns:a16="http://schemas.microsoft.com/office/drawing/2014/main" id="{57A6A631-B744-48EE-ABA2-B15673B3B5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60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133350</xdr:rowOff>
    </xdr:to>
    <xdr:pic>
      <xdr:nvPicPr>
        <xdr:cNvPr id="1082" name="Picture@5C\QPendientes@" descr="@5C\QPendientes@">
          <a:extLst>
            <a:ext uri="{FF2B5EF4-FFF2-40B4-BE49-F238E27FC236}">
              <a16:creationId xmlns:a16="http://schemas.microsoft.com/office/drawing/2014/main" id="{5F99BA2E-CD77-46DF-BFCB-8BBAAB83EC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79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133350</xdr:rowOff>
    </xdr:to>
    <xdr:pic>
      <xdr:nvPicPr>
        <xdr:cNvPr id="1083" name="Picture@5C\QPendientes@" descr="@5C\QPendientes@">
          <a:extLst>
            <a:ext uri="{FF2B5EF4-FFF2-40B4-BE49-F238E27FC236}">
              <a16:creationId xmlns:a16="http://schemas.microsoft.com/office/drawing/2014/main" id="{4AA187D0-24D1-4738-87FA-E69148E9CC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97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133350</xdr:rowOff>
    </xdr:to>
    <xdr:pic>
      <xdr:nvPicPr>
        <xdr:cNvPr id="1084" name="Picture@5C\QPendientes@" descr="@5C\QPendientes@">
          <a:extLst>
            <a:ext uri="{FF2B5EF4-FFF2-40B4-BE49-F238E27FC236}">
              <a16:creationId xmlns:a16="http://schemas.microsoft.com/office/drawing/2014/main" id="{36ABD2A4-63E1-465D-8C71-2EF81575F4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15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171450</xdr:colOff>
      <xdr:row>319</xdr:row>
      <xdr:rowOff>133350</xdr:rowOff>
    </xdr:to>
    <xdr:pic>
      <xdr:nvPicPr>
        <xdr:cNvPr id="1085" name="Picture@5C\QPendientes@" descr="@5C\QPendientes@">
          <a:extLst>
            <a:ext uri="{FF2B5EF4-FFF2-40B4-BE49-F238E27FC236}">
              <a16:creationId xmlns:a16="http://schemas.microsoft.com/office/drawing/2014/main" id="{2385D15B-BAFD-4865-A38B-37298D84BF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33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133350</xdr:rowOff>
    </xdr:to>
    <xdr:pic>
      <xdr:nvPicPr>
        <xdr:cNvPr id="1086" name="Picture@5C\QPendientes@" descr="@5C\QPendientes@">
          <a:extLst>
            <a:ext uri="{FF2B5EF4-FFF2-40B4-BE49-F238E27FC236}">
              <a16:creationId xmlns:a16="http://schemas.microsoft.com/office/drawing/2014/main" id="{D6BB6C76-8F1B-470E-A6E2-00F0D314DB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52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133350</xdr:rowOff>
    </xdr:to>
    <xdr:pic>
      <xdr:nvPicPr>
        <xdr:cNvPr id="1087" name="Picture@5C\QPendientes@" descr="@5C\QPendientes@">
          <a:extLst>
            <a:ext uri="{FF2B5EF4-FFF2-40B4-BE49-F238E27FC236}">
              <a16:creationId xmlns:a16="http://schemas.microsoft.com/office/drawing/2014/main" id="{53992382-A7E1-4DF0-9900-7FDC1EA1A1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70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171450</xdr:colOff>
      <xdr:row>322</xdr:row>
      <xdr:rowOff>133350</xdr:rowOff>
    </xdr:to>
    <xdr:pic>
      <xdr:nvPicPr>
        <xdr:cNvPr id="1088" name="Picture@5C\QPendientes@" descr="@5C\QPendientes@">
          <a:extLst>
            <a:ext uri="{FF2B5EF4-FFF2-40B4-BE49-F238E27FC236}">
              <a16:creationId xmlns:a16="http://schemas.microsoft.com/office/drawing/2014/main" id="{0897A808-E9B6-49E9-A6C0-12CAA80A45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88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171450</xdr:colOff>
      <xdr:row>323</xdr:row>
      <xdr:rowOff>133350</xdr:rowOff>
    </xdr:to>
    <xdr:pic>
      <xdr:nvPicPr>
        <xdr:cNvPr id="1089" name="Picture@5C\QPendientes@" descr="@5C\QPendientes@">
          <a:extLst>
            <a:ext uri="{FF2B5EF4-FFF2-40B4-BE49-F238E27FC236}">
              <a16:creationId xmlns:a16="http://schemas.microsoft.com/office/drawing/2014/main" id="{FDCB1348-2DED-4631-845D-4E20D6B33C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07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133350</xdr:rowOff>
    </xdr:to>
    <xdr:pic>
      <xdr:nvPicPr>
        <xdr:cNvPr id="1090" name="Picture@5C\QPendientes@" descr="@5C\QPendientes@">
          <a:extLst>
            <a:ext uri="{FF2B5EF4-FFF2-40B4-BE49-F238E27FC236}">
              <a16:creationId xmlns:a16="http://schemas.microsoft.com/office/drawing/2014/main" id="{A2596471-47D5-42A0-BCCC-74EC391043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25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</xdr:row>
      <xdr:rowOff>0</xdr:rowOff>
    </xdr:from>
    <xdr:to>
      <xdr:col>0</xdr:col>
      <xdr:colOff>171450</xdr:colOff>
      <xdr:row>325</xdr:row>
      <xdr:rowOff>133350</xdr:rowOff>
    </xdr:to>
    <xdr:pic>
      <xdr:nvPicPr>
        <xdr:cNvPr id="1091" name="Picture@5C\QPendientes@" descr="@5C\QPendientes@">
          <a:extLst>
            <a:ext uri="{FF2B5EF4-FFF2-40B4-BE49-F238E27FC236}">
              <a16:creationId xmlns:a16="http://schemas.microsoft.com/office/drawing/2014/main" id="{71CB9C4B-01F2-469C-95E1-0CE11E13B5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43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</xdr:row>
      <xdr:rowOff>0</xdr:rowOff>
    </xdr:from>
    <xdr:to>
      <xdr:col>0</xdr:col>
      <xdr:colOff>171450</xdr:colOff>
      <xdr:row>326</xdr:row>
      <xdr:rowOff>133350</xdr:rowOff>
    </xdr:to>
    <xdr:pic>
      <xdr:nvPicPr>
        <xdr:cNvPr id="1092" name="Picture@5C\QPendientes@" descr="@5C\QPendientes@">
          <a:extLst>
            <a:ext uri="{FF2B5EF4-FFF2-40B4-BE49-F238E27FC236}">
              <a16:creationId xmlns:a16="http://schemas.microsoft.com/office/drawing/2014/main" id="{C479A8AD-33C8-4867-B3C5-1929F3E972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61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</xdr:row>
      <xdr:rowOff>0</xdr:rowOff>
    </xdr:from>
    <xdr:to>
      <xdr:col>0</xdr:col>
      <xdr:colOff>171450</xdr:colOff>
      <xdr:row>327</xdr:row>
      <xdr:rowOff>133350</xdr:rowOff>
    </xdr:to>
    <xdr:pic>
      <xdr:nvPicPr>
        <xdr:cNvPr id="1093" name="Picture@5C\QPendientes@" descr="@5C\QPendientes@">
          <a:extLst>
            <a:ext uri="{FF2B5EF4-FFF2-40B4-BE49-F238E27FC236}">
              <a16:creationId xmlns:a16="http://schemas.microsoft.com/office/drawing/2014/main" id="{D127EEE0-EFDF-4E7A-B66A-69CAD44896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80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</xdr:row>
      <xdr:rowOff>0</xdr:rowOff>
    </xdr:from>
    <xdr:to>
      <xdr:col>0</xdr:col>
      <xdr:colOff>171450</xdr:colOff>
      <xdr:row>328</xdr:row>
      <xdr:rowOff>133350</xdr:rowOff>
    </xdr:to>
    <xdr:pic>
      <xdr:nvPicPr>
        <xdr:cNvPr id="1094" name="Picture@5C\QPendientes@" descr="@5C\QPendientes@">
          <a:extLst>
            <a:ext uri="{FF2B5EF4-FFF2-40B4-BE49-F238E27FC236}">
              <a16:creationId xmlns:a16="http://schemas.microsoft.com/office/drawing/2014/main" id="{023D6E36-A442-4446-AEDF-9ECD437960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98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</xdr:row>
      <xdr:rowOff>0</xdr:rowOff>
    </xdr:from>
    <xdr:to>
      <xdr:col>0</xdr:col>
      <xdr:colOff>171450</xdr:colOff>
      <xdr:row>329</xdr:row>
      <xdr:rowOff>133350</xdr:rowOff>
    </xdr:to>
    <xdr:pic>
      <xdr:nvPicPr>
        <xdr:cNvPr id="1095" name="Picture@5C\QPendientes@" descr="@5C\QPendientes@">
          <a:extLst>
            <a:ext uri="{FF2B5EF4-FFF2-40B4-BE49-F238E27FC236}">
              <a16:creationId xmlns:a16="http://schemas.microsoft.com/office/drawing/2014/main" id="{0B8B2237-B182-4DF1-A56B-E4A28715BA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16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</xdr:row>
      <xdr:rowOff>0</xdr:rowOff>
    </xdr:from>
    <xdr:to>
      <xdr:col>0</xdr:col>
      <xdr:colOff>171450</xdr:colOff>
      <xdr:row>330</xdr:row>
      <xdr:rowOff>133350</xdr:rowOff>
    </xdr:to>
    <xdr:pic>
      <xdr:nvPicPr>
        <xdr:cNvPr id="1096" name="Picture@5C\QPendientes@" descr="@5C\QPendientes@">
          <a:extLst>
            <a:ext uri="{FF2B5EF4-FFF2-40B4-BE49-F238E27FC236}">
              <a16:creationId xmlns:a16="http://schemas.microsoft.com/office/drawing/2014/main" id="{4D408831-D9D9-4EE9-AB2B-E224AB3A02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35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</xdr:row>
      <xdr:rowOff>0</xdr:rowOff>
    </xdr:from>
    <xdr:to>
      <xdr:col>0</xdr:col>
      <xdr:colOff>171450</xdr:colOff>
      <xdr:row>331</xdr:row>
      <xdr:rowOff>133350</xdr:rowOff>
    </xdr:to>
    <xdr:pic>
      <xdr:nvPicPr>
        <xdr:cNvPr id="1097" name="Picture@5C\QPendientes@" descr="@5C\QPendientes@">
          <a:extLst>
            <a:ext uri="{FF2B5EF4-FFF2-40B4-BE49-F238E27FC236}">
              <a16:creationId xmlns:a16="http://schemas.microsoft.com/office/drawing/2014/main" id="{E5D0D81D-728E-4E42-BF58-A0BBC1B15B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53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</xdr:row>
      <xdr:rowOff>0</xdr:rowOff>
    </xdr:from>
    <xdr:to>
      <xdr:col>0</xdr:col>
      <xdr:colOff>171450</xdr:colOff>
      <xdr:row>332</xdr:row>
      <xdr:rowOff>133350</xdr:rowOff>
    </xdr:to>
    <xdr:pic>
      <xdr:nvPicPr>
        <xdr:cNvPr id="1098" name="Picture@5C\QPendientes@" descr="@5C\QPendientes@">
          <a:extLst>
            <a:ext uri="{FF2B5EF4-FFF2-40B4-BE49-F238E27FC236}">
              <a16:creationId xmlns:a16="http://schemas.microsoft.com/office/drawing/2014/main" id="{0185EE0A-E44F-43EC-B067-3E7F1D54CD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71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</xdr:row>
      <xdr:rowOff>0</xdr:rowOff>
    </xdr:from>
    <xdr:to>
      <xdr:col>0</xdr:col>
      <xdr:colOff>171450</xdr:colOff>
      <xdr:row>333</xdr:row>
      <xdr:rowOff>133350</xdr:rowOff>
    </xdr:to>
    <xdr:pic>
      <xdr:nvPicPr>
        <xdr:cNvPr id="1099" name="Picture@5C\QPendientes@" descr="@5C\QPendientes@">
          <a:extLst>
            <a:ext uri="{FF2B5EF4-FFF2-40B4-BE49-F238E27FC236}">
              <a16:creationId xmlns:a16="http://schemas.microsoft.com/office/drawing/2014/main" id="{A384807E-B798-43C1-96C9-C665FDDE72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89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</xdr:row>
      <xdr:rowOff>0</xdr:rowOff>
    </xdr:from>
    <xdr:to>
      <xdr:col>0</xdr:col>
      <xdr:colOff>171450</xdr:colOff>
      <xdr:row>334</xdr:row>
      <xdr:rowOff>133350</xdr:rowOff>
    </xdr:to>
    <xdr:pic>
      <xdr:nvPicPr>
        <xdr:cNvPr id="1100" name="Picture@5C\QPendientes@" descr="@5C\QPendientes@">
          <a:extLst>
            <a:ext uri="{FF2B5EF4-FFF2-40B4-BE49-F238E27FC236}">
              <a16:creationId xmlns:a16="http://schemas.microsoft.com/office/drawing/2014/main" id="{08AD7D9B-562B-4F11-9500-1F7C7E0E09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08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</xdr:row>
      <xdr:rowOff>0</xdr:rowOff>
    </xdr:from>
    <xdr:to>
      <xdr:col>0</xdr:col>
      <xdr:colOff>171450</xdr:colOff>
      <xdr:row>335</xdr:row>
      <xdr:rowOff>133350</xdr:rowOff>
    </xdr:to>
    <xdr:pic>
      <xdr:nvPicPr>
        <xdr:cNvPr id="1101" name="Picture@5C\QPendientes@" descr="@5C\QPendientes@">
          <a:extLst>
            <a:ext uri="{FF2B5EF4-FFF2-40B4-BE49-F238E27FC236}">
              <a16:creationId xmlns:a16="http://schemas.microsoft.com/office/drawing/2014/main" id="{837C2E5A-1D82-4C35-B1F9-8E123C4ADA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26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</xdr:row>
      <xdr:rowOff>0</xdr:rowOff>
    </xdr:from>
    <xdr:to>
      <xdr:col>0</xdr:col>
      <xdr:colOff>171450</xdr:colOff>
      <xdr:row>336</xdr:row>
      <xdr:rowOff>133350</xdr:rowOff>
    </xdr:to>
    <xdr:pic>
      <xdr:nvPicPr>
        <xdr:cNvPr id="1102" name="Picture@5C\QPendientes@" descr="@5C\QPendientes@">
          <a:extLst>
            <a:ext uri="{FF2B5EF4-FFF2-40B4-BE49-F238E27FC236}">
              <a16:creationId xmlns:a16="http://schemas.microsoft.com/office/drawing/2014/main" id="{F24A400A-8AC3-4879-9107-C58DB6C268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44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</xdr:row>
      <xdr:rowOff>0</xdr:rowOff>
    </xdr:from>
    <xdr:to>
      <xdr:col>0</xdr:col>
      <xdr:colOff>171450</xdr:colOff>
      <xdr:row>337</xdr:row>
      <xdr:rowOff>133350</xdr:rowOff>
    </xdr:to>
    <xdr:pic>
      <xdr:nvPicPr>
        <xdr:cNvPr id="1103" name="Picture@5C\QPendientes@" descr="@5C\QPendientes@">
          <a:extLst>
            <a:ext uri="{FF2B5EF4-FFF2-40B4-BE49-F238E27FC236}">
              <a16:creationId xmlns:a16="http://schemas.microsoft.com/office/drawing/2014/main" id="{6FB79D42-622E-42DC-8AF6-92CFD99307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63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</xdr:row>
      <xdr:rowOff>0</xdr:rowOff>
    </xdr:from>
    <xdr:to>
      <xdr:col>0</xdr:col>
      <xdr:colOff>171450</xdr:colOff>
      <xdr:row>338</xdr:row>
      <xdr:rowOff>133350</xdr:rowOff>
    </xdr:to>
    <xdr:pic>
      <xdr:nvPicPr>
        <xdr:cNvPr id="1104" name="Picture@5C\QPendientes@" descr="@5C\QPendientes@">
          <a:extLst>
            <a:ext uri="{FF2B5EF4-FFF2-40B4-BE49-F238E27FC236}">
              <a16:creationId xmlns:a16="http://schemas.microsoft.com/office/drawing/2014/main" id="{7F861391-3072-46F4-976B-5C148B0D05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81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</xdr:row>
      <xdr:rowOff>0</xdr:rowOff>
    </xdr:from>
    <xdr:to>
      <xdr:col>0</xdr:col>
      <xdr:colOff>171450</xdr:colOff>
      <xdr:row>339</xdr:row>
      <xdr:rowOff>133350</xdr:rowOff>
    </xdr:to>
    <xdr:pic>
      <xdr:nvPicPr>
        <xdr:cNvPr id="1105" name="Picture@5C\QPendientes@" descr="@5C\QPendientes@">
          <a:extLst>
            <a:ext uri="{FF2B5EF4-FFF2-40B4-BE49-F238E27FC236}">
              <a16:creationId xmlns:a16="http://schemas.microsoft.com/office/drawing/2014/main" id="{A448A0E1-E3DE-4AA5-8251-BB3476917C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99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</xdr:row>
      <xdr:rowOff>0</xdr:rowOff>
    </xdr:from>
    <xdr:to>
      <xdr:col>0</xdr:col>
      <xdr:colOff>171450</xdr:colOff>
      <xdr:row>340</xdr:row>
      <xdr:rowOff>133350</xdr:rowOff>
    </xdr:to>
    <xdr:pic>
      <xdr:nvPicPr>
        <xdr:cNvPr id="1106" name="Picture@5C\QPendientes@" descr="@5C\QPendientes@">
          <a:extLst>
            <a:ext uri="{FF2B5EF4-FFF2-40B4-BE49-F238E27FC236}">
              <a16:creationId xmlns:a16="http://schemas.microsoft.com/office/drawing/2014/main" id="{45D80FD5-85D5-41EC-B4B3-BA7D2ACC50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17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</xdr:row>
      <xdr:rowOff>0</xdr:rowOff>
    </xdr:from>
    <xdr:to>
      <xdr:col>0</xdr:col>
      <xdr:colOff>171450</xdr:colOff>
      <xdr:row>341</xdr:row>
      <xdr:rowOff>133350</xdr:rowOff>
    </xdr:to>
    <xdr:pic>
      <xdr:nvPicPr>
        <xdr:cNvPr id="1107" name="Picture@5C\QPendientes@" descr="@5C\QPendientes@">
          <a:extLst>
            <a:ext uri="{FF2B5EF4-FFF2-40B4-BE49-F238E27FC236}">
              <a16:creationId xmlns:a16="http://schemas.microsoft.com/office/drawing/2014/main" id="{C7C2C3F8-5C7F-4C87-A641-1436311BE4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36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</xdr:row>
      <xdr:rowOff>0</xdr:rowOff>
    </xdr:from>
    <xdr:to>
      <xdr:col>0</xdr:col>
      <xdr:colOff>171450</xdr:colOff>
      <xdr:row>342</xdr:row>
      <xdr:rowOff>133350</xdr:rowOff>
    </xdr:to>
    <xdr:pic>
      <xdr:nvPicPr>
        <xdr:cNvPr id="1108" name="Picture@5C\QPendientes@" descr="@5C\QPendientes@">
          <a:extLst>
            <a:ext uri="{FF2B5EF4-FFF2-40B4-BE49-F238E27FC236}">
              <a16:creationId xmlns:a16="http://schemas.microsoft.com/office/drawing/2014/main" id="{4761E4B6-5C56-447D-9F13-53DFF82BA2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54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</xdr:row>
      <xdr:rowOff>0</xdr:rowOff>
    </xdr:from>
    <xdr:to>
      <xdr:col>0</xdr:col>
      <xdr:colOff>171450</xdr:colOff>
      <xdr:row>343</xdr:row>
      <xdr:rowOff>133350</xdr:rowOff>
    </xdr:to>
    <xdr:pic>
      <xdr:nvPicPr>
        <xdr:cNvPr id="1109" name="Picture@5C\QPendientes@" descr="@5C\QPendientes@">
          <a:extLst>
            <a:ext uri="{FF2B5EF4-FFF2-40B4-BE49-F238E27FC236}">
              <a16:creationId xmlns:a16="http://schemas.microsoft.com/office/drawing/2014/main" id="{89AFA34B-2342-4D6B-83DD-331D8D159B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72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</xdr:row>
      <xdr:rowOff>0</xdr:rowOff>
    </xdr:from>
    <xdr:to>
      <xdr:col>0</xdr:col>
      <xdr:colOff>171450</xdr:colOff>
      <xdr:row>344</xdr:row>
      <xdr:rowOff>133350</xdr:rowOff>
    </xdr:to>
    <xdr:pic>
      <xdr:nvPicPr>
        <xdr:cNvPr id="1110" name="Picture@5C\QPendientes@" descr="@5C\QPendientes@">
          <a:extLst>
            <a:ext uri="{FF2B5EF4-FFF2-40B4-BE49-F238E27FC236}">
              <a16:creationId xmlns:a16="http://schemas.microsoft.com/office/drawing/2014/main" id="{00C5F707-4D77-43DE-8ADF-8789ABF5C6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91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</xdr:row>
      <xdr:rowOff>0</xdr:rowOff>
    </xdr:from>
    <xdr:to>
      <xdr:col>0</xdr:col>
      <xdr:colOff>171450</xdr:colOff>
      <xdr:row>345</xdr:row>
      <xdr:rowOff>133350</xdr:rowOff>
    </xdr:to>
    <xdr:pic>
      <xdr:nvPicPr>
        <xdr:cNvPr id="1111" name="Picture@5C\QPendientes@" descr="@5C\QPendientes@">
          <a:extLst>
            <a:ext uri="{FF2B5EF4-FFF2-40B4-BE49-F238E27FC236}">
              <a16:creationId xmlns:a16="http://schemas.microsoft.com/office/drawing/2014/main" id="{0C3B0B50-6343-4F96-9ED1-49044B6C62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09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</xdr:row>
      <xdr:rowOff>0</xdr:rowOff>
    </xdr:from>
    <xdr:to>
      <xdr:col>0</xdr:col>
      <xdr:colOff>171450</xdr:colOff>
      <xdr:row>346</xdr:row>
      <xdr:rowOff>133350</xdr:rowOff>
    </xdr:to>
    <xdr:pic>
      <xdr:nvPicPr>
        <xdr:cNvPr id="1112" name="Picture@5C\QPendientes@" descr="@5C\QPendientes@">
          <a:extLst>
            <a:ext uri="{FF2B5EF4-FFF2-40B4-BE49-F238E27FC236}">
              <a16:creationId xmlns:a16="http://schemas.microsoft.com/office/drawing/2014/main" id="{E0B0EEAE-0519-4C54-B8B2-98B68EFA00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27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</xdr:row>
      <xdr:rowOff>0</xdr:rowOff>
    </xdr:from>
    <xdr:to>
      <xdr:col>0</xdr:col>
      <xdr:colOff>171450</xdr:colOff>
      <xdr:row>347</xdr:row>
      <xdr:rowOff>133350</xdr:rowOff>
    </xdr:to>
    <xdr:pic>
      <xdr:nvPicPr>
        <xdr:cNvPr id="1113" name="Picture@5C\QPendientes@" descr="@5C\QPendientes@">
          <a:extLst>
            <a:ext uri="{FF2B5EF4-FFF2-40B4-BE49-F238E27FC236}">
              <a16:creationId xmlns:a16="http://schemas.microsoft.com/office/drawing/2014/main" id="{0F3AAC3F-4B97-41F9-9A59-03C7B4C7E5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45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</xdr:row>
      <xdr:rowOff>0</xdr:rowOff>
    </xdr:from>
    <xdr:to>
      <xdr:col>0</xdr:col>
      <xdr:colOff>171450</xdr:colOff>
      <xdr:row>348</xdr:row>
      <xdr:rowOff>133350</xdr:rowOff>
    </xdr:to>
    <xdr:pic>
      <xdr:nvPicPr>
        <xdr:cNvPr id="1114" name="Picture@5C\QPendientes@" descr="@5C\QPendientes@">
          <a:extLst>
            <a:ext uri="{FF2B5EF4-FFF2-40B4-BE49-F238E27FC236}">
              <a16:creationId xmlns:a16="http://schemas.microsoft.com/office/drawing/2014/main" id="{2F12F387-8E48-4F69-B385-3B72B5812C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64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</xdr:row>
      <xdr:rowOff>0</xdr:rowOff>
    </xdr:from>
    <xdr:to>
      <xdr:col>0</xdr:col>
      <xdr:colOff>171450</xdr:colOff>
      <xdr:row>349</xdr:row>
      <xdr:rowOff>133350</xdr:rowOff>
    </xdr:to>
    <xdr:pic>
      <xdr:nvPicPr>
        <xdr:cNvPr id="1115" name="Picture@5C\QPendientes@" descr="@5C\QPendientes@">
          <a:extLst>
            <a:ext uri="{FF2B5EF4-FFF2-40B4-BE49-F238E27FC236}">
              <a16:creationId xmlns:a16="http://schemas.microsoft.com/office/drawing/2014/main" id="{2BFAF555-2065-41C3-ACB6-19FE4EEC64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82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</xdr:row>
      <xdr:rowOff>0</xdr:rowOff>
    </xdr:from>
    <xdr:to>
      <xdr:col>0</xdr:col>
      <xdr:colOff>171450</xdr:colOff>
      <xdr:row>350</xdr:row>
      <xdr:rowOff>133350</xdr:rowOff>
    </xdr:to>
    <xdr:pic>
      <xdr:nvPicPr>
        <xdr:cNvPr id="1116" name="Picture@5C\QPendientes@" descr="@5C\QPendientes@">
          <a:extLst>
            <a:ext uri="{FF2B5EF4-FFF2-40B4-BE49-F238E27FC236}">
              <a16:creationId xmlns:a16="http://schemas.microsoft.com/office/drawing/2014/main" id="{4A4283EA-DFA4-4DFA-A627-E5BE0BF130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00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</xdr:row>
      <xdr:rowOff>0</xdr:rowOff>
    </xdr:from>
    <xdr:to>
      <xdr:col>0</xdr:col>
      <xdr:colOff>171450</xdr:colOff>
      <xdr:row>351</xdr:row>
      <xdr:rowOff>133350</xdr:rowOff>
    </xdr:to>
    <xdr:pic>
      <xdr:nvPicPr>
        <xdr:cNvPr id="1117" name="Picture@5C\QPendientes@" descr="@5C\QPendientes@">
          <a:extLst>
            <a:ext uri="{FF2B5EF4-FFF2-40B4-BE49-F238E27FC236}">
              <a16:creationId xmlns:a16="http://schemas.microsoft.com/office/drawing/2014/main" id="{B799020B-D45B-4313-8B4F-782D77FCF5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19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</xdr:row>
      <xdr:rowOff>0</xdr:rowOff>
    </xdr:from>
    <xdr:to>
      <xdr:col>0</xdr:col>
      <xdr:colOff>171450</xdr:colOff>
      <xdr:row>352</xdr:row>
      <xdr:rowOff>133350</xdr:rowOff>
    </xdr:to>
    <xdr:pic>
      <xdr:nvPicPr>
        <xdr:cNvPr id="1118" name="Picture@5C\QPendientes@" descr="@5C\QPendientes@">
          <a:extLst>
            <a:ext uri="{FF2B5EF4-FFF2-40B4-BE49-F238E27FC236}">
              <a16:creationId xmlns:a16="http://schemas.microsoft.com/office/drawing/2014/main" id="{ACD24492-10DB-45BC-B0B2-7259B64FF9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37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</xdr:row>
      <xdr:rowOff>0</xdr:rowOff>
    </xdr:from>
    <xdr:to>
      <xdr:col>0</xdr:col>
      <xdr:colOff>171450</xdr:colOff>
      <xdr:row>353</xdr:row>
      <xdr:rowOff>133350</xdr:rowOff>
    </xdr:to>
    <xdr:pic>
      <xdr:nvPicPr>
        <xdr:cNvPr id="1119" name="Picture@5C\QPendientes@" descr="@5C\QPendientes@">
          <a:extLst>
            <a:ext uri="{FF2B5EF4-FFF2-40B4-BE49-F238E27FC236}">
              <a16:creationId xmlns:a16="http://schemas.microsoft.com/office/drawing/2014/main" id="{70791E89-13C5-46A3-AFB9-A3F39D3DB2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55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</xdr:row>
      <xdr:rowOff>0</xdr:rowOff>
    </xdr:from>
    <xdr:to>
      <xdr:col>0</xdr:col>
      <xdr:colOff>171450</xdr:colOff>
      <xdr:row>354</xdr:row>
      <xdr:rowOff>133350</xdr:rowOff>
    </xdr:to>
    <xdr:pic>
      <xdr:nvPicPr>
        <xdr:cNvPr id="1120" name="Picture@5C\QPendientes@" descr="@5C\QPendientes@">
          <a:extLst>
            <a:ext uri="{FF2B5EF4-FFF2-40B4-BE49-F238E27FC236}">
              <a16:creationId xmlns:a16="http://schemas.microsoft.com/office/drawing/2014/main" id="{57E9D9A6-3BCD-44E2-989D-73789CEBD6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73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</xdr:row>
      <xdr:rowOff>0</xdr:rowOff>
    </xdr:from>
    <xdr:to>
      <xdr:col>0</xdr:col>
      <xdr:colOff>171450</xdr:colOff>
      <xdr:row>355</xdr:row>
      <xdr:rowOff>133350</xdr:rowOff>
    </xdr:to>
    <xdr:pic>
      <xdr:nvPicPr>
        <xdr:cNvPr id="1121" name="Picture@5C\QPendientes@" descr="@5C\QPendientes@">
          <a:extLst>
            <a:ext uri="{FF2B5EF4-FFF2-40B4-BE49-F238E27FC236}">
              <a16:creationId xmlns:a16="http://schemas.microsoft.com/office/drawing/2014/main" id="{4797D1D8-AB54-4182-AE52-54C27F2B29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92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</xdr:row>
      <xdr:rowOff>0</xdr:rowOff>
    </xdr:from>
    <xdr:to>
      <xdr:col>0</xdr:col>
      <xdr:colOff>171450</xdr:colOff>
      <xdr:row>356</xdr:row>
      <xdr:rowOff>133350</xdr:rowOff>
    </xdr:to>
    <xdr:pic>
      <xdr:nvPicPr>
        <xdr:cNvPr id="1122" name="Picture@5C\QPendientes@" descr="@5C\QPendientes@">
          <a:extLst>
            <a:ext uri="{FF2B5EF4-FFF2-40B4-BE49-F238E27FC236}">
              <a16:creationId xmlns:a16="http://schemas.microsoft.com/office/drawing/2014/main" id="{05B9770F-C588-4E4F-A844-05BA280C4B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10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</xdr:row>
      <xdr:rowOff>0</xdr:rowOff>
    </xdr:from>
    <xdr:to>
      <xdr:col>0</xdr:col>
      <xdr:colOff>171450</xdr:colOff>
      <xdr:row>357</xdr:row>
      <xdr:rowOff>133350</xdr:rowOff>
    </xdr:to>
    <xdr:pic>
      <xdr:nvPicPr>
        <xdr:cNvPr id="1123" name="Picture@5C\QPendientes@" descr="@5C\QPendientes@">
          <a:extLst>
            <a:ext uri="{FF2B5EF4-FFF2-40B4-BE49-F238E27FC236}">
              <a16:creationId xmlns:a16="http://schemas.microsoft.com/office/drawing/2014/main" id="{4F6FA6A2-EB32-4FDF-AFB0-090880B888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28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</xdr:row>
      <xdr:rowOff>0</xdr:rowOff>
    </xdr:from>
    <xdr:to>
      <xdr:col>0</xdr:col>
      <xdr:colOff>171450</xdr:colOff>
      <xdr:row>358</xdr:row>
      <xdr:rowOff>133350</xdr:rowOff>
    </xdr:to>
    <xdr:pic>
      <xdr:nvPicPr>
        <xdr:cNvPr id="1124" name="Picture@5C\QPendientes@" descr="@5C\QPendientes@">
          <a:extLst>
            <a:ext uri="{FF2B5EF4-FFF2-40B4-BE49-F238E27FC236}">
              <a16:creationId xmlns:a16="http://schemas.microsoft.com/office/drawing/2014/main" id="{6A6BFC27-39A8-458A-A17C-C8B710CCCE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47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</xdr:row>
      <xdr:rowOff>0</xdr:rowOff>
    </xdr:from>
    <xdr:to>
      <xdr:col>0</xdr:col>
      <xdr:colOff>171450</xdr:colOff>
      <xdr:row>359</xdr:row>
      <xdr:rowOff>133350</xdr:rowOff>
    </xdr:to>
    <xdr:pic>
      <xdr:nvPicPr>
        <xdr:cNvPr id="1125" name="Picture@5C\QPendientes@" descr="@5C\QPendientes@">
          <a:extLst>
            <a:ext uri="{FF2B5EF4-FFF2-40B4-BE49-F238E27FC236}">
              <a16:creationId xmlns:a16="http://schemas.microsoft.com/office/drawing/2014/main" id="{4A269444-969C-4DE9-8952-CA82DB155F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65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</xdr:row>
      <xdr:rowOff>0</xdr:rowOff>
    </xdr:from>
    <xdr:to>
      <xdr:col>0</xdr:col>
      <xdr:colOff>171450</xdr:colOff>
      <xdr:row>360</xdr:row>
      <xdr:rowOff>133350</xdr:rowOff>
    </xdr:to>
    <xdr:pic>
      <xdr:nvPicPr>
        <xdr:cNvPr id="1126" name="Picture@5C\QPendientes@" descr="@5C\QPendientes@">
          <a:extLst>
            <a:ext uri="{FF2B5EF4-FFF2-40B4-BE49-F238E27FC236}">
              <a16:creationId xmlns:a16="http://schemas.microsoft.com/office/drawing/2014/main" id="{C2B4BAEE-183D-4E7A-98C2-F59A0E2D3A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83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</xdr:row>
      <xdr:rowOff>0</xdr:rowOff>
    </xdr:from>
    <xdr:to>
      <xdr:col>0</xdr:col>
      <xdr:colOff>171450</xdr:colOff>
      <xdr:row>361</xdr:row>
      <xdr:rowOff>133350</xdr:rowOff>
    </xdr:to>
    <xdr:pic>
      <xdr:nvPicPr>
        <xdr:cNvPr id="1127" name="Picture@5C\QPendientes@" descr="@5C\QPendientes@">
          <a:extLst>
            <a:ext uri="{FF2B5EF4-FFF2-40B4-BE49-F238E27FC236}">
              <a16:creationId xmlns:a16="http://schemas.microsoft.com/office/drawing/2014/main" id="{D5C55A55-082D-4660-9C67-4527369E82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01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</xdr:row>
      <xdr:rowOff>0</xdr:rowOff>
    </xdr:from>
    <xdr:to>
      <xdr:col>0</xdr:col>
      <xdr:colOff>171450</xdr:colOff>
      <xdr:row>362</xdr:row>
      <xdr:rowOff>133350</xdr:rowOff>
    </xdr:to>
    <xdr:pic>
      <xdr:nvPicPr>
        <xdr:cNvPr id="1128" name="Picture@5C\QPendientes@" descr="@5C\QPendientes@">
          <a:extLst>
            <a:ext uri="{FF2B5EF4-FFF2-40B4-BE49-F238E27FC236}">
              <a16:creationId xmlns:a16="http://schemas.microsoft.com/office/drawing/2014/main" id="{DA18E971-DDEC-49AA-80E1-2C670221CF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20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</xdr:row>
      <xdr:rowOff>0</xdr:rowOff>
    </xdr:from>
    <xdr:to>
      <xdr:col>0</xdr:col>
      <xdr:colOff>171450</xdr:colOff>
      <xdr:row>363</xdr:row>
      <xdr:rowOff>133350</xdr:rowOff>
    </xdr:to>
    <xdr:pic>
      <xdr:nvPicPr>
        <xdr:cNvPr id="1129" name="Picture@5C\QPendientes@" descr="@5C\QPendientes@">
          <a:extLst>
            <a:ext uri="{FF2B5EF4-FFF2-40B4-BE49-F238E27FC236}">
              <a16:creationId xmlns:a16="http://schemas.microsoft.com/office/drawing/2014/main" id="{F68BB737-DD88-4A6D-AB89-DED222BA89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38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</xdr:row>
      <xdr:rowOff>0</xdr:rowOff>
    </xdr:from>
    <xdr:to>
      <xdr:col>0</xdr:col>
      <xdr:colOff>171450</xdr:colOff>
      <xdr:row>364</xdr:row>
      <xdr:rowOff>133350</xdr:rowOff>
    </xdr:to>
    <xdr:pic>
      <xdr:nvPicPr>
        <xdr:cNvPr id="1130" name="Picture@5C\QPendientes@" descr="@5C\QPendientes@">
          <a:extLst>
            <a:ext uri="{FF2B5EF4-FFF2-40B4-BE49-F238E27FC236}">
              <a16:creationId xmlns:a16="http://schemas.microsoft.com/office/drawing/2014/main" id="{5AB71FAF-461A-40B5-A6AB-8E2C864CA2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56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</xdr:row>
      <xdr:rowOff>0</xdr:rowOff>
    </xdr:from>
    <xdr:to>
      <xdr:col>0</xdr:col>
      <xdr:colOff>171450</xdr:colOff>
      <xdr:row>365</xdr:row>
      <xdr:rowOff>133350</xdr:rowOff>
    </xdr:to>
    <xdr:pic>
      <xdr:nvPicPr>
        <xdr:cNvPr id="1131" name="Picture@5C\QPendientes@" descr="@5C\QPendientes@">
          <a:extLst>
            <a:ext uri="{FF2B5EF4-FFF2-40B4-BE49-F238E27FC236}">
              <a16:creationId xmlns:a16="http://schemas.microsoft.com/office/drawing/2014/main" id="{D115CA5D-89D5-4BFC-92D5-CD2E78C4FD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75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</xdr:row>
      <xdr:rowOff>0</xdr:rowOff>
    </xdr:from>
    <xdr:to>
      <xdr:col>0</xdr:col>
      <xdr:colOff>171450</xdr:colOff>
      <xdr:row>366</xdr:row>
      <xdr:rowOff>133350</xdr:rowOff>
    </xdr:to>
    <xdr:pic>
      <xdr:nvPicPr>
        <xdr:cNvPr id="1132" name="Picture@5C\QPendientes@" descr="@5C\QPendientes@">
          <a:extLst>
            <a:ext uri="{FF2B5EF4-FFF2-40B4-BE49-F238E27FC236}">
              <a16:creationId xmlns:a16="http://schemas.microsoft.com/office/drawing/2014/main" id="{A9000B69-0868-4278-9E31-32CFB9A965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93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</xdr:row>
      <xdr:rowOff>0</xdr:rowOff>
    </xdr:from>
    <xdr:to>
      <xdr:col>0</xdr:col>
      <xdr:colOff>171450</xdr:colOff>
      <xdr:row>367</xdr:row>
      <xdr:rowOff>133350</xdr:rowOff>
    </xdr:to>
    <xdr:pic>
      <xdr:nvPicPr>
        <xdr:cNvPr id="1133" name="Picture@5C\QPendientes@" descr="@5C\QPendientes@">
          <a:extLst>
            <a:ext uri="{FF2B5EF4-FFF2-40B4-BE49-F238E27FC236}">
              <a16:creationId xmlns:a16="http://schemas.microsoft.com/office/drawing/2014/main" id="{3C497827-47FC-4B57-8CA0-2E33E17341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11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</xdr:row>
      <xdr:rowOff>0</xdr:rowOff>
    </xdr:from>
    <xdr:to>
      <xdr:col>0</xdr:col>
      <xdr:colOff>171450</xdr:colOff>
      <xdr:row>368</xdr:row>
      <xdr:rowOff>133350</xdr:rowOff>
    </xdr:to>
    <xdr:pic>
      <xdr:nvPicPr>
        <xdr:cNvPr id="1134" name="Picture@5C\QPendientes@" descr="@5C\QPendientes@">
          <a:extLst>
            <a:ext uri="{FF2B5EF4-FFF2-40B4-BE49-F238E27FC236}">
              <a16:creationId xmlns:a16="http://schemas.microsoft.com/office/drawing/2014/main" id="{EB7B8D4E-7897-4DD9-81F1-C3F69BE6F9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29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</xdr:row>
      <xdr:rowOff>0</xdr:rowOff>
    </xdr:from>
    <xdr:to>
      <xdr:col>0</xdr:col>
      <xdr:colOff>171450</xdr:colOff>
      <xdr:row>369</xdr:row>
      <xdr:rowOff>133350</xdr:rowOff>
    </xdr:to>
    <xdr:pic>
      <xdr:nvPicPr>
        <xdr:cNvPr id="1135" name="Picture@5C\QPendientes@" descr="@5C\QPendientes@">
          <a:extLst>
            <a:ext uri="{FF2B5EF4-FFF2-40B4-BE49-F238E27FC236}">
              <a16:creationId xmlns:a16="http://schemas.microsoft.com/office/drawing/2014/main" id="{63745E2D-B3B3-45D6-A2AC-EF3C219591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48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</xdr:row>
      <xdr:rowOff>0</xdr:rowOff>
    </xdr:from>
    <xdr:to>
      <xdr:col>0</xdr:col>
      <xdr:colOff>171450</xdr:colOff>
      <xdr:row>370</xdr:row>
      <xdr:rowOff>133350</xdr:rowOff>
    </xdr:to>
    <xdr:pic>
      <xdr:nvPicPr>
        <xdr:cNvPr id="1136" name="Picture@5C\QPendientes@" descr="@5C\QPendientes@">
          <a:extLst>
            <a:ext uri="{FF2B5EF4-FFF2-40B4-BE49-F238E27FC236}">
              <a16:creationId xmlns:a16="http://schemas.microsoft.com/office/drawing/2014/main" id="{84B81AE7-4874-4050-8362-C320B67E05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66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</xdr:row>
      <xdr:rowOff>0</xdr:rowOff>
    </xdr:from>
    <xdr:to>
      <xdr:col>0</xdr:col>
      <xdr:colOff>171450</xdr:colOff>
      <xdr:row>371</xdr:row>
      <xdr:rowOff>133350</xdr:rowOff>
    </xdr:to>
    <xdr:pic>
      <xdr:nvPicPr>
        <xdr:cNvPr id="1137" name="Picture@5C\QPendientes@" descr="@5C\QPendientes@">
          <a:extLst>
            <a:ext uri="{FF2B5EF4-FFF2-40B4-BE49-F238E27FC236}">
              <a16:creationId xmlns:a16="http://schemas.microsoft.com/office/drawing/2014/main" id="{281E1629-1655-4731-AF39-2854D6A2B7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84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</xdr:row>
      <xdr:rowOff>0</xdr:rowOff>
    </xdr:from>
    <xdr:to>
      <xdr:col>0</xdr:col>
      <xdr:colOff>171450</xdr:colOff>
      <xdr:row>372</xdr:row>
      <xdr:rowOff>133350</xdr:rowOff>
    </xdr:to>
    <xdr:pic>
      <xdr:nvPicPr>
        <xdr:cNvPr id="1138" name="Picture@5C\QPendientes@" descr="@5C\QPendientes@">
          <a:extLst>
            <a:ext uri="{FF2B5EF4-FFF2-40B4-BE49-F238E27FC236}">
              <a16:creationId xmlns:a16="http://schemas.microsoft.com/office/drawing/2014/main" id="{1EEB8082-E4FD-4255-9C3C-899040A42E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03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</xdr:row>
      <xdr:rowOff>0</xdr:rowOff>
    </xdr:from>
    <xdr:to>
      <xdr:col>0</xdr:col>
      <xdr:colOff>171450</xdr:colOff>
      <xdr:row>373</xdr:row>
      <xdr:rowOff>133350</xdr:rowOff>
    </xdr:to>
    <xdr:pic>
      <xdr:nvPicPr>
        <xdr:cNvPr id="1139" name="Picture@5C\QPendientes@" descr="@5C\QPendientes@">
          <a:extLst>
            <a:ext uri="{FF2B5EF4-FFF2-40B4-BE49-F238E27FC236}">
              <a16:creationId xmlns:a16="http://schemas.microsoft.com/office/drawing/2014/main" id="{54D2BE75-33E8-4FFF-A0E8-78AEBFBC50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21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</xdr:row>
      <xdr:rowOff>0</xdr:rowOff>
    </xdr:from>
    <xdr:to>
      <xdr:col>0</xdr:col>
      <xdr:colOff>171450</xdr:colOff>
      <xdr:row>374</xdr:row>
      <xdr:rowOff>133350</xdr:rowOff>
    </xdr:to>
    <xdr:pic>
      <xdr:nvPicPr>
        <xdr:cNvPr id="1140" name="Picture@5C\QPendientes@" descr="@5C\QPendientes@">
          <a:extLst>
            <a:ext uri="{FF2B5EF4-FFF2-40B4-BE49-F238E27FC236}">
              <a16:creationId xmlns:a16="http://schemas.microsoft.com/office/drawing/2014/main" id="{A7C48337-7B08-404C-9F89-FBABA3C5F5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39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</xdr:row>
      <xdr:rowOff>0</xdr:rowOff>
    </xdr:from>
    <xdr:to>
      <xdr:col>0</xdr:col>
      <xdr:colOff>171450</xdr:colOff>
      <xdr:row>375</xdr:row>
      <xdr:rowOff>133350</xdr:rowOff>
    </xdr:to>
    <xdr:pic>
      <xdr:nvPicPr>
        <xdr:cNvPr id="1141" name="Picture@5C\QPendientes@" descr="@5C\QPendientes@">
          <a:extLst>
            <a:ext uri="{FF2B5EF4-FFF2-40B4-BE49-F238E27FC236}">
              <a16:creationId xmlns:a16="http://schemas.microsoft.com/office/drawing/2014/main" id="{788023CF-AD8F-4A52-9E94-A5A37F56BD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58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</xdr:row>
      <xdr:rowOff>0</xdr:rowOff>
    </xdr:from>
    <xdr:to>
      <xdr:col>0</xdr:col>
      <xdr:colOff>171450</xdr:colOff>
      <xdr:row>376</xdr:row>
      <xdr:rowOff>133350</xdr:rowOff>
    </xdr:to>
    <xdr:pic>
      <xdr:nvPicPr>
        <xdr:cNvPr id="1142" name="Picture@5C\QPendientes@" descr="@5C\QPendientes@">
          <a:extLst>
            <a:ext uri="{FF2B5EF4-FFF2-40B4-BE49-F238E27FC236}">
              <a16:creationId xmlns:a16="http://schemas.microsoft.com/office/drawing/2014/main" id="{DA0BFC61-549B-42A6-8B18-D8F7D6A6CC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76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</xdr:row>
      <xdr:rowOff>0</xdr:rowOff>
    </xdr:from>
    <xdr:to>
      <xdr:col>0</xdr:col>
      <xdr:colOff>171450</xdr:colOff>
      <xdr:row>377</xdr:row>
      <xdr:rowOff>133350</xdr:rowOff>
    </xdr:to>
    <xdr:pic>
      <xdr:nvPicPr>
        <xdr:cNvPr id="1143" name="Picture@5C\QPendientes@" descr="@5C\QPendientes@">
          <a:extLst>
            <a:ext uri="{FF2B5EF4-FFF2-40B4-BE49-F238E27FC236}">
              <a16:creationId xmlns:a16="http://schemas.microsoft.com/office/drawing/2014/main" id="{13603012-9CAA-4AFC-90FE-FDA6BEFE47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94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</xdr:row>
      <xdr:rowOff>0</xdr:rowOff>
    </xdr:from>
    <xdr:to>
      <xdr:col>0</xdr:col>
      <xdr:colOff>171450</xdr:colOff>
      <xdr:row>378</xdr:row>
      <xdr:rowOff>133350</xdr:rowOff>
    </xdr:to>
    <xdr:pic>
      <xdr:nvPicPr>
        <xdr:cNvPr id="1144" name="Picture@5C\QPendientes@" descr="@5C\QPendientes@">
          <a:extLst>
            <a:ext uri="{FF2B5EF4-FFF2-40B4-BE49-F238E27FC236}">
              <a16:creationId xmlns:a16="http://schemas.microsoft.com/office/drawing/2014/main" id="{FBCC9F88-2DE4-417F-9850-B1C09A3C0E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12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</xdr:row>
      <xdr:rowOff>0</xdr:rowOff>
    </xdr:from>
    <xdr:to>
      <xdr:col>0</xdr:col>
      <xdr:colOff>171450</xdr:colOff>
      <xdr:row>379</xdr:row>
      <xdr:rowOff>133350</xdr:rowOff>
    </xdr:to>
    <xdr:pic>
      <xdr:nvPicPr>
        <xdr:cNvPr id="1145" name="Picture@5C\QPendientes@" descr="@5C\QPendientes@">
          <a:extLst>
            <a:ext uri="{FF2B5EF4-FFF2-40B4-BE49-F238E27FC236}">
              <a16:creationId xmlns:a16="http://schemas.microsoft.com/office/drawing/2014/main" id="{B3354DAA-086D-4A27-A5F8-317CF08AD7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31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</xdr:row>
      <xdr:rowOff>0</xdr:rowOff>
    </xdr:from>
    <xdr:to>
      <xdr:col>0</xdr:col>
      <xdr:colOff>171450</xdr:colOff>
      <xdr:row>380</xdr:row>
      <xdr:rowOff>133350</xdr:rowOff>
    </xdr:to>
    <xdr:pic>
      <xdr:nvPicPr>
        <xdr:cNvPr id="1146" name="Picture@5C\QPendientes@" descr="@5C\QPendientes@">
          <a:extLst>
            <a:ext uri="{FF2B5EF4-FFF2-40B4-BE49-F238E27FC236}">
              <a16:creationId xmlns:a16="http://schemas.microsoft.com/office/drawing/2014/main" id="{2D8C56C1-42D0-44CB-9A46-003D317C41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49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</xdr:row>
      <xdr:rowOff>0</xdr:rowOff>
    </xdr:from>
    <xdr:to>
      <xdr:col>0</xdr:col>
      <xdr:colOff>171450</xdr:colOff>
      <xdr:row>381</xdr:row>
      <xdr:rowOff>133350</xdr:rowOff>
    </xdr:to>
    <xdr:pic>
      <xdr:nvPicPr>
        <xdr:cNvPr id="1147" name="Picture@5C\QPendientes@" descr="@5C\QPendientes@">
          <a:extLst>
            <a:ext uri="{FF2B5EF4-FFF2-40B4-BE49-F238E27FC236}">
              <a16:creationId xmlns:a16="http://schemas.microsoft.com/office/drawing/2014/main" id="{DCBB1D7D-A76A-478A-A169-302968403B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67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</xdr:row>
      <xdr:rowOff>0</xdr:rowOff>
    </xdr:from>
    <xdr:to>
      <xdr:col>0</xdr:col>
      <xdr:colOff>171450</xdr:colOff>
      <xdr:row>382</xdr:row>
      <xdr:rowOff>133350</xdr:rowOff>
    </xdr:to>
    <xdr:pic>
      <xdr:nvPicPr>
        <xdr:cNvPr id="1148" name="Picture@5C\QPendientes@" descr="@5C\QPendientes@">
          <a:extLst>
            <a:ext uri="{FF2B5EF4-FFF2-40B4-BE49-F238E27FC236}">
              <a16:creationId xmlns:a16="http://schemas.microsoft.com/office/drawing/2014/main" id="{285C2D9A-B2F5-455D-A69B-A342F6A85B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86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</xdr:row>
      <xdr:rowOff>0</xdr:rowOff>
    </xdr:from>
    <xdr:to>
      <xdr:col>0</xdr:col>
      <xdr:colOff>171450</xdr:colOff>
      <xdr:row>383</xdr:row>
      <xdr:rowOff>133350</xdr:rowOff>
    </xdr:to>
    <xdr:pic>
      <xdr:nvPicPr>
        <xdr:cNvPr id="1149" name="Picture@5C\QPendientes@" descr="@5C\QPendientes@">
          <a:extLst>
            <a:ext uri="{FF2B5EF4-FFF2-40B4-BE49-F238E27FC236}">
              <a16:creationId xmlns:a16="http://schemas.microsoft.com/office/drawing/2014/main" id="{80FC8975-892D-406D-9345-28C580D492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04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</xdr:row>
      <xdr:rowOff>0</xdr:rowOff>
    </xdr:from>
    <xdr:to>
      <xdr:col>0</xdr:col>
      <xdr:colOff>171450</xdr:colOff>
      <xdr:row>384</xdr:row>
      <xdr:rowOff>133350</xdr:rowOff>
    </xdr:to>
    <xdr:pic>
      <xdr:nvPicPr>
        <xdr:cNvPr id="1150" name="Picture@5C\QPendientes@" descr="@5C\QPendientes@">
          <a:extLst>
            <a:ext uri="{FF2B5EF4-FFF2-40B4-BE49-F238E27FC236}">
              <a16:creationId xmlns:a16="http://schemas.microsoft.com/office/drawing/2014/main" id="{4123AC92-564A-490E-AC9D-A7D81F16C5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22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</xdr:row>
      <xdr:rowOff>0</xdr:rowOff>
    </xdr:from>
    <xdr:to>
      <xdr:col>0</xdr:col>
      <xdr:colOff>171450</xdr:colOff>
      <xdr:row>385</xdr:row>
      <xdr:rowOff>133350</xdr:rowOff>
    </xdr:to>
    <xdr:pic>
      <xdr:nvPicPr>
        <xdr:cNvPr id="1151" name="Picture@5C\QPendientes@" descr="@5C\QPendientes@">
          <a:extLst>
            <a:ext uri="{FF2B5EF4-FFF2-40B4-BE49-F238E27FC236}">
              <a16:creationId xmlns:a16="http://schemas.microsoft.com/office/drawing/2014/main" id="{F5FDDEC4-D207-40D4-A654-4435C103B9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40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</xdr:row>
      <xdr:rowOff>0</xdr:rowOff>
    </xdr:from>
    <xdr:to>
      <xdr:col>0</xdr:col>
      <xdr:colOff>171450</xdr:colOff>
      <xdr:row>386</xdr:row>
      <xdr:rowOff>133350</xdr:rowOff>
    </xdr:to>
    <xdr:pic>
      <xdr:nvPicPr>
        <xdr:cNvPr id="1152" name="Picture@5C\QPendientes@" descr="@5C\QPendientes@">
          <a:extLst>
            <a:ext uri="{FF2B5EF4-FFF2-40B4-BE49-F238E27FC236}">
              <a16:creationId xmlns:a16="http://schemas.microsoft.com/office/drawing/2014/main" id="{AF3A2102-75CB-4C25-8633-7965A817D8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59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</xdr:row>
      <xdr:rowOff>0</xdr:rowOff>
    </xdr:from>
    <xdr:to>
      <xdr:col>0</xdr:col>
      <xdr:colOff>171450</xdr:colOff>
      <xdr:row>387</xdr:row>
      <xdr:rowOff>133350</xdr:rowOff>
    </xdr:to>
    <xdr:pic>
      <xdr:nvPicPr>
        <xdr:cNvPr id="1153" name="Picture@5C\QPendientes@" descr="@5C\QPendientes@">
          <a:extLst>
            <a:ext uri="{FF2B5EF4-FFF2-40B4-BE49-F238E27FC236}">
              <a16:creationId xmlns:a16="http://schemas.microsoft.com/office/drawing/2014/main" id="{C00E2185-5B3F-49AA-87F5-50695E5ED6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77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</xdr:row>
      <xdr:rowOff>0</xdr:rowOff>
    </xdr:from>
    <xdr:to>
      <xdr:col>0</xdr:col>
      <xdr:colOff>171450</xdr:colOff>
      <xdr:row>388</xdr:row>
      <xdr:rowOff>133350</xdr:rowOff>
    </xdr:to>
    <xdr:pic>
      <xdr:nvPicPr>
        <xdr:cNvPr id="1154" name="Picture@5C\QPendientes@" descr="@5C\QPendientes@">
          <a:extLst>
            <a:ext uri="{FF2B5EF4-FFF2-40B4-BE49-F238E27FC236}">
              <a16:creationId xmlns:a16="http://schemas.microsoft.com/office/drawing/2014/main" id="{979D1C8F-946D-4949-BB69-3F0742FACA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95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</xdr:row>
      <xdr:rowOff>0</xdr:rowOff>
    </xdr:from>
    <xdr:to>
      <xdr:col>0</xdr:col>
      <xdr:colOff>171450</xdr:colOff>
      <xdr:row>389</xdr:row>
      <xdr:rowOff>133350</xdr:rowOff>
    </xdr:to>
    <xdr:pic>
      <xdr:nvPicPr>
        <xdr:cNvPr id="1155" name="Picture@5C\QPendientes@" descr="@5C\QPendientes@">
          <a:extLst>
            <a:ext uri="{FF2B5EF4-FFF2-40B4-BE49-F238E27FC236}">
              <a16:creationId xmlns:a16="http://schemas.microsoft.com/office/drawing/2014/main" id="{461F0C31-405E-4F99-B05A-7B14E252AE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14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</xdr:row>
      <xdr:rowOff>0</xdr:rowOff>
    </xdr:from>
    <xdr:to>
      <xdr:col>0</xdr:col>
      <xdr:colOff>171450</xdr:colOff>
      <xdr:row>390</xdr:row>
      <xdr:rowOff>133350</xdr:rowOff>
    </xdr:to>
    <xdr:pic>
      <xdr:nvPicPr>
        <xdr:cNvPr id="1156" name="Picture@5C\QPendientes@" descr="@5C\QPendientes@">
          <a:extLst>
            <a:ext uri="{FF2B5EF4-FFF2-40B4-BE49-F238E27FC236}">
              <a16:creationId xmlns:a16="http://schemas.microsoft.com/office/drawing/2014/main" id="{9F531B7A-CC85-4B9F-AD30-1B971EC20B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32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</xdr:row>
      <xdr:rowOff>0</xdr:rowOff>
    </xdr:from>
    <xdr:to>
      <xdr:col>0</xdr:col>
      <xdr:colOff>171450</xdr:colOff>
      <xdr:row>391</xdr:row>
      <xdr:rowOff>133350</xdr:rowOff>
    </xdr:to>
    <xdr:pic>
      <xdr:nvPicPr>
        <xdr:cNvPr id="1157" name="Picture@5C\QPendientes@" descr="@5C\QPendientes@">
          <a:extLst>
            <a:ext uri="{FF2B5EF4-FFF2-40B4-BE49-F238E27FC236}">
              <a16:creationId xmlns:a16="http://schemas.microsoft.com/office/drawing/2014/main" id="{87FDF781-2432-4184-A131-15CA55D307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50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</xdr:row>
      <xdr:rowOff>0</xdr:rowOff>
    </xdr:from>
    <xdr:to>
      <xdr:col>0</xdr:col>
      <xdr:colOff>171450</xdr:colOff>
      <xdr:row>392</xdr:row>
      <xdr:rowOff>133350</xdr:rowOff>
    </xdr:to>
    <xdr:pic>
      <xdr:nvPicPr>
        <xdr:cNvPr id="1158" name="Picture@5C\QPendientes@" descr="@5C\QPendientes@">
          <a:extLst>
            <a:ext uri="{FF2B5EF4-FFF2-40B4-BE49-F238E27FC236}">
              <a16:creationId xmlns:a16="http://schemas.microsoft.com/office/drawing/2014/main" id="{F58D4041-97C6-499A-9E2A-80EB70E272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68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</xdr:row>
      <xdr:rowOff>0</xdr:rowOff>
    </xdr:from>
    <xdr:to>
      <xdr:col>0</xdr:col>
      <xdr:colOff>171450</xdr:colOff>
      <xdr:row>393</xdr:row>
      <xdr:rowOff>133350</xdr:rowOff>
    </xdr:to>
    <xdr:pic>
      <xdr:nvPicPr>
        <xdr:cNvPr id="1159" name="Picture@5C\QPendientes@" descr="@5C\QPendientes@">
          <a:extLst>
            <a:ext uri="{FF2B5EF4-FFF2-40B4-BE49-F238E27FC236}">
              <a16:creationId xmlns:a16="http://schemas.microsoft.com/office/drawing/2014/main" id="{B0230090-9908-48BD-9838-C7A5793963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87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</xdr:row>
      <xdr:rowOff>0</xdr:rowOff>
    </xdr:from>
    <xdr:to>
      <xdr:col>0</xdr:col>
      <xdr:colOff>171450</xdr:colOff>
      <xdr:row>394</xdr:row>
      <xdr:rowOff>133350</xdr:rowOff>
    </xdr:to>
    <xdr:pic>
      <xdr:nvPicPr>
        <xdr:cNvPr id="1160" name="Picture@5C\QPendientes@" descr="@5C\QPendientes@">
          <a:extLst>
            <a:ext uri="{FF2B5EF4-FFF2-40B4-BE49-F238E27FC236}">
              <a16:creationId xmlns:a16="http://schemas.microsoft.com/office/drawing/2014/main" id="{7D324873-A082-4942-B92F-EAAED8EA54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05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</xdr:row>
      <xdr:rowOff>0</xdr:rowOff>
    </xdr:from>
    <xdr:to>
      <xdr:col>0</xdr:col>
      <xdr:colOff>171450</xdr:colOff>
      <xdr:row>395</xdr:row>
      <xdr:rowOff>133350</xdr:rowOff>
    </xdr:to>
    <xdr:pic>
      <xdr:nvPicPr>
        <xdr:cNvPr id="1161" name="Picture@5C\QPendientes@" descr="@5C\QPendientes@">
          <a:extLst>
            <a:ext uri="{FF2B5EF4-FFF2-40B4-BE49-F238E27FC236}">
              <a16:creationId xmlns:a16="http://schemas.microsoft.com/office/drawing/2014/main" id="{287E6D0D-7860-4737-B7BA-6665EBEFF1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23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</xdr:row>
      <xdr:rowOff>0</xdr:rowOff>
    </xdr:from>
    <xdr:to>
      <xdr:col>0</xdr:col>
      <xdr:colOff>171450</xdr:colOff>
      <xdr:row>396</xdr:row>
      <xdr:rowOff>133350</xdr:rowOff>
    </xdr:to>
    <xdr:pic>
      <xdr:nvPicPr>
        <xdr:cNvPr id="1162" name="Picture@5C\QPendientes@" descr="@5C\QPendientes@">
          <a:extLst>
            <a:ext uri="{FF2B5EF4-FFF2-40B4-BE49-F238E27FC236}">
              <a16:creationId xmlns:a16="http://schemas.microsoft.com/office/drawing/2014/main" id="{2B08CB14-F241-425B-AA9F-64649C3B52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42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</xdr:row>
      <xdr:rowOff>0</xdr:rowOff>
    </xdr:from>
    <xdr:to>
      <xdr:col>0</xdr:col>
      <xdr:colOff>171450</xdr:colOff>
      <xdr:row>397</xdr:row>
      <xdr:rowOff>133350</xdr:rowOff>
    </xdr:to>
    <xdr:pic>
      <xdr:nvPicPr>
        <xdr:cNvPr id="1163" name="Picture@5C\QPendientes@" descr="@5C\QPendientes@">
          <a:extLst>
            <a:ext uri="{FF2B5EF4-FFF2-40B4-BE49-F238E27FC236}">
              <a16:creationId xmlns:a16="http://schemas.microsoft.com/office/drawing/2014/main" id="{41927810-D881-4880-9D94-22A2F59B26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60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</xdr:row>
      <xdr:rowOff>0</xdr:rowOff>
    </xdr:from>
    <xdr:to>
      <xdr:col>0</xdr:col>
      <xdr:colOff>171450</xdr:colOff>
      <xdr:row>398</xdr:row>
      <xdr:rowOff>133350</xdr:rowOff>
    </xdr:to>
    <xdr:pic>
      <xdr:nvPicPr>
        <xdr:cNvPr id="1164" name="Picture@5C\QPendientes@" descr="@5C\QPendientes@">
          <a:extLst>
            <a:ext uri="{FF2B5EF4-FFF2-40B4-BE49-F238E27FC236}">
              <a16:creationId xmlns:a16="http://schemas.microsoft.com/office/drawing/2014/main" id="{AEACD9D5-0720-4D9F-83C9-4E5B7017D7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78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</xdr:row>
      <xdr:rowOff>0</xdr:rowOff>
    </xdr:from>
    <xdr:to>
      <xdr:col>0</xdr:col>
      <xdr:colOff>171450</xdr:colOff>
      <xdr:row>399</xdr:row>
      <xdr:rowOff>133350</xdr:rowOff>
    </xdr:to>
    <xdr:pic>
      <xdr:nvPicPr>
        <xdr:cNvPr id="1165" name="Picture@5C\QPendientes@" descr="@5C\QPendientes@">
          <a:extLst>
            <a:ext uri="{FF2B5EF4-FFF2-40B4-BE49-F238E27FC236}">
              <a16:creationId xmlns:a16="http://schemas.microsoft.com/office/drawing/2014/main" id="{D1CD3ECA-B02D-4B2E-A42A-F0DC3A05A9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96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</xdr:row>
      <xdr:rowOff>0</xdr:rowOff>
    </xdr:from>
    <xdr:to>
      <xdr:col>0</xdr:col>
      <xdr:colOff>171450</xdr:colOff>
      <xdr:row>400</xdr:row>
      <xdr:rowOff>133350</xdr:rowOff>
    </xdr:to>
    <xdr:pic>
      <xdr:nvPicPr>
        <xdr:cNvPr id="1166" name="Picture@5C\QPendientes@" descr="@5C\QPendientes@">
          <a:extLst>
            <a:ext uri="{FF2B5EF4-FFF2-40B4-BE49-F238E27FC236}">
              <a16:creationId xmlns:a16="http://schemas.microsoft.com/office/drawing/2014/main" id="{81F0C825-6078-4B0A-83A0-B0D34DF212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</xdr:row>
      <xdr:rowOff>0</xdr:rowOff>
    </xdr:from>
    <xdr:to>
      <xdr:col>0</xdr:col>
      <xdr:colOff>171450</xdr:colOff>
      <xdr:row>401</xdr:row>
      <xdr:rowOff>133350</xdr:rowOff>
    </xdr:to>
    <xdr:pic>
      <xdr:nvPicPr>
        <xdr:cNvPr id="1167" name="Picture@5C\QPendientes@" descr="@5C\QPendientes@">
          <a:extLst>
            <a:ext uri="{FF2B5EF4-FFF2-40B4-BE49-F238E27FC236}">
              <a16:creationId xmlns:a16="http://schemas.microsoft.com/office/drawing/2014/main" id="{F47D6E3E-6279-4808-A2E0-63D17B1B6E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33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</xdr:row>
      <xdr:rowOff>0</xdr:rowOff>
    </xdr:from>
    <xdr:to>
      <xdr:col>0</xdr:col>
      <xdr:colOff>171450</xdr:colOff>
      <xdr:row>402</xdr:row>
      <xdr:rowOff>133350</xdr:rowOff>
    </xdr:to>
    <xdr:pic>
      <xdr:nvPicPr>
        <xdr:cNvPr id="1168" name="Picture@5C\QPendientes@" descr="@5C\QPendientes@">
          <a:extLst>
            <a:ext uri="{FF2B5EF4-FFF2-40B4-BE49-F238E27FC236}">
              <a16:creationId xmlns:a16="http://schemas.microsoft.com/office/drawing/2014/main" id="{8ABFFB2B-2998-41B8-AD63-048DE37666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51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</xdr:row>
      <xdr:rowOff>0</xdr:rowOff>
    </xdr:from>
    <xdr:to>
      <xdr:col>0</xdr:col>
      <xdr:colOff>171450</xdr:colOff>
      <xdr:row>403</xdr:row>
      <xdr:rowOff>133350</xdr:rowOff>
    </xdr:to>
    <xdr:pic>
      <xdr:nvPicPr>
        <xdr:cNvPr id="1169" name="Picture@5C\QPendientes@" descr="@5C\QPendientes@">
          <a:extLst>
            <a:ext uri="{FF2B5EF4-FFF2-40B4-BE49-F238E27FC236}">
              <a16:creationId xmlns:a16="http://schemas.microsoft.com/office/drawing/2014/main" id="{61ECDD66-1B28-4CD8-92C2-AD8BBE1C9B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70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</xdr:row>
      <xdr:rowOff>0</xdr:rowOff>
    </xdr:from>
    <xdr:to>
      <xdr:col>0</xdr:col>
      <xdr:colOff>171450</xdr:colOff>
      <xdr:row>404</xdr:row>
      <xdr:rowOff>133350</xdr:rowOff>
    </xdr:to>
    <xdr:pic>
      <xdr:nvPicPr>
        <xdr:cNvPr id="1170" name="Picture@5C\QPendientes@" descr="@5C\QPendientes@">
          <a:extLst>
            <a:ext uri="{FF2B5EF4-FFF2-40B4-BE49-F238E27FC236}">
              <a16:creationId xmlns:a16="http://schemas.microsoft.com/office/drawing/2014/main" id="{AF90838D-368F-4759-BA63-6A4A35C975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88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</xdr:row>
      <xdr:rowOff>0</xdr:rowOff>
    </xdr:from>
    <xdr:to>
      <xdr:col>0</xdr:col>
      <xdr:colOff>171450</xdr:colOff>
      <xdr:row>405</xdr:row>
      <xdr:rowOff>133350</xdr:rowOff>
    </xdr:to>
    <xdr:pic>
      <xdr:nvPicPr>
        <xdr:cNvPr id="1171" name="Picture@5C\QPendientes@" descr="@5C\QPendientes@">
          <a:extLst>
            <a:ext uri="{FF2B5EF4-FFF2-40B4-BE49-F238E27FC236}">
              <a16:creationId xmlns:a16="http://schemas.microsoft.com/office/drawing/2014/main" id="{461FED52-7CEC-48AA-92AB-6E3D36F0D6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06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</xdr:row>
      <xdr:rowOff>0</xdr:rowOff>
    </xdr:from>
    <xdr:to>
      <xdr:col>0</xdr:col>
      <xdr:colOff>171450</xdr:colOff>
      <xdr:row>406</xdr:row>
      <xdr:rowOff>133350</xdr:rowOff>
    </xdr:to>
    <xdr:pic>
      <xdr:nvPicPr>
        <xdr:cNvPr id="1172" name="Picture@5C\QPendientes@" descr="@5C\QPendientes@">
          <a:extLst>
            <a:ext uri="{FF2B5EF4-FFF2-40B4-BE49-F238E27FC236}">
              <a16:creationId xmlns:a16="http://schemas.microsoft.com/office/drawing/2014/main" id="{FFAF78D2-169E-4752-875A-EEE2F111C2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24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</xdr:row>
      <xdr:rowOff>0</xdr:rowOff>
    </xdr:from>
    <xdr:to>
      <xdr:col>0</xdr:col>
      <xdr:colOff>171450</xdr:colOff>
      <xdr:row>407</xdr:row>
      <xdr:rowOff>133350</xdr:rowOff>
    </xdr:to>
    <xdr:pic>
      <xdr:nvPicPr>
        <xdr:cNvPr id="1173" name="Picture@5C\QPendientes@" descr="@5C\QPendientes@">
          <a:extLst>
            <a:ext uri="{FF2B5EF4-FFF2-40B4-BE49-F238E27FC236}">
              <a16:creationId xmlns:a16="http://schemas.microsoft.com/office/drawing/2014/main" id="{CA9C1482-679A-4518-ACD9-9FCA65D826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43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</xdr:row>
      <xdr:rowOff>0</xdr:rowOff>
    </xdr:from>
    <xdr:to>
      <xdr:col>0</xdr:col>
      <xdr:colOff>171450</xdr:colOff>
      <xdr:row>408</xdr:row>
      <xdr:rowOff>133350</xdr:rowOff>
    </xdr:to>
    <xdr:pic>
      <xdr:nvPicPr>
        <xdr:cNvPr id="1174" name="Picture@5C\QPendientes@" descr="@5C\QPendientes@">
          <a:extLst>
            <a:ext uri="{FF2B5EF4-FFF2-40B4-BE49-F238E27FC236}">
              <a16:creationId xmlns:a16="http://schemas.microsoft.com/office/drawing/2014/main" id="{25757994-70B4-4DFA-98AD-C96007F679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61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</xdr:row>
      <xdr:rowOff>0</xdr:rowOff>
    </xdr:from>
    <xdr:to>
      <xdr:col>0</xdr:col>
      <xdr:colOff>171450</xdr:colOff>
      <xdr:row>409</xdr:row>
      <xdr:rowOff>133350</xdr:rowOff>
    </xdr:to>
    <xdr:pic>
      <xdr:nvPicPr>
        <xdr:cNvPr id="1175" name="Picture@5C\QPendientes@" descr="@5C\QPendientes@">
          <a:extLst>
            <a:ext uri="{FF2B5EF4-FFF2-40B4-BE49-F238E27FC236}">
              <a16:creationId xmlns:a16="http://schemas.microsoft.com/office/drawing/2014/main" id="{043676A1-3262-44E9-9E41-C67C204335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79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</xdr:row>
      <xdr:rowOff>0</xdr:rowOff>
    </xdr:from>
    <xdr:to>
      <xdr:col>0</xdr:col>
      <xdr:colOff>171450</xdr:colOff>
      <xdr:row>410</xdr:row>
      <xdr:rowOff>133350</xdr:rowOff>
    </xdr:to>
    <xdr:pic>
      <xdr:nvPicPr>
        <xdr:cNvPr id="1176" name="Picture@5C\QPendientes@" descr="@5C\QPendientes@">
          <a:extLst>
            <a:ext uri="{FF2B5EF4-FFF2-40B4-BE49-F238E27FC236}">
              <a16:creationId xmlns:a16="http://schemas.microsoft.com/office/drawing/2014/main" id="{F2C00791-E074-452F-BC2B-BE770F22C8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98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</xdr:row>
      <xdr:rowOff>0</xdr:rowOff>
    </xdr:from>
    <xdr:to>
      <xdr:col>0</xdr:col>
      <xdr:colOff>171450</xdr:colOff>
      <xdr:row>411</xdr:row>
      <xdr:rowOff>133350</xdr:rowOff>
    </xdr:to>
    <xdr:pic>
      <xdr:nvPicPr>
        <xdr:cNvPr id="1177" name="Picture@5C\QPendientes@" descr="@5C\QPendientes@">
          <a:extLst>
            <a:ext uri="{FF2B5EF4-FFF2-40B4-BE49-F238E27FC236}">
              <a16:creationId xmlns:a16="http://schemas.microsoft.com/office/drawing/2014/main" id="{DF444899-E40C-4C0D-9AF4-4CEFCC487F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16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</xdr:row>
      <xdr:rowOff>0</xdr:rowOff>
    </xdr:from>
    <xdr:to>
      <xdr:col>0</xdr:col>
      <xdr:colOff>171450</xdr:colOff>
      <xdr:row>412</xdr:row>
      <xdr:rowOff>133350</xdr:rowOff>
    </xdr:to>
    <xdr:pic>
      <xdr:nvPicPr>
        <xdr:cNvPr id="1178" name="Picture@5C\QPendientes@" descr="@5C\QPendientes@">
          <a:extLst>
            <a:ext uri="{FF2B5EF4-FFF2-40B4-BE49-F238E27FC236}">
              <a16:creationId xmlns:a16="http://schemas.microsoft.com/office/drawing/2014/main" id="{361CB4B2-06A6-4D95-A765-E5338CCAB6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34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</xdr:row>
      <xdr:rowOff>0</xdr:rowOff>
    </xdr:from>
    <xdr:to>
      <xdr:col>0</xdr:col>
      <xdr:colOff>171450</xdr:colOff>
      <xdr:row>413</xdr:row>
      <xdr:rowOff>133350</xdr:rowOff>
    </xdr:to>
    <xdr:pic>
      <xdr:nvPicPr>
        <xdr:cNvPr id="1179" name="Picture@5C\QPendientes@" descr="@5C\QPendientes@">
          <a:extLst>
            <a:ext uri="{FF2B5EF4-FFF2-40B4-BE49-F238E27FC236}">
              <a16:creationId xmlns:a16="http://schemas.microsoft.com/office/drawing/2014/main" id="{AB91BB92-BB6B-41D9-90C8-9058F8E39E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52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</xdr:row>
      <xdr:rowOff>0</xdr:rowOff>
    </xdr:from>
    <xdr:to>
      <xdr:col>0</xdr:col>
      <xdr:colOff>171450</xdr:colOff>
      <xdr:row>414</xdr:row>
      <xdr:rowOff>133350</xdr:rowOff>
    </xdr:to>
    <xdr:pic>
      <xdr:nvPicPr>
        <xdr:cNvPr id="1180" name="Picture@5C\QPendientes@" descr="@5C\QPendientes@">
          <a:extLst>
            <a:ext uri="{FF2B5EF4-FFF2-40B4-BE49-F238E27FC236}">
              <a16:creationId xmlns:a16="http://schemas.microsoft.com/office/drawing/2014/main" id="{6F45EF0F-0A62-4C92-87BA-8A2FA0C66D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71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</xdr:row>
      <xdr:rowOff>0</xdr:rowOff>
    </xdr:from>
    <xdr:to>
      <xdr:col>0</xdr:col>
      <xdr:colOff>171450</xdr:colOff>
      <xdr:row>415</xdr:row>
      <xdr:rowOff>133350</xdr:rowOff>
    </xdr:to>
    <xdr:pic>
      <xdr:nvPicPr>
        <xdr:cNvPr id="1181" name="Picture@5C\QPendientes@" descr="@5C\QPendientes@">
          <a:extLst>
            <a:ext uri="{FF2B5EF4-FFF2-40B4-BE49-F238E27FC236}">
              <a16:creationId xmlns:a16="http://schemas.microsoft.com/office/drawing/2014/main" id="{73822EC4-AA51-4CF9-A424-4DE76F3836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89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</xdr:row>
      <xdr:rowOff>0</xdr:rowOff>
    </xdr:from>
    <xdr:to>
      <xdr:col>0</xdr:col>
      <xdr:colOff>171450</xdr:colOff>
      <xdr:row>416</xdr:row>
      <xdr:rowOff>133350</xdr:rowOff>
    </xdr:to>
    <xdr:pic>
      <xdr:nvPicPr>
        <xdr:cNvPr id="1182" name="Picture@5C\QPendientes@" descr="@5C\QPendientes@">
          <a:extLst>
            <a:ext uri="{FF2B5EF4-FFF2-40B4-BE49-F238E27FC236}">
              <a16:creationId xmlns:a16="http://schemas.microsoft.com/office/drawing/2014/main" id="{5DC18743-12AD-4A79-B17F-76625C9BF3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07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</xdr:row>
      <xdr:rowOff>0</xdr:rowOff>
    </xdr:from>
    <xdr:to>
      <xdr:col>0</xdr:col>
      <xdr:colOff>171450</xdr:colOff>
      <xdr:row>417</xdr:row>
      <xdr:rowOff>133350</xdr:rowOff>
    </xdr:to>
    <xdr:pic>
      <xdr:nvPicPr>
        <xdr:cNvPr id="1183" name="Picture@5C\QPendientes@" descr="@5C\QPendientes@">
          <a:extLst>
            <a:ext uri="{FF2B5EF4-FFF2-40B4-BE49-F238E27FC236}">
              <a16:creationId xmlns:a16="http://schemas.microsoft.com/office/drawing/2014/main" id="{30A057B5-C7EE-4743-962C-F621454905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26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</xdr:row>
      <xdr:rowOff>0</xdr:rowOff>
    </xdr:from>
    <xdr:to>
      <xdr:col>0</xdr:col>
      <xdr:colOff>171450</xdr:colOff>
      <xdr:row>418</xdr:row>
      <xdr:rowOff>133350</xdr:rowOff>
    </xdr:to>
    <xdr:pic>
      <xdr:nvPicPr>
        <xdr:cNvPr id="1184" name="Picture@5C\QPendientes@" descr="@5C\QPendientes@">
          <a:extLst>
            <a:ext uri="{FF2B5EF4-FFF2-40B4-BE49-F238E27FC236}">
              <a16:creationId xmlns:a16="http://schemas.microsoft.com/office/drawing/2014/main" id="{18122F2D-2FE7-4242-9935-E429643963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44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</xdr:row>
      <xdr:rowOff>0</xdr:rowOff>
    </xdr:from>
    <xdr:to>
      <xdr:col>0</xdr:col>
      <xdr:colOff>171450</xdr:colOff>
      <xdr:row>419</xdr:row>
      <xdr:rowOff>133350</xdr:rowOff>
    </xdr:to>
    <xdr:pic>
      <xdr:nvPicPr>
        <xdr:cNvPr id="1185" name="Picture@5C\QPendientes@" descr="@5C\QPendientes@">
          <a:extLst>
            <a:ext uri="{FF2B5EF4-FFF2-40B4-BE49-F238E27FC236}">
              <a16:creationId xmlns:a16="http://schemas.microsoft.com/office/drawing/2014/main" id="{0191618D-8FBA-4EDB-9BA4-1BA487C6F8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62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</xdr:row>
      <xdr:rowOff>0</xdr:rowOff>
    </xdr:from>
    <xdr:to>
      <xdr:col>0</xdr:col>
      <xdr:colOff>171450</xdr:colOff>
      <xdr:row>420</xdr:row>
      <xdr:rowOff>133350</xdr:rowOff>
    </xdr:to>
    <xdr:pic>
      <xdr:nvPicPr>
        <xdr:cNvPr id="1186" name="Picture@5C\QPendientes@" descr="@5C\QPendientes@">
          <a:extLst>
            <a:ext uri="{FF2B5EF4-FFF2-40B4-BE49-F238E27FC236}">
              <a16:creationId xmlns:a16="http://schemas.microsoft.com/office/drawing/2014/main" id="{E0A916F0-88D1-45BA-9194-38583B4CC7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80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</xdr:row>
      <xdr:rowOff>0</xdr:rowOff>
    </xdr:from>
    <xdr:to>
      <xdr:col>0</xdr:col>
      <xdr:colOff>171450</xdr:colOff>
      <xdr:row>421</xdr:row>
      <xdr:rowOff>133350</xdr:rowOff>
    </xdr:to>
    <xdr:pic>
      <xdr:nvPicPr>
        <xdr:cNvPr id="1187" name="Picture@5C\QPendientes@" descr="@5C\QPendientes@">
          <a:extLst>
            <a:ext uri="{FF2B5EF4-FFF2-40B4-BE49-F238E27FC236}">
              <a16:creationId xmlns:a16="http://schemas.microsoft.com/office/drawing/2014/main" id="{76BEE454-E8B3-43FB-B202-6C1AD95097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99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</xdr:row>
      <xdr:rowOff>0</xdr:rowOff>
    </xdr:from>
    <xdr:to>
      <xdr:col>0</xdr:col>
      <xdr:colOff>171450</xdr:colOff>
      <xdr:row>422</xdr:row>
      <xdr:rowOff>133350</xdr:rowOff>
    </xdr:to>
    <xdr:pic>
      <xdr:nvPicPr>
        <xdr:cNvPr id="1188" name="Picture@5C\QPendientes@" descr="@5C\QPendientes@">
          <a:extLst>
            <a:ext uri="{FF2B5EF4-FFF2-40B4-BE49-F238E27FC236}">
              <a16:creationId xmlns:a16="http://schemas.microsoft.com/office/drawing/2014/main" id="{718D4017-CBA5-42DE-AFB6-BF1E9C333A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17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</xdr:row>
      <xdr:rowOff>0</xdr:rowOff>
    </xdr:from>
    <xdr:to>
      <xdr:col>0</xdr:col>
      <xdr:colOff>171450</xdr:colOff>
      <xdr:row>423</xdr:row>
      <xdr:rowOff>133350</xdr:rowOff>
    </xdr:to>
    <xdr:pic>
      <xdr:nvPicPr>
        <xdr:cNvPr id="1189" name="Picture@5C\QPendientes@" descr="@5C\QPendientes@">
          <a:extLst>
            <a:ext uri="{FF2B5EF4-FFF2-40B4-BE49-F238E27FC236}">
              <a16:creationId xmlns:a16="http://schemas.microsoft.com/office/drawing/2014/main" id="{F637E34F-4AD7-4862-B903-9B3E611D62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35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</xdr:row>
      <xdr:rowOff>0</xdr:rowOff>
    </xdr:from>
    <xdr:to>
      <xdr:col>0</xdr:col>
      <xdr:colOff>171450</xdr:colOff>
      <xdr:row>424</xdr:row>
      <xdr:rowOff>133350</xdr:rowOff>
    </xdr:to>
    <xdr:pic>
      <xdr:nvPicPr>
        <xdr:cNvPr id="1190" name="Picture@5C\QPendientes@" descr="@5C\QPendientes@">
          <a:extLst>
            <a:ext uri="{FF2B5EF4-FFF2-40B4-BE49-F238E27FC236}">
              <a16:creationId xmlns:a16="http://schemas.microsoft.com/office/drawing/2014/main" id="{5965F840-8FBC-4D5A-A24E-FC5809F4CE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54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</xdr:row>
      <xdr:rowOff>0</xdr:rowOff>
    </xdr:from>
    <xdr:to>
      <xdr:col>0</xdr:col>
      <xdr:colOff>171450</xdr:colOff>
      <xdr:row>425</xdr:row>
      <xdr:rowOff>133350</xdr:rowOff>
    </xdr:to>
    <xdr:pic>
      <xdr:nvPicPr>
        <xdr:cNvPr id="1191" name="Picture@5C\QPendientes@" descr="@5C\QPendientes@">
          <a:extLst>
            <a:ext uri="{FF2B5EF4-FFF2-40B4-BE49-F238E27FC236}">
              <a16:creationId xmlns:a16="http://schemas.microsoft.com/office/drawing/2014/main" id="{C6C0ADB3-6DDD-4189-8755-A04E637663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72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</xdr:row>
      <xdr:rowOff>0</xdr:rowOff>
    </xdr:from>
    <xdr:to>
      <xdr:col>0</xdr:col>
      <xdr:colOff>171450</xdr:colOff>
      <xdr:row>426</xdr:row>
      <xdr:rowOff>133350</xdr:rowOff>
    </xdr:to>
    <xdr:pic>
      <xdr:nvPicPr>
        <xdr:cNvPr id="1192" name="Picture@5C\QPendientes@" descr="@5C\QPendientes@">
          <a:extLst>
            <a:ext uri="{FF2B5EF4-FFF2-40B4-BE49-F238E27FC236}">
              <a16:creationId xmlns:a16="http://schemas.microsoft.com/office/drawing/2014/main" id="{AE31B4A9-8087-4800-8EC8-B8922954F7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90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</xdr:row>
      <xdr:rowOff>0</xdr:rowOff>
    </xdr:from>
    <xdr:to>
      <xdr:col>0</xdr:col>
      <xdr:colOff>171450</xdr:colOff>
      <xdr:row>427</xdr:row>
      <xdr:rowOff>133350</xdr:rowOff>
    </xdr:to>
    <xdr:pic>
      <xdr:nvPicPr>
        <xdr:cNvPr id="1193" name="Picture@5C\QPendientes@" descr="@5C\QPendientes@">
          <a:extLst>
            <a:ext uri="{FF2B5EF4-FFF2-40B4-BE49-F238E27FC236}">
              <a16:creationId xmlns:a16="http://schemas.microsoft.com/office/drawing/2014/main" id="{41E4609E-A0B7-48C8-9737-7DE9CB69AE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08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</xdr:row>
      <xdr:rowOff>0</xdr:rowOff>
    </xdr:from>
    <xdr:to>
      <xdr:col>0</xdr:col>
      <xdr:colOff>171450</xdr:colOff>
      <xdr:row>428</xdr:row>
      <xdr:rowOff>133350</xdr:rowOff>
    </xdr:to>
    <xdr:pic>
      <xdr:nvPicPr>
        <xdr:cNvPr id="1194" name="Picture@5C\QPendientes@" descr="@5C\QPendientes@">
          <a:extLst>
            <a:ext uri="{FF2B5EF4-FFF2-40B4-BE49-F238E27FC236}">
              <a16:creationId xmlns:a16="http://schemas.microsoft.com/office/drawing/2014/main" id="{58C3DE27-A531-480F-A78B-CD936642BB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27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</xdr:row>
      <xdr:rowOff>0</xdr:rowOff>
    </xdr:from>
    <xdr:to>
      <xdr:col>0</xdr:col>
      <xdr:colOff>171450</xdr:colOff>
      <xdr:row>429</xdr:row>
      <xdr:rowOff>133350</xdr:rowOff>
    </xdr:to>
    <xdr:pic>
      <xdr:nvPicPr>
        <xdr:cNvPr id="1195" name="Picture@5C\QPendientes@" descr="@5C\QPendientes@">
          <a:extLst>
            <a:ext uri="{FF2B5EF4-FFF2-40B4-BE49-F238E27FC236}">
              <a16:creationId xmlns:a16="http://schemas.microsoft.com/office/drawing/2014/main" id="{1441CC6E-97C0-4D96-A9D7-3B58E9F9CE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45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</xdr:row>
      <xdr:rowOff>0</xdr:rowOff>
    </xdr:from>
    <xdr:to>
      <xdr:col>0</xdr:col>
      <xdr:colOff>171450</xdr:colOff>
      <xdr:row>430</xdr:row>
      <xdr:rowOff>133350</xdr:rowOff>
    </xdr:to>
    <xdr:pic>
      <xdr:nvPicPr>
        <xdr:cNvPr id="1196" name="Picture@5C\QPendientes@" descr="@5C\QPendientes@">
          <a:extLst>
            <a:ext uri="{FF2B5EF4-FFF2-40B4-BE49-F238E27FC236}">
              <a16:creationId xmlns:a16="http://schemas.microsoft.com/office/drawing/2014/main" id="{0EBA6BB4-5447-4C3E-AB19-7261C023C7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63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</xdr:row>
      <xdr:rowOff>0</xdr:rowOff>
    </xdr:from>
    <xdr:to>
      <xdr:col>0</xdr:col>
      <xdr:colOff>171450</xdr:colOff>
      <xdr:row>431</xdr:row>
      <xdr:rowOff>133350</xdr:rowOff>
    </xdr:to>
    <xdr:pic>
      <xdr:nvPicPr>
        <xdr:cNvPr id="1197" name="Picture@5C\QPendientes@" descr="@5C\QPendientes@">
          <a:extLst>
            <a:ext uri="{FF2B5EF4-FFF2-40B4-BE49-F238E27FC236}">
              <a16:creationId xmlns:a16="http://schemas.microsoft.com/office/drawing/2014/main" id="{E87233E3-369C-4166-92D2-649709BD8A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82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</xdr:row>
      <xdr:rowOff>0</xdr:rowOff>
    </xdr:from>
    <xdr:to>
      <xdr:col>0</xdr:col>
      <xdr:colOff>171450</xdr:colOff>
      <xdr:row>432</xdr:row>
      <xdr:rowOff>133350</xdr:rowOff>
    </xdr:to>
    <xdr:pic>
      <xdr:nvPicPr>
        <xdr:cNvPr id="1198" name="Picture@5C\QPendientes@" descr="@5C\QPendientes@">
          <a:extLst>
            <a:ext uri="{FF2B5EF4-FFF2-40B4-BE49-F238E27FC236}">
              <a16:creationId xmlns:a16="http://schemas.microsoft.com/office/drawing/2014/main" id="{7B0B1FDD-AC5F-4B71-926A-F2790DAD35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00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</xdr:row>
      <xdr:rowOff>0</xdr:rowOff>
    </xdr:from>
    <xdr:to>
      <xdr:col>0</xdr:col>
      <xdr:colOff>171450</xdr:colOff>
      <xdr:row>433</xdr:row>
      <xdr:rowOff>133350</xdr:rowOff>
    </xdr:to>
    <xdr:pic>
      <xdr:nvPicPr>
        <xdr:cNvPr id="1199" name="Picture@5C\QPendientes@" descr="@5C\QPendientes@">
          <a:extLst>
            <a:ext uri="{FF2B5EF4-FFF2-40B4-BE49-F238E27FC236}">
              <a16:creationId xmlns:a16="http://schemas.microsoft.com/office/drawing/2014/main" id="{7FACD923-4916-40C9-8EB7-05512A98CD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18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</xdr:row>
      <xdr:rowOff>0</xdr:rowOff>
    </xdr:from>
    <xdr:to>
      <xdr:col>0</xdr:col>
      <xdr:colOff>171450</xdr:colOff>
      <xdr:row>434</xdr:row>
      <xdr:rowOff>133350</xdr:rowOff>
    </xdr:to>
    <xdr:pic>
      <xdr:nvPicPr>
        <xdr:cNvPr id="1200" name="Picture@5C\QPendientes@" descr="@5C\QPendientes@">
          <a:extLst>
            <a:ext uri="{FF2B5EF4-FFF2-40B4-BE49-F238E27FC236}">
              <a16:creationId xmlns:a16="http://schemas.microsoft.com/office/drawing/2014/main" id="{5CDBA652-2A75-4EA3-A9A0-5DEB78F4FB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36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</xdr:row>
      <xdr:rowOff>0</xdr:rowOff>
    </xdr:from>
    <xdr:to>
      <xdr:col>0</xdr:col>
      <xdr:colOff>171450</xdr:colOff>
      <xdr:row>435</xdr:row>
      <xdr:rowOff>133350</xdr:rowOff>
    </xdr:to>
    <xdr:pic>
      <xdr:nvPicPr>
        <xdr:cNvPr id="1201" name="Picture@5C\QPendientes@" descr="@5C\QPendientes@">
          <a:extLst>
            <a:ext uri="{FF2B5EF4-FFF2-40B4-BE49-F238E27FC236}">
              <a16:creationId xmlns:a16="http://schemas.microsoft.com/office/drawing/2014/main" id="{01F2C7B0-5653-4B9B-9AD2-F0BD5B1ED3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55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</xdr:row>
      <xdr:rowOff>0</xdr:rowOff>
    </xdr:from>
    <xdr:to>
      <xdr:col>0</xdr:col>
      <xdr:colOff>171450</xdr:colOff>
      <xdr:row>436</xdr:row>
      <xdr:rowOff>133350</xdr:rowOff>
    </xdr:to>
    <xdr:pic>
      <xdr:nvPicPr>
        <xdr:cNvPr id="1202" name="Picture@5C\QPendientes@" descr="@5C\QPendientes@">
          <a:extLst>
            <a:ext uri="{FF2B5EF4-FFF2-40B4-BE49-F238E27FC236}">
              <a16:creationId xmlns:a16="http://schemas.microsoft.com/office/drawing/2014/main" id="{0FCD6D71-3DBA-433A-ADEB-65706CEDC8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73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</xdr:row>
      <xdr:rowOff>0</xdr:rowOff>
    </xdr:from>
    <xdr:to>
      <xdr:col>0</xdr:col>
      <xdr:colOff>171450</xdr:colOff>
      <xdr:row>437</xdr:row>
      <xdr:rowOff>133350</xdr:rowOff>
    </xdr:to>
    <xdr:pic>
      <xdr:nvPicPr>
        <xdr:cNvPr id="1203" name="Picture@5C\QPendientes@" descr="@5C\QPendientes@">
          <a:extLst>
            <a:ext uri="{FF2B5EF4-FFF2-40B4-BE49-F238E27FC236}">
              <a16:creationId xmlns:a16="http://schemas.microsoft.com/office/drawing/2014/main" id="{BFF441AD-808B-4C0C-86AD-F36809AB05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91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</xdr:row>
      <xdr:rowOff>0</xdr:rowOff>
    </xdr:from>
    <xdr:to>
      <xdr:col>0</xdr:col>
      <xdr:colOff>171450</xdr:colOff>
      <xdr:row>438</xdr:row>
      <xdr:rowOff>133350</xdr:rowOff>
    </xdr:to>
    <xdr:pic>
      <xdr:nvPicPr>
        <xdr:cNvPr id="1204" name="Picture@5C\QPendientes@" descr="@5C\QPendientes@">
          <a:extLst>
            <a:ext uri="{FF2B5EF4-FFF2-40B4-BE49-F238E27FC236}">
              <a16:creationId xmlns:a16="http://schemas.microsoft.com/office/drawing/2014/main" id="{9EC1DDBF-1A73-4A39-92AC-808B0E92DA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10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</xdr:row>
      <xdr:rowOff>0</xdr:rowOff>
    </xdr:from>
    <xdr:to>
      <xdr:col>0</xdr:col>
      <xdr:colOff>171450</xdr:colOff>
      <xdr:row>439</xdr:row>
      <xdr:rowOff>133350</xdr:rowOff>
    </xdr:to>
    <xdr:pic>
      <xdr:nvPicPr>
        <xdr:cNvPr id="1205" name="Picture@5C\QPendientes@" descr="@5C\QPendientes@">
          <a:extLst>
            <a:ext uri="{FF2B5EF4-FFF2-40B4-BE49-F238E27FC236}">
              <a16:creationId xmlns:a16="http://schemas.microsoft.com/office/drawing/2014/main" id="{3F5EA2E4-73B5-403F-9972-F9CB7C7E65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28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</xdr:row>
      <xdr:rowOff>0</xdr:rowOff>
    </xdr:from>
    <xdr:to>
      <xdr:col>0</xdr:col>
      <xdr:colOff>171450</xdr:colOff>
      <xdr:row>440</xdr:row>
      <xdr:rowOff>133350</xdr:rowOff>
    </xdr:to>
    <xdr:pic>
      <xdr:nvPicPr>
        <xdr:cNvPr id="1206" name="Picture@5C\QPendientes@" descr="@5C\QPendientes@">
          <a:extLst>
            <a:ext uri="{FF2B5EF4-FFF2-40B4-BE49-F238E27FC236}">
              <a16:creationId xmlns:a16="http://schemas.microsoft.com/office/drawing/2014/main" id="{9EF5B222-1820-411D-A172-44A6305AFA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46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</xdr:row>
      <xdr:rowOff>0</xdr:rowOff>
    </xdr:from>
    <xdr:to>
      <xdr:col>0</xdr:col>
      <xdr:colOff>171450</xdr:colOff>
      <xdr:row>441</xdr:row>
      <xdr:rowOff>133350</xdr:rowOff>
    </xdr:to>
    <xdr:pic>
      <xdr:nvPicPr>
        <xdr:cNvPr id="1207" name="Picture@5C\QPendientes@" descr="@5C\QPendientes@">
          <a:extLst>
            <a:ext uri="{FF2B5EF4-FFF2-40B4-BE49-F238E27FC236}">
              <a16:creationId xmlns:a16="http://schemas.microsoft.com/office/drawing/2014/main" id="{8014D6AF-0503-476A-A378-4F262E1A5A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65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</xdr:row>
      <xdr:rowOff>0</xdr:rowOff>
    </xdr:from>
    <xdr:to>
      <xdr:col>0</xdr:col>
      <xdr:colOff>171450</xdr:colOff>
      <xdr:row>442</xdr:row>
      <xdr:rowOff>133350</xdr:rowOff>
    </xdr:to>
    <xdr:pic>
      <xdr:nvPicPr>
        <xdr:cNvPr id="1208" name="Picture@5C\QPendientes@" descr="@5C\QPendientes@">
          <a:extLst>
            <a:ext uri="{FF2B5EF4-FFF2-40B4-BE49-F238E27FC236}">
              <a16:creationId xmlns:a16="http://schemas.microsoft.com/office/drawing/2014/main" id="{CA0AB47E-4108-46A2-A17D-2CC2507178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83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</xdr:row>
      <xdr:rowOff>0</xdr:rowOff>
    </xdr:from>
    <xdr:to>
      <xdr:col>0</xdr:col>
      <xdr:colOff>171450</xdr:colOff>
      <xdr:row>443</xdr:row>
      <xdr:rowOff>133350</xdr:rowOff>
    </xdr:to>
    <xdr:pic>
      <xdr:nvPicPr>
        <xdr:cNvPr id="1209" name="Picture@5C\QPendientes@" descr="@5C\QPendientes@">
          <a:extLst>
            <a:ext uri="{FF2B5EF4-FFF2-40B4-BE49-F238E27FC236}">
              <a16:creationId xmlns:a16="http://schemas.microsoft.com/office/drawing/2014/main" id="{6243F63C-9734-4BD5-9FB6-EF5D5BEE25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01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</xdr:row>
      <xdr:rowOff>0</xdr:rowOff>
    </xdr:from>
    <xdr:to>
      <xdr:col>0</xdr:col>
      <xdr:colOff>171450</xdr:colOff>
      <xdr:row>444</xdr:row>
      <xdr:rowOff>133350</xdr:rowOff>
    </xdr:to>
    <xdr:pic>
      <xdr:nvPicPr>
        <xdr:cNvPr id="1210" name="Picture@5C\QPendientes@" descr="@5C\QPendientes@">
          <a:extLst>
            <a:ext uri="{FF2B5EF4-FFF2-40B4-BE49-F238E27FC236}">
              <a16:creationId xmlns:a16="http://schemas.microsoft.com/office/drawing/2014/main" id="{75F4BE64-BCB7-4D8C-B511-9FCAE36277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19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</xdr:row>
      <xdr:rowOff>0</xdr:rowOff>
    </xdr:from>
    <xdr:to>
      <xdr:col>0</xdr:col>
      <xdr:colOff>171450</xdr:colOff>
      <xdr:row>445</xdr:row>
      <xdr:rowOff>133350</xdr:rowOff>
    </xdr:to>
    <xdr:pic>
      <xdr:nvPicPr>
        <xdr:cNvPr id="1211" name="Picture@5C\QPendientes@" descr="@5C\QPendientes@">
          <a:extLst>
            <a:ext uri="{FF2B5EF4-FFF2-40B4-BE49-F238E27FC236}">
              <a16:creationId xmlns:a16="http://schemas.microsoft.com/office/drawing/2014/main" id="{DA35932E-DA91-4A7F-A65A-0665381ED6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38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</xdr:row>
      <xdr:rowOff>0</xdr:rowOff>
    </xdr:from>
    <xdr:to>
      <xdr:col>0</xdr:col>
      <xdr:colOff>171450</xdr:colOff>
      <xdr:row>446</xdr:row>
      <xdr:rowOff>133350</xdr:rowOff>
    </xdr:to>
    <xdr:pic>
      <xdr:nvPicPr>
        <xdr:cNvPr id="1212" name="Picture@5C\QPendientes@" descr="@5C\QPendientes@">
          <a:extLst>
            <a:ext uri="{FF2B5EF4-FFF2-40B4-BE49-F238E27FC236}">
              <a16:creationId xmlns:a16="http://schemas.microsoft.com/office/drawing/2014/main" id="{86EB7D14-5AEB-4DEA-8951-9C8AC08DA5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56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</xdr:row>
      <xdr:rowOff>0</xdr:rowOff>
    </xdr:from>
    <xdr:to>
      <xdr:col>0</xdr:col>
      <xdr:colOff>171450</xdr:colOff>
      <xdr:row>447</xdr:row>
      <xdr:rowOff>133350</xdr:rowOff>
    </xdr:to>
    <xdr:pic>
      <xdr:nvPicPr>
        <xdr:cNvPr id="1213" name="Picture@5C\QPendientes@" descr="@5C\QPendientes@">
          <a:extLst>
            <a:ext uri="{FF2B5EF4-FFF2-40B4-BE49-F238E27FC236}">
              <a16:creationId xmlns:a16="http://schemas.microsoft.com/office/drawing/2014/main" id="{B27F678E-A1E7-4084-8613-A5E4F47E2C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74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</xdr:row>
      <xdr:rowOff>0</xdr:rowOff>
    </xdr:from>
    <xdr:to>
      <xdr:col>0</xdr:col>
      <xdr:colOff>171450</xdr:colOff>
      <xdr:row>448</xdr:row>
      <xdr:rowOff>133350</xdr:rowOff>
    </xdr:to>
    <xdr:pic>
      <xdr:nvPicPr>
        <xdr:cNvPr id="1214" name="Picture@5C\QPendientes@" descr="@5C\QPendientes@">
          <a:extLst>
            <a:ext uri="{FF2B5EF4-FFF2-40B4-BE49-F238E27FC236}">
              <a16:creationId xmlns:a16="http://schemas.microsoft.com/office/drawing/2014/main" id="{D9AE5F85-E8F9-4B0B-9BA2-A277ED4625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93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</xdr:row>
      <xdr:rowOff>0</xdr:rowOff>
    </xdr:from>
    <xdr:to>
      <xdr:col>0</xdr:col>
      <xdr:colOff>171450</xdr:colOff>
      <xdr:row>449</xdr:row>
      <xdr:rowOff>133350</xdr:rowOff>
    </xdr:to>
    <xdr:pic>
      <xdr:nvPicPr>
        <xdr:cNvPr id="1215" name="Picture@5C\QPendientes@" descr="@5C\QPendientes@">
          <a:extLst>
            <a:ext uri="{FF2B5EF4-FFF2-40B4-BE49-F238E27FC236}">
              <a16:creationId xmlns:a16="http://schemas.microsoft.com/office/drawing/2014/main" id="{972F9CA8-518A-4C7C-9371-6E8A6B49F1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11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</xdr:row>
      <xdr:rowOff>0</xdr:rowOff>
    </xdr:from>
    <xdr:to>
      <xdr:col>0</xdr:col>
      <xdr:colOff>171450</xdr:colOff>
      <xdr:row>450</xdr:row>
      <xdr:rowOff>133350</xdr:rowOff>
    </xdr:to>
    <xdr:pic>
      <xdr:nvPicPr>
        <xdr:cNvPr id="1216" name="Picture@5C\QPendientes@" descr="@5C\QPendientes@">
          <a:extLst>
            <a:ext uri="{FF2B5EF4-FFF2-40B4-BE49-F238E27FC236}">
              <a16:creationId xmlns:a16="http://schemas.microsoft.com/office/drawing/2014/main" id="{887E0C39-F257-4F27-9EB9-3C8347814F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29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</xdr:row>
      <xdr:rowOff>0</xdr:rowOff>
    </xdr:from>
    <xdr:to>
      <xdr:col>0</xdr:col>
      <xdr:colOff>171450</xdr:colOff>
      <xdr:row>451</xdr:row>
      <xdr:rowOff>133350</xdr:rowOff>
    </xdr:to>
    <xdr:pic>
      <xdr:nvPicPr>
        <xdr:cNvPr id="1217" name="Picture@5C\QPendientes@" descr="@5C\QPendientes@">
          <a:extLst>
            <a:ext uri="{FF2B5EF4-FFF2-40B4-BE49-F238E27FC236}">
              <a16:creationId xmlns:a16="http://schemas.microsoft.com/office/drawing/2014/main" id="{213D5365-82C0-42A4-9F90-8A1DF9E8DC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47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</xdr:row>
      <xdr:rowOff>0</xdr:rowOff>
    </xdr:from>
    <xdr:to>
      <xdr:col>0</xdr:col>
      <xdr:colOff>171450</xdr:colOff>
      <xdr:row>452</xdr:row>
      <xdr:rowOff>133350</xdr:rowOff>
    </xdr:to>
    <xdr:pic>
      <xdr:nvPicPr>
        <xdr:cNvPr id="1218" name="Picture@5C\QPendientes@" descr="@5C\QPendientes@">
          <a:extLst>
            <a:ext uri="{FF2B5EF4-FFF2-40B4-BE49-F238E27FC236}">
              <a16:creationId xmlns:a16="http://schemas.microsoft.com/office/drawing/2014/main" id="{6A6C8E46-60FC-4581-9C0B-3BAAF2FB9D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66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</xdr:row>
      <xdr:rowOff>0</xdr:rowOff>
    </xdr:from>
    <xdr:to>
      <xdr:col>0</xdr:col>
      <xdr:colOff>171450</xdr:colOff>
      <xdr:row>453</xdr:row>
      <xdr:rowOff>133350</xdr:rowOff>
    </xdr:to>
    <xdr:pic>
      <xdr:nvPicPr>
        <xdr:cNvPr id="1219" name="Picture@5C\QPendientes@" descr="@5C\QPendientes@">
          <a:extLst>
            <a:ext uri="{FF2B5EF4-FFF2-40B4-BE49-F238E27FC236}">
              <a16:creationId xmlns:a16="http://schemas.microsoft.com/office/drawing/2014/main" id="{3C00DE16-22FE-45CC-8440-DA2D552ADD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84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</xdr:row>
      <xdr:rowOff>0</xdr:rowOff>
    </xdr:from>
    <xdr:to>
      <xdr:col>0</xdr:col>
      <xdr:colOff>171450</xdr:colOff>
      <xdr:row>454</xdr:row>
      <xdr:rowOff>133350</xdr:rowOff>
    </xdr:to>
    <xdr:pic>
      <xdr:nvPicPr>
        <xdr:cNvPr id="1220" name="Picture@5C\QPendientes@" descr="@5C\QPendientes@">
          <a:extLst>
            <a:ext uri="{FF2B5EF4-FFF2-40B4-BE49-F238E27FC236}">
              <a16:creationId xmlns:a16="http://schemas.microsoft.com/office/drawing/2014/main" id="{0F10196D-7D9A-4716-A218-EAA30CD2D7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02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</xdr:row>
      <xdr:rowOff>0</xdr:rowOff>
    </xdr:from>
    <xdr:to>
      <xdr:col>0</xdr:col>
      <xdr:colOff>171450</xdr:colOff>
      <xdr:row>455</xdr:row>
      <xdr:rowOff>133350</xdr:rowOff>
    </xdr:to>
    <xdr:pic>
      <xdr:nvPicPr>
        <xdr:cNvPr id="1221" name="Picture@5C\QPendientes@" descr="@5C\QPendientes@">
          <a:extLst>
            <a:ext uri="{FF2B5EF4-FFF2-40B4-BE49-F238E27FC236}">
              <a16:creationId xmlns:a16="http://schemas.microsoft.com/office/drawing/2014/main" id="{61860B68-A121-4746-AD7C-7472B13831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21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</xdr:row>
      <xdr:rowOff>0</xdr:rowOff>
    </xdr:from>
    <xdr:to>
      <xdr:col>0</xdr:col>
      <xdr:colOff>171450</xdr:colOff>
      <xdr:row>456</xdr:row>
      <xdr:rowOff>133350</xdr:rowOff>
    </xdr:to>
    <xdr:pic>
      <xdr:nvPicPr>
        <xdr:cNvPr id="1222" name="Picture@5C\QPendientes@" descr="@5C\QPendientes@">
          <a:extLst>
            <a:ext uri="{FF2B5EF4-FFF2-40B4-BE49-F238E27FC236}">
              <a16:creationId xmlns:a16="http://schemas.microsoft.com/office/drawing/2014/main" id="{9895FC95-504B-43E2-9DD7-264FA79ECF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39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</xdr:row>
      <xdr:rowOff>0</xdr:rowOff>
    </xdr:from>
    <xdr:to>
      <xdr:col>0</xdr:col>
      <xdr:colOff>171450</xdr:colOff>
      <xdr:row>457</xdr:row>
      <xdr:rowOff>133350</xdr:rowOff>
    </xdr:to>
    <xdr:pic>
      <xdr:nvPicPr>
        <xdr:cNvPr id="1223" name="Picture@5C\QPendientes@" descr="@5C\QPendientes@">
          <a:extLst>
            <a:ext uri="{FF2B5EF4-FFF2-40B4-BE49-F238E27FC236}">
              <a16:creationId xmlns:a16="http://schemas.microsoft.com/office/drawing/2014/main" id="{9295F314-7521-4F1C-9D08-8CBEAB0E86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57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</xdr:row>
      <xdr:rowOff>0</xdr:rowOff>
    </xdr:from>
    <xdr:to>
      <xdr:col>0</xdr:col>
      <xdr:colOff>171450</xdr:colOff>
      <xdr:row>458</xdr:row>
      <xdr:rowOff>133350</xdr:rowOff>
    </xdr:to>
    <xdr:pic>
      <xdr:nvPicPr>
        <xdr:cNvPr id="1224" name="Picture@5C\QPendientes@" descr="@5C\QPendientes@">
          <a:extLst>
            <a:ext uri="{FF2B5EF4-FFF2-40B4-BE49-F238E27FC236}">
              <a16:creationId xmlns:a16="http://schemas.microsoft.com/office/drawing/2014/main" id="{12B9B242-7DDC-4C78-9EAC-917B0658A9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75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</xdr:row>
      <xdr:rowOff>0</xdr:rowOff>
    </xdr:from>
    <xdr:to>
      <xdr:col>0</xdr:col>
      <xdr:colOff>171450</xdr:colOff>
      <xdr:row>459</xdr:row>
      <xdr:rowOff>133350</xdr:rowOff>
    </xdr:to>
    <xdr:pic>
      <xdr:nvPicPr>
        <xdr:cNvPr id="1225" name="Picture@5C\QPendientes@" descr="@5C\QPendientes@">
          <a:extLst>
            <a:ext uri="{FF2B5EF4-FFF2-40B4-BE49-F238E27FC236}">
              <a16:creationId xmlns:a16="http://schemas.microsoft.com/office/drawing/2014/main" id="{B26FF34B-136F-415A-A891-22E7881562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94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</xdr:row>
      <xdr:rowOff>0</xdr:rowOff>
    </xdr:from>
    <xdr:to>
      <xdr:col>0</xdr:col>
      <xdr:colOff>171450</xdr:colOff>
      <xdr:row>460</xdr:row>
      <xdr:rowOff>133350</xdr:rowOff>
    </xdr:to>
    <xdr:pic>
      <xdr:nvPicPr>
        <xdr:cNvPr id="1226" name="Picture@5C\QPendientes@" descr="@5C\QPendientes@">
          <a:extLst>
            <a:ext uri="{FF2B5EF4-FFF2-40B4-BE49-F238E27FC236}">
              <a16:creationId xmlns:a16="http://schemas.microsoft.com/office/drawing/2014/main" id="{E91306CB-4D34-4AF3-AFDA-97380EC73F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12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</xdr:row>
      <xdr:rowOff>0</xdr:rowOff>
    </xdr:from>
    <xdr:to>
      <xdr:col>0</xdr:col>
      <xdr:colOff>171450</xdr:colOff>
      <xdr:row>461</xdr:row>
      <xdr:rowOff>133350</xdr:rowOff>
    </xdr:to>
    <xdr:pic>
      <xdr:nvPicPr>
        <xdr:cNvPr id="1227" name="Picture@5C\QPendientes@" descr="@5C\QPendientes@">
          <a:extLst>
            <a:ext uri="{FF2B5EF4-FFF2-40B4-BE49-F238E27FC236}">
              <a16:creationId xmlns:a16="http://schemas.microsoft.com/office/drawing/2014/main" id="{83725821-DAE4-4A1D-989D-A2596EBF06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30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</xdr:row>
      <xdr:rowOff>0</xdr:rowOff>
    </xdr:from>
    <xdr:to>
      <xdr:col>0</xdr:col>
      <xdr:colOff>171450</xdr:colOff>
      <xdr:row>462</xdr:row>
      <xdr:rowOff>133350</xdr:rowOff>
    </xdr:to>
    <xdr:pic>
      <xdr:nvPicPr>
        <xdr:cNvPr id="1228" name="Picture@5C\QPendientes@" descr="@5C\QPendientes@">
          <a:extLst>
            <a:ext uri="{FF2B5EF4-FFF2-40B4-BE49-F238E27FC236}">
              <a16:creationId xmlns:a16="http://schemas.microsoft.com/office/drawing/2014/main" id="{5A16DFDB-D8AF-44EB-B0CF-93D623F9B4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49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</xdr:row>
      <xdr:rowOff>0</xdr:rowOff>
    </xdr:from>
    <xdr:to>
      <xdr:col>0</xdr:col>
      <xdr:colOff>171450</xdr:colOff>
      <xdr:row>463</xdr:row>
      <xdr:rowOff>133350</xdr:rowOff>
    </xdr:to>
    <xdr:pic>
      <xdr:nvPicPr>
        <xdr:cNvPr id="1229" name="Picture@5C\QPendientes@" descr="@5C\QPendientes@">
          <a:extLst>
            <a:ext uri="{FF2B5EF4-FFF2-40B4-BE49-F238E27FC236}">
              <a16:creationId xmlns:a16="http://schemas.microsoft.com/office/drawing/2014/main" id="{C28C50E5-C366-41D3-9F67-3CDC1FA753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67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</xdr:row>
      <xdr:rowOff>0</xdr:rowOff>
    </xdr:from>
    <xdr:to>
      <xdr:col>0</xdr:col>
      <xdr:colOff>171450</xdr:colOff>
      <xdr:row>464</xdr:row>
      <xdr:rowOff>133350</xdr:rowOff>
    </xdr:to>
    <xdr:pic>
      <xdr:nvPicPr>
        <xdr:cNvPr id="1230" name="Picture@5C\QPendientes@" descr="@5C\QPendientes@">
          <a:extLst>
            <a:ext uri="{FF2B5EF4-FFF2-40B4-BE49-F238E27FC236}">
              <a16:creationId xmlns:a16="http://schemas.microsoft.com/office/drawing/2014/main" id="{2CBE1D66-B442-47C6-8A6F-CA8AC014EC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85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</xdr:row>
      <xdr:rowOff>0</xdr:rowOff>
    </xdr:from>
    <xdr:to>
      <xdr:col>0</xdr:col>
      <xdr:colOff>171450</xdr:colOff>
      <xdr:row>465</xdr:row>
      <xdr:rowOff>133350</xdr:rowOff>
    </xdr:to>
    <xdr:pic>
      <xdr:nvPicPr>
        <xdr:cNvPr id="1231" name="Picture@5C\QPendientes@" descr="@5C\QPendientes@">
          <a:extLst>
            <a:ext uri="{FF2B5EF4-FFF2-40B4-BE49-F238E27FC236}">
              <a16:creationId xmlns:a16="http://schemas.microsoft.com/office/drawing/2014/main" id="{0321298E-7DC2-4121-AB60-AC3EA06036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03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</xdr:row>
      <xdr:rowOff>0</xdr:rowOff>
    </xdr:from>
    <xdr:to>
      <xdr:col>0</xdr:col>
      <xdr:colOff>171450</xdr:colOff>
      <xdr:row>466</xdr:row>
      <xdr:rowOff>133350</xdr:rowOff>
    </xdr:to>
    <xdr:pic>
      <xdr:nvPicPr>
        <xdr:cNvPr id="1232" name="Picture@5C\QPendientes@" descr="@5C\QPendientes@">
          <a:extLst>
            <a:ext uri="{FF2B5EF4-FFF2-40B4-BE49-F238E27FC236}">
              <a16:creationId xmlns:a16="http://schemas.microsoft.com/office/drawing/2014/main" id="{950C5893-21F7-4C61-A3B0-EB157F223B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22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</xdr:row>
      <xdr:rowOff>0</xdr:rowOff>
    </xdr:from>
    <xdr:to>
      <xdr:col>0</xdr:col>
      <xdr:colOff>171450</xdr:colOff>
      <xdr:row>467</xdr:row>
      <xdr:rowOff>133350</xdr:rowOff>
    </xdr:to>
    <xdr:pic>
      <xdr:nvPicPr>
        <xdr:cNvPr id="1233" name="Picture@5C\QPendientes@" descr="@5C\QPendientes@">
          <a:extLst>
            <a:ext uri="{FF2B5EF4-FFF2-40B4-BE49-F238E27FC236}">
              <a16:creationId xmlns:a16="http://schemas.microsoft.com/office/drawing/2014/main" id="{6AEEAE8D-F54A-409B-BCE2-7676B96828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40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</xdr:row>
      <xdr:rowOff>0</xdr:rowOff>
    </xdr:from>
    <xdr:to>
      <xdr:col>0</xdr:col>
      <xdr:colOff>171450</xdr:colOff>
      <xdr:row>468</xdr:row>
      <xdr:rowOff>133350</xdr:rowOff>
    </xdr:to>
    <xdr:pic>
      <xdr:nvPicPr>
        <xdr:cNvPr id="1234" name="Picture@5C\QPendientes@" descr="@5C\QPendientes@">
          <a:extLst>
            <a:ext uri="{FF2B5EF4-FFF2-40B4-BE49-F238E27FC236}">
              <a16:creationId xmlns:a16="http://schemas.microsoft.com/office/drawing/2014/main" id="{A32A60DF-1E40-4914-86C0-6F681B9A76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58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</xdr:row>
      <xdr:rowOff>0</xdr:rowOff>
    </xdr:from>
    <xdr:to>
      <xdr:col>0</xdr:col>
      <xdr:colOff>171450</xdr:colOff>
      <xdr:row>469</xdr:row>
      <xdr:rowOff>133350</xdr:rowOff>
    </xdr:to>
    <xdr:pic>
      <xdr:nvPicPr>
        <xdr:cNvPr id="1235" name="Picture@5C\QPendientes@" descr="@5C\QPendientes@">
          <a:extLst>
            <a:ext uri="{FF2B5EF4-FFF2-40B4-BE49-F238E27FC236}">
              <a16:creationId xmlns:a16="http://schemas.microsoft.com/office/drawing/2014/main" id="{F80787C6-AFF8-4071-8CDB-FDB43B9966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77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</xdr:row>
      <xdr:rowOff>0</xdr:rowOff>
    </xdr:from>
    <xdr:to>
      <xdr:col>0</xdr:col>
      <xdr:colOff>171450</xdr:colOff>
      <xdr:row>470</xdr:row>
      <xdr:rowOff>133350</xdr:rowOff>
    </xdr:to>
    <xdr:pic>
      <xdr:nvPicPr>
        <xdr:cNvPr id="1236" name="Picture@5C\QPendientes@" descr="@5C\QPendientes@">
          <a:extLst>
            <a:ext uri="{FF2B5EF4-FFF2-40B4-BE49-F238E27FC236}">
              <a16:creationId xmlns:a16="http://schemas.microsoft.com/office/drawing/2014/main" id="{C1AF15F8-B4EB-4AAF-88CF-117E15E70C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95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</xdr:row>
      <xdr:rowOff>0</xdr:rowOff>
    </xdr:from>
    <xdr:to>
      <xdr:col>0</xdr:col>
      <xdr:colOff>171450</xdr:colOff>
      <xdr:row>471</xdr:row>
      <xdr:rowOff>133350</xdr:rowOff>
    </xdr:to>
    <xdr:pic>
      <xdr:nvPicPr>
        <xdr:cNvPr id="1237" name="Picture@5C\QPendientes@" descr="@5C\QPendientes@">
          <a:extLst>
            <a:ext uri="{FF2B5EF4-FFF2-40B4-BE49-F238E27FC236}">
              <a16:creationId xmlns:a16="http://schemas.microsoft.com/office/drawing/2014/main" id="{86BE1057-134C-4E33-B2D9-A6B6BC1FB1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13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</xdr:row>
      <xdr:rowOff>0</xdr:rowOff>
    </xdr:from>
    <xdr:to>
      <xdr:col>0</xdr:col>
      <xdr:colOff>171450</xdr:colOff>
      <xdr:row>472</xdr:row>
      <xdr:rowOff>133350</xdr:rowOff>
    </xdr:to>
    <xdr:pic>
      <xdr:nvPicPr>
        <xdr:cNvPr id="1238" name="Picture@5C\QPendientes@" descr="@5C\QPendientes@">
          <a:extLst>
            <a:ext uri="{FF2B5EF4-FFF2-40B4-BE49-F238E27FC236}">
              <a16:creationId xmlns:a16="http://schemas.microsoft.com/office/drawing/2014/main" id="{649DA689-14A5-4B01-8976-56B0F52AD9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31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</xdr:row>
      <xdr:rowOff>0</xdr:rowOff>
    </xdr:from>
    <xdr:to>
      <xdr:col>0</xdr:col>
      <xdr:colOff>171450</xdr:colOff>
      <xdr:row>473</xdr:row>
      <xdr:rowOff>133350</xdr:rowOff>
    </xdr:to>
    <xdr:pic>
      <xdr:nvPicPr>
        <xdr:cNvPr id="1239" name="Picture@5C\QPendientes@" descr="@5C\QPendientes@">
          <a:extLst>
            <a:ext uri="{FF2B5EF4-FFF2-40B4-BE49-F238E27FC236}">
              <a16:creationId xmlns:a16="http://schemas.microsoft.com/office/drawing/2014/main" id="{C9080588-260F-4B13-B302-BEF214D252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50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</xdr:row>
      <xdr:rowOff>0</xdr:rowOff>
    </xdr:from>
    <xdr:to>
      <xdr:col>0</xdr:col>
      <xdr:colOff>171450</xdr:colOff>
      <xdr:row>474</xdr:row>
      <xdr:rowOff>133350</xdr:rowOff>
    </xdr:to>
    <xdr:pic>
      <xdr:nvPicPr>
        <xdr:cNvPr id="1240" name="Picture@5C\QPendientes@" descr="@5C\QPendientes@">
          <a:extLst>
            <a:ext uri="{FF2B5EF4-FFF2-40B4-BE49-F238E27FC236}">
              <a16:creationId xmlns:a16="http://schemas.microsoft.com/office/drawing/2014/main" id="{94DE3FE7-EFFE-4F1F-9A8F-38AC774B5B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68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</xdr:row>
      <xdr:rowOff>0</xdr:rowOff>
    </xdr:from>
    <xdr:to>
      <xdr:col>0</xdr:col>
      <xdr:colOff>171450</xdr:colOff>
      <xdr:row>475</xdr:row>
      <xdr:rowOff>133350</xdr:rowOff>
    </xdr:to>
    <xdr:pic>
      <xdr:nvPicPr>
        <xdr:cNvPr id="1241" name="Picture@5C\QPendientes@" descr="@5C\QPendientes@">
          <a:extLst>
            <a:ext uri="{FF2B5EF4-FFF2-40B4-BE49-F238E27FC236}">
              <a16:creationId xmlns:a16="http://schemas.microsoft.com/office/drawing/2014/main" id="{567CEA2E-5EC9-46BE-9174-DDF25B47DA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86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</xdr:row>
      <xdr:rowOff>0</xdr:rowOff>
    </xdr:from>
    <xdr:to>
      <xdr:col>0</xdr:col>
      <xdr:colOff>171450</xdr:colOff>
      <xdr:row>476</xdr:row>
      <xdr:rowOff>133350</xdr:rowOff>
    </xdr:to>
    <xdr:pic>
      <xdr:nvPicPr>
        <xdr:cNvPr id="1242" name="Picture@5C\QPendientes@" descr="@5C\QPendientes@">
          <a:extLst>
            <a:ext uri="{FF2B5EF4-FFF2-40B4-BE49-F238E27FC236}">
              <a16:creationId xmlns:a16="http://schemas.microsoft.com/office/drawing/2014/main" id="{E9055F0D-F807-473A-8404-1B898114B0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05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</xdr:row>
      <xdr:rowOff>0</xdr:rowOff>
    </xdr:from>
    <xdr:to>
      <xdr:col>0</xdr:col>
      <xdr:colOff>171450</xdr:colOff>
      <xdr:row>477</xdr:row>
      <xdr:rowOff>133350</xdr:rowOff>
    </xdr:to>
    <xdr:pic>
      <xdr:nvPicPr>
        <xdr:cNvPr id="1243" name="Picture@5C\QPendientes@" descr="@5C\QPendientes@">
          <a:extLst>
            <a:ext uri="{FF2B5EF4-FFF2-40B4-BE49-F238E27FC236}">
              <a16:creationId xmlns:a16="http://schemas.microsoft.com/office/drawing/2014/main" id="{316016AC-5491-4A2C-84DD-5C9713E6B5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23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</xdr:row>
      <xdr:rowOff>0</xdr:rowOff>
    </xdr:from>
    <xdr:to>
      <xdr:col>0</xdr:col>
      <xdr:colOff>171450</xdr:colOff>
      <xdr:row>478</xdr:row>
      <xdr:rowOff>133350</xdr:rowOff>
    </xdr:to>
    <xdr:pic>
      <xdr:nvPicPr>
        <xdr:cNvPr id="1244" name="Picture@5C\QPendientes@" descr="@5C\QPendientes@">
          <a:extLst>
            <a:ext uri="{FF2B5EF4-FFF2-40B4-BE49-F238E27FC236}">
              <a16:creationId xmlns:a16="http://schemas.microsoft.com/office/drawing/2014/main" id="{E562DE09-3020-4441-9319-0D9C11B31E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41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</xdr:row>
      <xdr:rowOff>0</xdr:rowOff>
    </xdr:from>
    <xdr:to>
      <xdr:col>0</xdr:col>
      <xdr:colOff>171450</xdr:colOff>
      <xdr:row>479</xdr:row>
      <xdr:rowOff>133350</xdr:rowOff>
    </xdr:to>
    <xdr:pic>
      <xdr:nvPicPr>
        <xdr:cNvPr id="1245" name="Picture@5C\QPendientes@" descr="@5C\QPendientes@">
          <a:extLst>
            <a:ext uri="{FF2B5EF4-FFF2-40B4-BE49-F238E27FC236}">
              <a16:creationId xmlns:a16="http://schemas.microsoft.com/office/drawing/2014/main" id="{76ED7263-47A7-4303-9A5D-002C125A44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59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</xdr:row>
      <xdr:rowOff>0</xdr:rowOff>
    </xdr:from>
    <xdr:to>
      <xdr:col>0</xdr:col>
      <xdr:colOff>171450</xdr:colOff>
      <xdr:row>480</xdr:row>
      <xdr:rowOff>133350</xdr:rowOff>
    </xdr:to>
    <xdr:pic>
      <xdr:nvPicPr>
        <xdr:cNvPr id="1246" name="Picture@5C\QPendientes@" descr="@5C\QPendientes@">
          <a:extLst>
            <a:ext uri="{FF2B5EF4-FFF2-40B4-BE49-F238E27FC236}">
              <a16:creationId xmlns:a16="http://schemas.microsoft.com/office/drawing/2014/main" id="{A12C2823-3D17-4D6F-BC8C-BF62E79A4B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78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</xdr:row>
      <xdr:rowOff>0</xdr:rowOff>
    </xdr:from>
    <xdr:to>
      <xdr:col>0</xdr:col>
      <xdr:colOff>171450</xdr:colOff>
      <xdr:row>481</xdr:row>
      <xdr:rowOff>133350</xdr:rowOff>
    </xdr:to>
    <xdr:pic>
      <xdr:nvPicPr>
        <xdr:cNvPr id="1247" name="Picture@5C\QPendientes@" descr="@5C\QPendientes@">
          <a:extLst>
            <a:ext uri="{FF2B5EF4-FFF2-40B4-BE49-F238E27FC236}">
              <a16:creationId xmlns:a16="http://schemas.microsoft.com/office/drawing/2014/main" id="{ECAE46C8-EDB2-487B-A945-72A92E12ED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96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</xdr:row>
      <xdr:rowOff>0</xdr:rowOff>
    </xdr:from>
    <xdr:to>
      <xdr:col>0</xdr:col>
      <xdr:colOff>171450</xdr:colOff>
      <xdr:row>482</xdr:row>
      <xdr:rowOff>133350</xdr:rowOff>
    </xdr:to>
    <xdr:pic>
      <xdr:nvPicPr>
        <xdr:cNvPr id="1248" name="Picture@5C\QPendientes@" descr="@5C\QPendientes@">
          <a:extLst>
            <a:ext uri="{FF2B5EF4-FFF2-40B4-BE49-F238E27FC236}">
              <a16:creationId xmlns:a16="http://schemas.microsoft.com/office/drawing/2014/main" id="{55B36FE0-B954-4E5B-994F-46CF65B6F1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14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</xdr:row>
      <xdr:rowOff>0</xdr:rowOff>
    </xdr:from>
    <xdr:to>
      <xdr:col>0</xdr:col>
      <xdr:colOff>171450</xdr:colOff>
      <xdr:row>483</xdr:row>
      <xdr:rowOff>133350</xdr:rowOff>
    </xdr:to>
    <xdr:pic>
      <xdr:nvPicPr>
        <xdr:cNvPr id="1249" name="Picture@5C\QPendientes@" descr="@5C\QPendientes@">
          <a:extLst>
            <a:ext uri="{FF2B5EF4-FFF2-40B4-BE49-F238E27FC236}">
              <a16:creationId xmlns:a16="http://schemas.microsoft.com/office/drawing/2014/main" id="{4511C041-D675-427F-970E-87BB3A0A5F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33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</xdr:row>
      <xdr:rowOff>0</xdr:rowOff>
    </xdr:from>
    <xdr:to>
      <xdr:col>0</xdr:col>
      <xdr:colOff>171450</xdr:colOff>
      <xdr:row>484</xdr:row>
      <xdr:rowOff>133350</xdr:rowOff>
    </xdr:to>
    <xdr:pic>
      <xdr:nvPicPr>
        <xdr:cNvPr id="1250" name="Picture@5C\QPendientes@" descr="@5C\QPendientes@">
          <a:extLst>
            <a:ext uri="{FF2B5EF4-FFF2-40B4-BE49-F238E27FC236}">
              <a16:creationId xmlns:a16="http://schemas.microsoft.com/office/drawing/2014/main" id="{E4561F73-87EB-4D87-827C-595F752262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51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</xdr:row>
      <xdr:rowOff>0</xdr:rowOff>
    </xdr:from>
    <xdr:to>
      <xdr:col>0</xdr:col>
      <xdr:colOff>171450</xdr:colOff>
      <xdr:row>485</xdr:row>
      <xdr:rowOff>133350</xdr:rowOff>
    </xdr:to>
    <xdr:pic>
      <xdr:nvPicPr>
        <xdr:cNvPr id="1251" name="Picture@5C\QPendientes@" descr="@5C\QPendientes@">
          <a:extLst>
            <a:ext uri="{FF2B5EF4-FFF2-40B4-BE49-F238E27FC236}">
              <a16:creationId xmlns:a16="http://schemas.microsoft.com/office/drawing/2014/main" id="{070227C0-1F38-4C57-A48D-3319119476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69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</xdr:row>
      <xdr:rowOff>0</xdr:rowOff>
    </xdr:from>
    <xdr:to>
      <xdr:col>0</xdr:col>
      <xdr:colOff>171450</xdr:colOff>
      <xdr:row>486</xdr:row>
      <xdr:rowOff>133350</xdr:rowOff>
    </xdr:to>
    <xdr:pic>
      <xdr:nvPicPr>
        <xdr:cNvPr id="1252" name="Picture@5C\QPendientes@" descr="@5C\QPendientes@">
          <a:extLst>
            <a:ext uri="{FF2B5EF4-FFF2-40B4-BE49-F238E27FC236}">
              <a16:creationId xmlns:a16="http://schemas.microsoft.com/office/drawing/2014/main" id="{81E5BCF4-023A-4F35-BA8F-6E80CBF774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87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</xdr:row>
      <xdr:rowOff>0</xdr:rowOff>
    </xdr:from>
    <xdr:to>
      <xdr:col>0</xdr:col>
      <xdr:colOff>171450</xdr:colOff>
      <xdr:row>487</xdr:row>
      <xdr:rowOff>133350</xdr:rowOff>
    </xdr:to>
    <xdr:pic>
      <xdr:nvPicPr>
        <xdr:cNvPr id="1253" name="Picture@5C\QPendientes@" descr="@5C\QPendientes@">
          <a:extLst>
            <a:ext uri="{FF2B5EF4-FFF2-40B4-BE49-F238E27FC236}">
              <a16:creationId xmlns:a16="http://schemas.microsoft.com/office/drawing/2014/main" id="{73F022AC-C688-4FA9-A337-389719B393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06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</xdr:row>
      <xdr:rowOff>0</xdr:rowOff>
    </xdr:from>
    <xdr:to>
      <xdr:col>0</xdr:col>
      <xdr:colOff>171450</xdr:colOff>
      <xdr:row>488</xdr:row>
      <xdr:rowOff>133350</xdr:rowOff>
    </xdr:to>
    <xdr:pic>
      <xdr:nvPicPr>
        <xdr:cNvPr id="1254" name="Picture@5C\QPendientes@" descr="@5C\QPendientes@">
          <a:extLst>
            <a:ext uri="{FF2B5EF4-FFF2-40B4-BE49-F238E27FC236}">
              <a16:creationId xmlns:a16="http://schemas.microsoft.com/office/drawing/2014/main" id="{0A331C28-FF5D-4EF8-B5C2-5547B2A278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24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</xdr:row>
      <xdr:rowOff>0</xdr:rowOff>
    </xdr:from>
    <xdr:to>
      <xdr:col>0</xdr:col>
      <xdr:colOff>171450</xdr:colOff>
      <xdr:row>489</xdr:row>
      <xdr:rowOff>133350</xdr:rowOff>
    </xdr:to>
    <xdr:pic>
      <xdr:nvPicPr>
        <xdr:cNvPr id="1255" name="Picture@5C\QPendientes@" descr="@5C\QPendientes@">
          <a:extLst>
            <a:ext uri="{FF2B5EF4-FFF2-40B4-BE49-F238E27FC236}">
              <a16:creationId xmlns:a16="http://schemas.microsoft.com/office/drawing/2014/main" id="{8170076E-48F6-462B-95CA-DFB8CDBCCD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42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</xdr:row>
      <xdr:rowOff>0</xdr:rowOff>
    </xdr:from>
    <xdr:to>
      <xdr:col>0</xdr:col>
      <xdr:colOff>171450</xdr:colOff>
      <xdr:row>490</xdr:row>
      <xdr:rowOff>133350</xdr:rowOff>
    </xdr:to>
    <xdr:pic>
      <xdr:nvPicPr>
        <xdr:cNvPr id="1256" name="Picture@5C\QPendientes@" descr="@5C\QPendientes@">
          <a:extLst>
            <a:ext uri="{FF2B5EF4-FFF2-40B4-BE49-F238E27FC236}">
              <a16:creationId xmlns:a16="http://schemas.microsoft.com/office/drawing/2014/main" id="{758D509E-6230-46AD-B4A4-6B935F82D4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61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</xdr:row>
      <xdr:rowOff>0</xdr:rowOff>
    </xdr:from>
    <xdr:to>
      <xdr:col>0</xdr:col>
      <xdr:colOff>171450</xdr:colOff>
      <xdr:row>491</xdr:row>
      <xdr:rowOff>133350</xdr:rowOff>
    </xdr:to>
    <xdr:pic>
      <xdr:nvPicPr>
        <xdr:cNvPr id="1257" name="Picture@5C\QPendientes@" descr="@5C\QPendientes@">
          <a:extLst>
            <a:ext uri="{FF2B5EF4-FFF2-40B4-BE49-F238E27FC236}">
              <a16:creationId xmlns:a16="http://schemas.microsoft.com/office/drawing/2014/main" id="{E643D77A-23F8-4913-BD47-2970FBB8E6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79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</xdr:row>
      <xdr:rowOff>0</xdr:rowOff>
    </xdr:from>
    <xdr:to>
      <xdr:col>0</xdr:col>
      <xdr:colOff>171450</xdr:colOff>
      <xdr:row>492</xdr:row>
      <xdr:rowOff>133350</xdr:rowOff>
    </xdr:to>
    <xdr:pic>
      <xdr:nvPicPr>
        <xdr:cNvPr id="1258" name="Picture@5C\QPendientes@" descr="@5C\QPendientes@">
          <a:extLst>
            <a:ext uri="{FF2B5EF4-FFF2-40B4-BE49-F238E27FC236}">
              <a16:creationId xmlns:a16="http://schemas.microsoft.com/office/drawing/2014/main" id="{3DA979B0-8E14-435A-821A-D02114524E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97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</xdr:row>
      <xdr:rowOff>0</xdr:rowOff>
    </xdr:from>
    <xdr:to>
      <xdr:col>0</xdr:col>
      <xdr:colOff>171450</xdr:colOff>
      <xdr:row>493</xdr:row>
      <xdr:rowOff>133350</xdr:rowOff>
    </xdr:to>
    <xdr:pic>
      <xdr:nvPicPr>
        <xdr:cNvPr id="1259" name="Picture@5C\QPendientes@" descr="@5C\QPendientes@">
          <a:extLst>
            <a:ext uri="{FF2B5EF4-FFF2-40B4-BE49-F238E27FC236}">
              <a16:creationId xmlns:a16="http://schemas.microsoft.com/office/drawing/2014/main" id="{6566373C-EC1C-48D3-AE42-9F5BA09F82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15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</xdr:row>
      <xdr:rowOff>0</xdr:rowOff>
    </xdr:from>
    <xdr:to>
      <xdr:col>0</xdr:col>
      <xdr:colOff>171450</xdr:colOff>
      <xdr:row>494</xdr:row>
      <xdr:rowOff>133350</xdr:rowOff>
    </xdr:to>
    <xdr:pic>
      <xdr:nvPicPr>
        <xdr:cNvPr id="1260" name="Picture@5C\QPendientes@" descr="@5C\QPendientes@">
          <a:extLst>
            <a:ext uri="{FF2B5EF4-FFF2-40B4-BE49-F238E27FC236}">
              <a16:creationId xmlns:a16="http://schemas.microsoft.com/office/drawing/2014/main" id="{2CA7EA00-A752-4B63-885E-0E2CB740C7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34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</xdr:row>
      <xdr:rowOff>0</xdr:rowOff>
    </xdr:from>
    <xdr:to>
      <xdr:col>0</xdr:col>
      <xdr:colOff>171450</xdr:colOff>
      <xdr:row>495</xdr:row>
      <xdr:rowOff>133350</xdr:rowOff>
    </xdr:to>
    <xdr:pic>
      <xdr:nvPicPr>
        <xdr:cNvPr id="1261" name="Picture@5C\QPendientes@" descr="@5C\QPendientes@">
          <a:extLst>
            <a:ext uri="{FF2B5EF4-FFF2-40B4-BE49-F238E27FC236}">
              <a16:creationId xmlns:a16="http://schemas.microsoft.com/office/drawing/2014/main" id="{98D20B1D-8555-43D2-A5C5-E429442F1E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52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</xdr:row>
      <xdr:rowOff>0</xdr:rowOff>
    </xdr:from>
    <xdr:to>
      <xdr:col>0</xdr:col>
      <xdr:colOff>171450</xdr:colOff>
      <xdr:row>496</xdr:row>
      <xdr:rowOff>133350</xdr:rowOff>
    </xdr:to>
    <xdr:pic>
      <xdr:nvPicPr>
        <xdr:cNvPr id="1262" name="Picture@5C\QPendientes@" descr="@5C\QPendientes@">
          <a:extLst>
            <a:ext uri="{FF2B5EF4-FFF2-40B4-BE49-F238E27FC236}">
              <a16:creationId xmlns:a16="http://schemas.microsoft.com/office/drawing/2014/main" id="{7D237EE5-9703-4131-855A-8C801B02CC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70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</xdr:row>
      <xdr:rowOff>0</xdr:rowOff>
    </xdr:from>
    <xdr:to>
      <xdr:col>0</xdr:col>
      <xdr:colOff>171450</xdr:colOff>
      <xdr:row>497</xdr:row>
      <xdr:rowOff>133350</xdr:rowOff>
    </xdr:to>
    <xdr:pic>
      <xdr:nvPicPr>
        <xdr:cNvPr id="1263" name="Picture@5C\QPendientes@" descr="@5C\QPendientes@">
          <a:extLst>
            <a:ext uri="{FF2B5EF4-FFF2-40B4-BE49-F238E27FC236}">
              <a16:creationId xmlns:a16="http://schemas.microsoft.com/office/drawing/2014/main" id="{D7699936-DA7A-48F1-8AA0-1ACCFA6EF4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89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</xdr:row>
      <xdr:rowOff>0</xdr:rowOff>
    </xdr:from>
    <xdr:to>
      <xdr:col>0</xdr:col>
      <xdr:colOff>171450</xdr:colOff>
      <xdr:row>498</xdr:row>
      <xdr:rowOff>133350</xdr:rowOff>
    </xdr:to>
    <xdr:pic>
      <xdr:nvPicPr>
        <xdr:cNvPr id="1264" name="Picture@5C\QPendientes@" descr="@5C\QPendientes@">
          <a:extLst>
            <a:ext uri="{FF2B5EF4-FFF2-40B4-BE49-F238E27FC236}">
              <a16:creationId xmlns:a16="http://schemas.microsoft.com/office/drawing/2014/main" id="{9AA0617D-8CA4-43B6-AD95-76E836A87F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07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</xdr:row>
      <xdr:rowOff>0</xdr:rowOff>
    </xdr:from>
    <xdr:to>
      <xdr:col>0</xdr:col>
      <xdr:colOff>171450</xdr:colOff>
      <xdr:row>499</xdr:row>
      <xdr:rowOff>133350</xdr:rowOff>
    </xdr:to>
    <xdr:pic>
      <xdr:nvPicPr>
        <xdr:cNvPr id="1265" name="Picture@5C\QPendientes@" descr="@5C\QPendientes@">
          <a:extLst>
            <a:ext uri="{FF2B5EF4-FFF2-40B4-BE49-F238E27FC236}">
              <a16:creationId xmlns:a16="http://schemas.microsoft.com/office/drawing/2014/main" id="{B4F28A0F-DC57-4836-9C72-EB498AC80E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25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</xdr:row>
      <xdr:rowOff>0</xdr:rowOff>
    </xdr:from>
    <xdr:to>
      <xdr:col>0</xdr:col>
      <xdr:colOff>171450</xdr:colOff>
      <xdr:row>500</xdr:row>
      <xdr:rowOff>133350</xdr:rowOff>
    </xdr:to>
    <xdr:pic>
      <xdr:nvPicPr>
        <xdr:cNvPr id="1266" name="Picture@5C\QPendientes@" descr="@5C\QPendientes@">
          <a:extLst>
            <a:ext uri="{FF2B5EF4-FFF2-40B4-BE49-F238E27FC236}">
              <a16:creationId xmlns:a16="http://schemas.microsoft.com/office/drawing/2014/main" id="{C34F03BE-C288-4D04-8960-C384B46F4B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</xdr:row>
      <xdr:rowOff>0</xdr:rowOff>
    </xdr:from>
    <xdr:to>
      <xdr:col>0</xdr:col>
      <xdr:colOff>171450</xdr:colOff>
      <xdr:row>501</xdr:row>
      <xdr:rowOff>133350</xdr:rowOff>
    </xdr:to>
    <xdr:pic>
      <xdr:nvPicPr>
        <xdr:cNvPr id="1267" name="Picture@5C\QPendientes@" descr="@5C\QPendientes@">
          <a:extLst>
            <a:ext uri="{FF2B5EF4-FFF2-40B4-BE49-F238E27FC236}">
              <a16:creationId xmlns:a16="http://schemas.microsoft.com/office/drawing/2014/main" id="{35C06C8B-AF18-4ED0-950E-E7760DCD32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62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502</xdr:row>
      <xdr:rowOff>0</xdr:rowOff>
    </xdr:from>
    <xdr:to>
      <xdr:col>0</xdr:col>
      <xdr:colOff>171450</xdr:colOff>
      <xdr:row>502</xdr:row>
      <xdr:rowOff>133350</xdr:rowOff>
    </xdr:to>
    <xdr:pic>
      <xdr:nvPicPr>
        <xdr:cNvPr id="1268" name="Picture@5C\QPendientes@" descr="@5C\QPendientes@">
          <a:extLst>
            <a:ext uri="{FF2B5EF4-FFF2-40B4-BE49-F238E27FC236}">
              <a16:creationId xmlns:a16="http://schemas.microsoft.com/office/drawing/2014/main" id="{A1CC6194-FC3A-452C-A38C-4215874504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80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503</xdr:row>
      <xdr:rowOff>0</xdr:rowOff>
    </xdr:from>
    <xdr:to>
      <xdr:col>0</xdr:col>
      <xdr:colOff>171450</xdr:colOff>
      <xdr:row>503</xdr:row>
      <xdr:rowOff>133350</xdr:rowOff>
    </xdr:to>
    <xdr:pic>
      <xdr:nvPicPr>
        <xdr:cNvPr id="1269" name="Picture@5C\QPendientes@" descr="@5C\QPendientes@">
          <a:extLst>
            <a:ext uri="{FF2B5EF4-FFF2-40B4-BE49-F238E27FC236}">
              <a16:creationId xmlns:a16="http://schemas.microsoft.com/office/drawing/2014/main" id="{DF6335E9-F9C1-44B9-AF26-B00C47421D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98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504</xdr:row>
      <xdr:rowOff>0</xdr:rowOff>
    </xdr:from>
    <xdr:to>
      <xdr:col>0</xdr:col>
      <xdr:colOff>171450</xdr:colOff>
      <xdr:row>504</xdr:row>
      <xdr:rowOff>133350</xdr:rowOff>
    </xdr:to>
    <xdr:pic>
      <xdr:nvPicPr>
        <xdr:cNvPr id="1270" name="Picture@5C\QPendientes@" descr="@5C\QPendientes@">
          <a:extLst>
            <a:ext uri="{FF2B5EF4-FFF2-40B4-BE49-F238E27FC236}">
              <a16:creationId xmlns:a16="http://schemas.microsoft.com/office/drawing/2014/main" id="{0C42F996-CCF8-4EE1-B6A7-7B2587EB77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17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505</xdr:row>
      <xdr:rowOff>0</xdr:rowOff>
    </xdr:from>
    <xdr:to>
      <xdr:col>0</xdr:col>
      <xdr:colOff>171450</xdr:colOff>
      <xdr:row>505</xdr:row>
      <xdr:rowOff>133350</xdr:rowOff>
    </xdr:to>
    <xdr:pic>
      <xdr:nvPicPr>
        <xdr:cNvPr id="1271" name="Picture@5C\QPendientes@" descr="@5C\QPendientes@">
          <a:extLst>
            <a:ext uri="{FF2B5EF4-FFF2-40B4-BE49-F238E27FC236}">
              <a16:creationId xmlns:a16="http://schemas.microsoft.com/office/drawing/2014/main" id="{76924A22-1B5E-42F0-B679-870AAEF885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35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506</xdr:row>
      <xdr:rowOff>0</xdr:rowOff>
    </xdr:from>
    <xdr:to>
      <xdr:col>0</xdr:col>
      <xdr:colOff>171450</xdr:colOff>
      <xdr:row>506</xdr:row>
      <xdr:rowOff>133350</xdr:rowOff>
    </xdr:to>
    <xdr:pic>
      <xdr:nvPicPr>
        <xdr:cNvPr id="1272" name="Picture@5C\QPendientes@" descr="@5C\QPendientes@">
          <a:extLst>
            <a:ext uri="{FF2B5EF4-FFF2-40B4-BE49-F238E27FC236}">
              <a16:creationId xmlns:a16="http://schemas.microsoft.com/office/drawing/2014/main" id="{F15169D1-03A3-4B85-B0A6-FDDEA52F28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53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507</xdr:row>
      <xdr:rowOff>0</xdr:rowOff>
    </xdr:from>
    <xdr:to>
      <xdr:col>0</xdr:col>
      <xdr:colOff>171450</xdr:colOff>
      <xdr:row>507</xdr:row>
      <xdr:rowOff>133350</xdr:rowOff>
    </xdr:to>
    <xdr:pic>
      <xdr:nvPicPr>
        <xdr:cNvPr id="1273" name="Picture@5C\QPendientes@" descr="@5C\QPendientes@">
          <a:extLst>
            <a:ext uri="{FF2B5EF4-FFF2-40B4-BE49-F238E27FC236}">
              <a16:creationId xmlns:a16="http://schemas.microsoft.com/office/drawing/2014/main" id="{53C2B3C2-CD36-4894-B68A-4B09713EEF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72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508</xdr:row>
      <xdr:rowOff>0</xdr:rowOff>
    </xdr:from>
    <xdr:to>
      <xdr:col>0</xdr:col>
      <xdr:colOff>171450</xdr:colOff>
      <xdr:row>508</xdr:row>
      <xdr:rowOff>133350</xdr:rowOff>
    </xdr:to>
    <xdr:pic>
      <xdr:nvPicPr>
        <xdr:cNvPr id="1274" name="Picture@5C\QPendientes@" descr="@5C\QPendientes@">
          <a:extLst>
            <a:ext uri="{FF2B5EF4-FFF2-40B4-BE49-F238E27FC236}">
              <a16:creationId xmlns:a16="http://schemas.microsoft.com/office/drawing/2014/main" id="{6F0386FE-DA21-41F1-B2AC-E7836FD1DF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90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509</xdr:row>
      <xdr:rowOff>0</xdr:rowOff>
    </xdr:from>
    <xdr:to>
      <xdr:col>0</xdr:col>
      <xdr:colOff>171450</xdr:colOff>
      <xdr:row>509</xdr:row>
      <xdr:rowOff>133350</xdr:rowOff>
    </xdr:to>
    <xdr:pic>
      <xdr:nvPicPr>
        <xdr:cNvPr id="1275" name="Picture@5C\QPendientes@" descr="@5C\QPendientes@">
          <a:extLst>
            <a:ext uri="{FF2B5EF4-FFF2-40B4-BE49-F238E27FC236}">
              <a16:creationId xmlns:a16="http://schemas.microsoft.com/office/drawing/2014/main" id="{7A455BB9-693E-43FD-885F-A5E21976FD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08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510</xdr:row>
      <xdr:rowOff>0</xdr:rowOff>
    </xdr:from>
    <xdr:to>
      <xdr:col>0</xdr:col>
      <xdr:colOff>171450</xdr:colOff>
      <xdr:row>510</xdr:row>
      <xdr:rowOff>133350</xdr:rowOff>
    </xdr:to>
    <xdr:pic>
      <xdr:nvPicPr>
        <xdr:cNvPr id="1276" name="Picture@5C\QPendientes@" descr="@5C\QPendientes@">
          <a:extLst>
            <a:ext uri="{FF2B5EF4-FFF2-40B4-BE49-F238E27FC236}">
              <a16:creationId xmlns:a16="http://schemas.microsoft.com/office/drawing/2014/main" id="{5DC5D40F-04D6-4A53-9BDC-B7FBB62BCB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26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511</xdr:row>
      <xdr:rowOff>0</xdr:rowOff>
    </xdr:from>
    <xdr:to>
      <xdr:col>0</xdr:col>
      <xdr:colOff>171450</xdr:colOff>
      <xdr:row>511</xdr:row>
      <xdr:rowOff>133350</xdr:rowOff>
    </xdr:to>
    <xdr:pic>
      <xdr:nvPicPr>
        <xdr:cNvPr id="1277" name="Picture@5C\QPendientes@" descr="@5C\QPendientes@">
          <a:extLst>
            <a:ext uri="{FF2B5EF4-FFF2-40B4-BE49-F238E27FC236}">
              <a16:creationId xmlns:a16="http://schemas.microsoft.com/office/drawing/2014/main" id="{E3CCD9F7-9092-42E8-9796-9E09DE8533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45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512</xdr:row>
      <xdr:rowOff>0</xdr:rowOff>
    </xdr:from>
    <xdr:to>
      <xdr:col>0</xdr:col>
      <xdr:colOff>171450</xdr:colOff>
      <xdr:row>512</xdr:row>
      <xdr:rowOff>133350</xdr:rowOff>
    </xdr:to>
    <xdr:pic>
      <xdr:nvPicPr>
        <xdr:cNvPr id="1278" name="Picture@5C\QPendientes@" descr="@5C\QPendientes@">
          <a:extLst>
            <a:ext uri="{FF2B5EF4-FFF2-40B4-BE49-F238E27FC236}">
              <a16:creationId xmlns:a16="http://schemas.microsoft.com/office/drawing/2014/main" id="{C60F1B42-44A6-4858-B843-1EBF2DE1B5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63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513</xdr:row>
      <xdr:rowOff>0</xdr:rowOff>
    </xdr:from>
    <xdr:to>
      <xdr:col>0</xdr:col>
      <xdr:colOff>171450</xdr:colOff>
      <xdr:row>513</xdr:row>
      <xdr:rowOff>133350</xdr:rowOff>
    </xdr:to>
    <xdr:pic>
      <xdr:nvPicPr>
        <xdr:cNvPr id="1279" name="Picture@5C\QPendientes@" descr="@5C\QPendientes@">
          <a:extLst>
            <a:ext uri="{FF2B5EF4-FFF2-40B4-BE49-F238E27FC236}">
              <a16:creationId xmlns:a16="http://schemas.microsoft.com/office/drawing/2014/main" id="{331F0A42-AA83-4DF2-83EF-7CB1589EA1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81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514</xdr:row>
      <xdr:rowOff>0</xdr:rowOff>
    </xdr:from>
    <xdr:to>
      <xdr:col>0</xdr:col>
      <xdr:colOff>171450</xdr:colOff>
      <xdr:row>514</xdr:row>
      <xdr:rowOff>133350</xdr:rowOff>
    </xdr:to>
    <xdr:pic>
      <xdr:nvPicPr>
        <xdr:cNvPr id="1280" name="Picture@5C\QPendientes@" descr="@5C\QPendientes@">
          <a:extLst>
            <a:ext uri="{FF2B5EF4-FFF2-40B4-BE49-F238E27FC236}">
              <a16:creationId xmlns:a16="http://schemas.microsoft.com/office/drawing/2014/main" id="{DCF4F0C3-853B-4FCF-B768-BE2F1907C1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00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515</xdr:row>
      <xdr:rowOff>0</xdr:rowOff>
    </xdr:from>
    <xdr:to>
      <xdr:col>0</xdr:col>
      <xdr:colOff>171450</xdr:colOff>
      <xdr:row>515</xdr:row>
      <xdr:rowOff>133350</xdr:rowOff>
    </xdr:to>
    <xdr:pic>
      <xdr:nvPicPr>
        <xdr:cNvPr id="1281" name="Picture@5C\QPendientes@" descr="@5C\QPendientes@">
          <a:extLst>
            <a:ext uri="{FF2B5EF4-FFF2-40B4-BE49-F238E27FC236}">
              <a16:creationId xmlns:a16="http://schemas.microsoft.com/office/drawing/2014/main" id="{577B9892-E879-4FB0-82B3-7B99DB60D0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18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516</xdr:row>
      <xdr:rowOff>0</xdr:rowOff>
    </xdr:from>
    <xdr:to>
      <xdr:col>0</xdr:col>
      <xdr:colOff>171450</xdr:colOff>
      <xdr:row>516</xdr:row>
      <xdr:rowOff>133350</xdr:rowOff>
    </xdr:to>
    <xdr:pic>
      <xdr:nvPicPr>
        <xdr:cNvPr id="1282" name="Picture@5C\QPendientes@" descr="@5C\QPendientes@">
          <a:extLst>
            <a:ext uri="{FF2B5EF4-FFF2-40B4-BE49-F238E27FC236}">
              <a16:creationId xmlns:a16="http://schemas.microsoft.com/office/drawing/2014/main" id="{E3E2B4CD-D19A-4A1F-889C-7CFE93E2E4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36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517</xdr:row>
      <xdr:rowOff>0</xdr:rowOff>
    </xdr:from>
    <xdr:to>
      <xdr:col>0</xdr:col>
      <xdr:colOff>171450</xdr:colOff>
      <xdr:row>517</xdr:row>
      <xdr:rowOff>133350</xdr:rowOff>
    </xdr:to>
    <xdr:pic>
      <xdr:nvPicPr>
        <xdr:cNvPr id="1283" name="Picture@5C\QPendientes@" descr="@5C\QPendientes@">
          <a:extLst>
            <a:ext uri="{FF2B5EF4-FFF2-40B4-BE49-F238E27FC236}">
              <a16:creationId xmlns:a16="http://schemas.microsoft.com/office/drawing/2014/main" id="{9B822190-453F-4A07-98D1-0598ED4AF4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54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518</xdr:row>
      <xdr:rowOff>0</xdr:rowOff>
    </xdr:from>
    <xdr:to>
      <xdr:col>0</xdr:col>
      <xdr:colOff>171450</xdr:colOff>
      <xdr:row>518</xdr:row>
      <xdr:rowOff>133350</xdr:rowOff>
    </xdr:to>
    <xdr:pic>
      <xdr:nvPicPr>
        <xdr:cNvPr id="1284" name="Picture@5C\QPendientes@" descr="@5C\QPendientes@">
          <a:extLst>
            <a:ext uri="{FF2B5EF4-FFF2-40B4-BE49-F238E27FC236}">
              <a16:creationId xmlns:a16="http://schemas.microsoft.com/office/drawing/2014/main" id="{7DDF8752-2B4C-4231-8B06-5871E41129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73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519</xdr:row>
      <xdr:rowOff>0</xdr:rowOff>
    </xdr:from>
    <xdr:to>
      <xdr:col>0</xdr:col>
      <xdr:colOff>171450</xdr:colOff>
      <xdr:row>519</xdr:row>
      <xdr:rowOff>133350</xdr:rowOff>
    </xdr:to>
    <xdr:pic>
      <xdr:nvPicPr>
        <xdr:cNvPr id="1285" name="Picture@5C\QPendientes@" descr="@5C\QPendientes@">
          <a:extLst>
            <a:ext uri="{FF2B5EF4-FFF2-40B4-BE49-F238E27FC236}">
              <a16:creationId xmlns:a16="http://schemas.microsoft.com/office/drawing/2014/main" id="{17D77F09-59F8-49E6-8C0F-F8C02D1A31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91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520</xdr:row>
      <xdr:rowOff>0</xdr:rowOff>
    </xdr:from>
    <xdr:to>
      <xdr:col>0</xdr:col>
      <xdr:colOff>171450</xdr:colOff>
      <xdr:row>520</xdr:row>
      <xdr:rowOff>133350</xdr:rowOff>
    </xdr:to>
    <xdr:pic>
      <xdr:nvPicPr>
        <xdr:cNvPr id="1286" name="Picture@5C\QPendientes@" descr="@5C\QPendientes@">
          <a:extLst>
            <a:ext uri="{FF2B5EF4-FFF2-40B4-BE49-F238E27FC236}">
              <a16:creationId xmlns:a16="http://schemas.microsoft.com/office/drawing/2014/main" id="{765174E1-5345-41C7-A569-363773D1CC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09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521</xdr:row>
      <xdr:rowOff>0</xdr:rowOff>
    </xdr:from>
    <xdr:to>
      <xdr:col>0</xdr:col>
      <xdr:colOff>171450</xdr:colOff>
      <xdr:row>521</xdr:row>
      <xdr:rowOff>133350</xdr:rowOff>
    </xdr:to>
    <xdr:pic>
      <xdr:nvPicPr>
        <xdr:cNvPr id="1287" name="Picture@5C\QPendientes@" descr="@5C\QPendientes@">
          <a:extLst>
            <a:ext uri="{FF2B5EF4-FFF2-40B4-BE49-F238E27FC236}">
              <a16:creationId xmlns:a16="http://schemas.microsoft.com/office/drawing/2014/main" id="{940EB9C4-C4E8-40E1-AC3A-1EBF00CA2C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28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522</xdr:row>
      <xdr:rowOff>0</xdr:rowOff>
    </xdr:from>
    <xdr:to>
      <xdr:col>0</xdr:col>
      <xdr:colOff>171450</xdr:colOff>
      <xdr:row>522</xdr:row>
      <xdr:rowOff>133350</xdr:rowOff>
    </xdr:to>
    <xdr:pic>
      <xdr:nvPicPr>
        <xdr:cNvPr id="1288" name="Picture@5C\QPendientes@" descr="@5C\QPendientes@">
          <a:extLst>
            <a:ext uri="{FF2B5EF4-FFF2-40B4-BE49-F238E27FC236}">
              <a16:creationId xmlns:a16="http://schemas.microsoft.com/office/drawing/2014/main" id="{3E65B330-7909-4FA1-BE0D-770D28A5A6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46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523</xdr:row>
      <xdr:rowOff>0</xdr:rowOff>
    </xdr:from>
    <xdr:to>
      <xdr:col>0</xdr:col>
      <xdr:colOff>171450</xdr:colOff>
      <xdr:row>523</xdr:row>
      <xdr:rowOff>133350</xdr:rowOff>
    </xdr:to>
    <xdr:pic>
      <xdr:nvPicPr>
        <xdr:cNvPr id="1289" name="Picture@5C\QPendientes@" descr="@5C\QPendientes@">
          <a:extLst>
            <a:ext uri="{FF2B5EF4-FFF2-40B4-BE49-F238E27FC236}">
              <a16:creationId xmlns:a16="http://schemas.microsoft.com/office/drawing/2014/main" id="{2FFD5C7C-68AA-4188-B275-AFB797DE91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64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524</xdr:row>
      <xdr:rowOff>0</xdr:rowOff>
    </xdr:from>
    <xdr:to>
      <xdr:col>0</xdr:col>
      <xdr:colOff>171450</xdr:colOff>
      <xdr:row>524</xdr:row>
      <xdr:rowOff>133350</xdr:rowOff>
    </xdr:to>
    <xdr:pic>
      <xdr:nvPicPr>
        <xdr:cNvPr id="1290" name="Picture@5C\QPendientes@" descr="@5C\QPendientes@">
          <a:extLst>
            <a:ext uri="{FF2B5EF4-FFF2-40B4-BE49-F238E27FC236}">
              <a16:creationId xmlns:a16="http://schemas.microsoft.com/office/drawing/2014/main" id="{8511BB5B-289A-4333-A7F2-5E1927D063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82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525</xdr:row>
      <xdr:rowOff>0</xdr:rowOff>
    </xdr:from>
    <xdr:to>
      <xdr:col>0</xdr:col>
      <xdr:colOff>171450</xdr:colOff>
      <xdr:row>525</xdr:row>
      <xdr:rowOff>133350</xdr:rowOff>
    </xdr:to>
    <xdr:pic>
      <xdr:nvPicPr>
        <xdr:cNvPr id="1291" name="Picture@5C\QPendientes@" descr="@5C\QPendientes@">
          <a:extLst>
            <a:ext uri="{FF2B5EF4-FFF2-40B4-BE49-F238E27FC236}">
              <a16:creationId xmlns:a16="http://schemas.microsoft.com/office/drawing/2014/main" id="{A9A9FF08-7EDB-40A7-A55D-F3865C706E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01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526</xdr:row>
      <xdr:rowOff>0</xdr:rowOff>
    </xdr:from>
    <xdr:to>
      <xdr:col>0</xdr:col>
      <xdr:colOff>171450</xdr:colOff>
      <xdr:row>526</xdr:row>
      <xdr:rowOff>133350</xdr:rowOff>
    </xdr:to>
    <xdr:pic>
      <xdr:nvPicPr>
        <xdr:cNvPr id="1292" name="Picture@5C\QPendientes@" descr="@5C\QPendientes@">
          <a:extLst>
            <a:ext uri="{FF2B5EF4-FFF2-40B4-BE49-F238E27FC236}">
              <a16:creationId xmlns:a16="http://schemas.microsoft.com/office/drawing/2014/main" id="{22671505-89E4-4564-9C8E-CEE6FD9627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19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527</xdr:row>
      <xdr:rowOff>0</xdr:rowOff>
    </xdr:from>
    <xdr:to>
      <xdr:col>0</xdr:col>
      <xdr:colOff>171450</xdr:colOff>
      <xdr:row>527</xdr:row>
      <xdr:rowOff>133350</xdr:rowOff>
    </xdr:to>
    <xdr:pic>
      <xdr:nvPicPr>
        <xdr:cNvPr id="1293" name="Picture@5C\QPendientes@" descr="@5C\QPendientes@">
          <a:extLst>
            <a:ext uri="{FF2B5EF4-FFF2-40B4-BE49-F238E27FC236}">
              <a16:creationId xmlns:a16="http://schemas.microsoft.com/office/drawing/2014/main" id="{1437E5A9-5624-4D33-BED5-792292DBAC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37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528</xdr:row>
      <xdr:rowOff>0</xdr:rowOff>
    </xdr:from>
    <xdr:to>
      <xdr:col>0</xdr:col>
      <xdr:colOff>171450</xdr:colOff>
      <xdr:row>528</xdr:row>
      <xdr:rowOff>133350</xdr:rowOff>
    </xdr:to>
    <xdr:pic>
      <xdr:nvPicPr>
        <xdr:cNvPr id="1294" name="Picture@5C\QPendientes@" descr="@5C\QPendientes@">
          <a:extLst>
            <a:ext uri="{FF2B5EF4-FFF2-40B4-BE49-F238E27FC236}">
              <a16:creationId xmlns:a16="http://schemas.microsoft.com/office/drawing/2014/main" id="{D9425A7B-CD28-4B08-A6D7-04955DB793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56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529</xdr:row>
      <xdr:rowOff>0</xdr:rowOff>
    </xdr:from>
    <xdr:to>
      <xdr:col>0</xdr:col>
      <xdr:colOff>171450</xdr:colOff>
      <xdr:row>529</xdr:row>
      <xdr:rowOff>133350</xdr:rowOff>
    </xdr:to>
    <xdr:pic>
      <xdr:nvPicPr>
        <xdr:cNvPr id="1295" name="Picture@5C\QPendientes@" descr="@5C\QPendientes@">
          <a:extLst>
            <a:ext uri="{FF2B5EF4-FFF2-40B4-BE49-F238E27FC236}">
              <a16:creationId xmlns:a16="http://schemas.microsoft.com/office/drawing/2014/main" id="{927F4198-3E57-4F5E-AE15-33C8BB43C8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74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530</xdr:row>
      <xdr:rowOff>0</xdr:rowOff>
    </xdr:from>
    <xdr:to>
      <xdr:col>0</xdr:col>
      <xdr:colOff>171450</xdr:colOff>
      <xdr:row>530</xdr:row>
      <xdr:rowOff>133350</xdr:rowOff>
    </xdr:to>
    <xdr:pic>
      <xdr:nvPicPr>
        <xdr:cNvPr id="1296" name="Picture@5C\QPendientes@" descr="@5C\QPendientes@">
          <a:extLst>
            <a:ext uri="{FF2B5EF4-FFF2-40B4-BE49-F238E27FC236}">
              <a16:creationId xmlns:a16="http://schemas.microsoft.com/office/drawing/2014/main" id="{6FE4BA29-1D8C-4990-9AA6-3F669C861B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92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531</xdr:row>
      <xdr:rowOff>0</xdr:rowOff>
    </xdr:from>
    <xdr:to>
      <xdr:col>0</xdr:col>
      <xdr:colOff>171450</xdr:colOff>
      <xdr:row>531</xdr:row>
      <xdr:rowOff>133350</xdr:rowOff>
    </xdr:to>
    <xdr:pic>
      <xdr:nvPicPr>
        <xdr:cNvPr id="1297" name="Picture@5C\QPendientes@" descr="@5C\QPendientes@">
          <a:extLst>
            <a:ext uri="{FF2B5EF4-FFF2-40B4-BE49-F238E27FC236}">
              <a16:creationId xmlns:a16="http://schemas.microsoft.com/office/drawing/2014/main" id="{4A02697D-D666-426F-A368-0D5CEF6E6D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10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532</xdr:row>
      <xdr:rowOff>0</xdr:rowOff>
    </xdr:from>
    <xdr:to>
      <xdr:col>0</xdr:col>
      <xdr:colOff>171450</xdr:colOff>
      <xdr:row>532</xdr:row>
      <xdr:rowOff>133350</xdr:rowOff>
    </xdr:to>
    <xdr:pic>
      <xdr:nvPicPr>
        <xdr:cNvPr id="1298" name="Picture@5C\QPendientes@" descr="@5C\QPendientes@">
          <a:extLst>
            <a:ext uri="{FF2B5EF4-FFF2-40B4-BE49-F238E27FC236}">
              <a16:creationId xmlns:a16="http://schemas.microsoft.com/office/drawing/2014/main" id="{FE5FEE0F-6672-4A63-B230-09BE1C7417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29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533</xdr:row>
      <xdr:rowOff>0</xdr:rowOff>
    </xdr:from>
    <xdr:to>
      <xdr:col>0</xdr:col>
      <xdr:colOff>171450</xdr:colOff>
      <xdr:row>533</xdr:row>
      <xdr:rowOff>133350</xdr:rowOff>
    </xdr:to>
    <xdr:pic>
      <xdr:nvPicPr>
        <xdr:cNvPr id="1299" name="Picture@5C\QPendientes@" descr="@5C\QPendientes@">
          <a:extLst>
            <a:ext uri="{FF2B5EF4-FFF2-40B4-BE49-F238E27FC236}">
              <a16:creationId xmlns:a16="http://schemas.microsoft.com/office/drawing/2014/main" id="{1CA8F4BB-621D-477E-884F-15D1A94273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47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534</xdr:row>
      <xdr:rowOff>0</xdr:rowOff>
    </xdr:from>
    <xdr:to>
      <xdr:col>0</xdr:col>
      <xdr:colOff>171450</xdr:colOff>
      <xdr:row>534</xdr:row>
      <xdr:rowOff>133350</xdr:rowOff>
    </xdr:to>
    <xdr:pic>
      <xdr:nvPicPr>
        <xdr:cNvPr id="1300" name="Picture@5C\QPendientes@" descr="@5C\QPendientes@">
          <a:extLst>
            <a:ext uri="{FF2B5EF4-FFF2-40B4-BE49-F238E27FC236}">
              <a16:creationId xmlns:a16="http://schemas.microsoft.com/office/drawing/2014/main" id="{CACF6D3A-9D58-4948-8220-0158575244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65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535</xdr:row>
      <xdr:rowOff>0</xdr:rowOff>
    </xdr:from>
    <xdr:to>
      <xdr:col>0</xdr:col>
      <xdr:colOff>171450</xdr:colOff>
      <xdr:row>535</xdr:row>
      <xdr:rowOff>133350</xdr:rowOff>
    </xdr:to>
    <xdr:pic>
      <xdr:nvPicPr>
        <xdr:cNvPr id="1301" name="Picture@5C\QPendientes@" descr="@5C\QPendientes@">
          <a:extLst>
            <a:ext uri="{FF2B5EF4-FFF2-40B4-BE49-F238E27FC236}">
              <a16:creationId xmlns:a16="http://schemas.microsoft.com/office/drawing/2014/main" id="{316525D5-A6B1-49F2-8050-EAAE48FA4B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84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536</xdr:row>
      <xdr:rowOff>0</xdr:rowOff>
    </xdr:from>
    <xdr:to>
      <xdr:col>0</xdr:col>
      <xdr:colOff>171450</xdr:colOff>
      <xdr:row>536</xdr:row>
      <xdr:rowOff>133350</xdr:rowOff>
    </xdr:to>
    <xdr:pic>
      <xdr:nvPicPr>
        <xdr:cNvPr id="1302" name="Picture@5C\QPendientes@" descr="@5C\QPendientes@">
          <a:extLst>
            <a:ext uri="{FF2B5EF4-FFF2-40B4-BE49-F238E27FC236}">
              <a16:creationId xmlns:a16="http://schemas.microsoft.com/office/drawing/2014/main" id="{5DF82574-FE76-4B2E-923F-632AFDB766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02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537</xdr:row>
      <xdr:rowOff>0</xdr:rowOff>
    </xdr:from>
    <xdr:to>
      <xdr:col>0</xdr:col>
      <xdr:colOff>171450</xdr:colOff>
      <xdr:row>537</xdr:row>
      <xdr:rowOff>133350</xdr:rowOff>
    </xdr:to>
    <xdr:pic>
      <xdr:nvPicPr>
        <xdr:cNvPr id="1303" name="Picture@5C\QPendientes@" descr="@5C\QPendientes@">
          <a:extLst>
            <a:ext uri="{FF2B5EF4-FFF2-40B4-BE49-F238E27FC236}">
              <a16:creationId xmlns:a16="http://schemas.microsoft.com/office/drawing/2014/main" id="{2C76960D-2A1D-48C4-AB60-F56E7A947E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20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538</xdr:row>
      <xdr:rowOff>0</xdr:rowOff>
    </xdr:from>
    <xdr:to>
      <xdr:col>0</xdr:col>
      <xdr:colOff>171450</xdr:colOff>
      <xdr:row>538</xdr:row>
      <xdr:rowOff>133350</xdr:rowOff>
    </xdr:to>
    <xdr:pic>
      <xdr:nvPicPr>
        <xdr:cNvPr id="1304" name="Picture@5C\QPendientes@" descr="@5C\QPendientes@">
          <a:extLst>
            <a:ext uri="{FF2B5EF4-FFF2-40B4-BE49-F238E27FC236}">
              <a16:creationId xmlns:a16="http://schemas.microsoft.com/office/drawing/2014/main" id="{CE465A05-3936-42D0-8E89-C90AF1045D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38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539</xdr:row>
      <xdr:rowOff>0</xdr:rowOff>
    </xdr:from>
    <xdr:to>
      <xdr:col>0</xdr:col>
      <xdr:colOff>171450</xdr:colOff>
      <xdr:row>539</xdr:row>
      <xdr:rowOff>133350</xdr:rowOff>
    </xdr:to>
    <xdr:pic>
      <xdr:nvPicPr>
        <xdr:cNvPr id="1305" name="Picture@5C\QPendientes@" descr="@5C\QPendientes@">
          <a:extLst>
            <a:ext uri="{FF2B5EF4-FFF2-40B4-BE49-F238E27FC236}">
              <a16:creationId xmlns:a16="http://schemas.microsoft.com/office/drawing/2014/main" id="{D3FDD07C-5523-43C8-A092-17DCC48C79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57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540</xdr:row>
      <xdr:rowOff>0</xdr:rowOff>
    </xdr:from>
    <xdr:to>
      <xdr:col>0</xdr:col>
      <xdr:colOff>171450</xdr:colOff>
      <xdr:row>540</xdr:row>
      <xdr:rowOff>133350</xdr:rowOff>
    </xdr:to>
    <xdr:pic>
      <xdr:nvPicPr>
        <xdr:cNvPr id="1306" name="Picture@5C\QPendientes@" descr="@5C\QPendientes@">
          <a:extLst>
            <a:ext uri="{FF2B5EF4-FFF2-40B4-BE49-F238E27FC236}">
              <a16:creationId xmlns:a16="http://schemas.microsoft.com/office/drawing/2014/main" id="{E0D11FED-7DCF-4491-A3E8-804BFD4D1F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75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541</xdr:row>
      <xdr:rowOff>0</xdr:rowOff>
    </xdr:from>
    <xdr:to>
      <xdr:col>0</xdr:col>
      <xdr:colOff>171450</xdr:colOff>
      <xdr:row>541</xdr:row>
      <xdr:rowOff>133350</xdr:rowOff>
    </xdr:to>
    <xdr:pic>
      <xdr:nvPicPr>
        <xdr:cNvPr id="1307" name="Picture@5C\QPendientes@" descr="@5C\QPendientes@">
          <a:extLst>
            <a:ext uri="{FF2B5EF4-FFF2-40B4-BE49-F238E27FC236}">
              <a16:creationId xmlns:a16="http://schemas.microsoft.com/office/drawing/2014/main" id="{426ACD33-A58A-4EAD-884C-01B570FE91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93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542</xdr:row>
      <xdr:rowOff>0</xdr:rowOff>
    </xdr:from>
    <xdr:to>
      <xdr:col>0</xdr:col>
      <xdr:colOff>171450</xdr:colOff>
      <xdr:row>542</xdr:row>
      <xdr:rowOff>133350</xdr:rowOff>
    </xdr:to>
    <xdr:pic>
      <xdr:nvPicPr>
        <xdr:cNvPr id="1308" name="Picture@5C\QPendientes@" descr="@5C\QPendientes@">
          <a:extLst>
            <a:ext uri="{FF2B5EF4-FFF2-40B4-BE49-F238E27FC236}">
              <a16:creationId xmlns:a16="http://schemas.microsoft.com/office/drawing/2014/main" id="{9756F79F-7445-48FC-83FA-FFDBEB358B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12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543</xdr:row>
      <xdr:rowOff>0</xdr:rowOff>
    </xdr:from>
    <xdr:to>
      <xdr:col>0</xdr:col>
      <xdr:colOff>171450</xdr:colOff>
      <xdr:row>543</xdr:row>
      <xdr:rowOff>133350</xdr:rowOff>
    </xdr:to>
    <xdr:pic>
      <xdr:nvPicPr>
        <xdr:cNvPr id="1309" name="Picture@5C\QPendientes@" descr="@5C\QPendientes@">
          <a:extLst>
            <a:ext uri="{FF2B5EF4-FFF2-40B4-BE49-F238E27FC236}">
              <a16:creationId xmlns:a16="http://schemas.microsoft.com/office/drawing/2014/main" id="{3F323DB3-7134-47D0-8DC6-671B50FAF8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30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544</xdr:row>
      <xdr:rowOff>0</xdr:rowOff>
    </xdr:from>
    <xdr:to>
      <xdr:col>0</xdr:col>
      <xdr:colOff>171450</xdr:colOff>
      <xdr:row>544</xdr:row>
      <xdr:rowOff>133350</xdr:rowOff>
    </xdr:to>
    <xdr:pic>
      <xdr:nvPicPr>
        <xdr:cNvPr id="1310" name="Picture@5C\QPendientes@" descr="@5C\QPendientes@">
          <a:extLst>
            <a:ext uri="{FF2B5EF4-FFF2-40B4-BE49-F238E27FC236}">
              <a16:creationId xmlns:a16="http://schemas.microsoft.com/office/drawing/2014/main" id="{2AA3847A-6F47-40AB-845D-25B3B0C685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48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545</xdr:row>
      <xdr:rowOff>0</xdr:rowOff>
    </xdr:from>
    <xdr:to>
      <xdr:col>0</xdr:col>
      <xdr:colOff>171450</xdr:colOff>
      <xdr:row>545</xdr:row>
      <xdr:rowOff>133350</xdr:rowOff>
    </xdr:to>
    <xdr:pic>
      <xdr:nvPicPr>
        <xdr:cNvPr id="1311" name="Picture@5C\QPendientes@" descr="@5C\QPendientes@">
          <a:extLst>
            <a:ext uri="{FF2B5EF4-FFF2-40B4-BE49-F238E27FC236}">
              <a16:creationId xmlns:a16="http://schemas.microsoft.com/office/drawing/2014/main" id="{97CFE312-25DE-4288-9149-CF0A32A937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66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546</xdr:row>
      <xdr:rowOff>0</xdr:rowOff>
    </xdr:from>
    <xdr:to>
      <xdr:col>0</xdr:col>
      <xdr:colOff>171450</xdr:colOff>
      <xdr:row>546</xdr:row>
      <xdr:rowOff>133350</xdr:rowOff>
    </xdr:to>
    <xdr:pic>
      <xdr:nvPicPr>
        <xdr:cNvPr id="1312" name="Picture@5C\QPendientes@" descr="@5C\QPendientes@">
          <a:extLst>
            <a:ext uri="{FF2B5EF4-FFF2-40B4-BE49-F238E27FC236}">
              <a16:creationId xmlns:a16="http://schemas.microsoft.com/office/drawing/2014/main" id="{D085C4D0-E2A6-48BB-A725-1AA25E3080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85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547</xdr:row>
      <xdr:rowOff>0</xdr:rowOff>
    </xdr:from>
    <xdr:to>
      <xdr:col>0</xdr:col>
      <xdr:colOff>171450</xdr:colOff>
      <xdr:row>547</xdr:row>
      <xdr:rowOff>133350</xdr:rowOff>
    </xdr:to>
    <xdr:pic>
      <xdr:nvPicPr>
        <xdr:cNvPr id="1313" name="Picture@5C\QPendientes@" descr="@5C\QPendientes@">
          <a:extLst>
            <a:ext uri="{FF2B5EF4-FFF2-40B4-BE49-F238E27FC236}">
              <a16:creationId xmlns:a16="http://schemas.microsoft.com/office/drawing/2014/main" id="{EB620DE2-1A48-48AF-8301-83699C1515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03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548</xdr:row>
      <xdr:rowOff>0</xdr:rowOff>
    </xdr:from>
    <xdr:to>
      <xdr:col>0</xdr:col>
      <xdr:colOff>171450</xdr:colOff>
      <xdr:row>548</xdr:row>
      <xdr:rowOff>133350</xdr:rowOff>
    </xdr:to>
    <xdr:pic>
      <xdr:nvPicPr>
        <xdr:cNvPr id="1314" name="Picture@5C\QPendientes@" descr="@5C\QPendientes@">
          <a:extLst>
            <a:ext uri="{FF2B5EF4-FFF2-40B4-BE49-F238E27FC236}">
              <a16:creationId xmlns:a16="http://schemas.microsoft.com/office/drawing/2014/main" id="{EA54CB12-CF65-40F8-9582-AD5EA4C7DD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21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549</xdr:row>
      <xdr:rowOff>0</xdr:rowOff>
    </xdr:from>
    <xdr:to>
      <xdr:col>0</xdr:col>
      <xdr:colOff>171450</xdr:colOff>
      <xdr:row>549</xdr:row>
      <xdr:rowOff>133350</xdr:rowOff>
    </xdr:to>
    <xdr:pic>
      <xdr:nvPicPr>
        <xdr:cNvPr id="1315" name="Picture@5C\QPendientes@" descr="@5C\QPendientes@">
          <a:extLst>
            <a:ext uri="{FF2B5EF4-FFF2-40B4-BE49-F238E27FC236}">
              <a16:creationId xmlns:a16="http://schemas.microsoft.com/office/drawing/2014/main" id="{31D3AF12-6B0A-4A61-BB75-AB1E605197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40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550</xdr:row>
      <xdr:rowOff>0</xdr:rowOff>
    </xdr:from>
    <xdr:to>
      <xdr:col>0</xdr:col>
      <xdr:colOff>171450</xdr:colOff>
      <xdr:row>550</xdr:row>
      <xdr:rowOff>133350</xdr:rowOff>
    </xdr:to>
    <xdr:pic>
      <xdr:nvPicPr>
        <xdr:cNvPr id="1316" name="Picture@5C\QPendientes@" descr="@5C\QPendientes@">
          <a:extLst>
            <a:ext uri="{FF2B5EF4-FFF2-40B4-BE49-F238E27FC236}">
              <a16:creationId xmlns:a16="http://schemas.microsoft.com/office/drawing/2014/main" id="{06330890-2DBD-44DD-99DA-A5B72E0715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58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551</xdr:row>
      <xdr:rowOff>0</xdr:rowOff>
    </xdr:from>
    <xdr:to>
      <xdr:col>0</xdr:col>
      <xdr:colOff>171450</xdr:colOff>
      <xdr:row>551</xdr:row>
      <xdr:rowOff>133350</xdr:rowOff>
    </xdr:to>
    <xdr:pic>
      <xdr:nvPicPr>
        <xdr:cNvPr id="1317" name="Picture@5C\QPendientes@" descr="@5C\QPendientes@">
          <a:extLst>
            <a:ext uri="{FF2B5EF4-FFF2-40B4-BE49-F238E27FC236}">
              <a16:creationId xmlns:a16="http://schemas.microsoft.com/office/drawing/2014/main" id="{EA8DC4D9-A870-46BC-B3B4-4DA66E240C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76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552</xdr:row>
      <xdr:rowOff>0</xdr:rowOff>
    </xdr:from>
    <xdr:to>
      <xdr:col>0</xdr:col>
      <xdr:colOff>171450</xdr:colOff>
      <xdr:row>552</xdr:row>
      <xdr:rowOff>133350</xdr:rowOff>
    </xdr:to>
    <xdr:pic>
      <xdr:nvPicPr>
        <xdr:cNvPr id="1318" name="Picture@5C\QPendientes@" descr="@5C\QPendientes@">
          <a:extLst>
            <a:ext uri="{FF2B5EF4-FFF2-40B4-BE49-F238E27FC236}">
              <a16:creationId xmlns:a16="http://schemas.microsoft.com/office/drawing/2014/main" id="{507BF78F-B92E-466A-9D33-F225F8DA56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94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553</xdr:row>
      <xdr:rowOff>0</xdr:rowOff>
    </xdr:from>
    <xdr:to>
      <xdr:col>0</xdr:col>
      <xdr:colOff>171450</xdr:colOff>
      <xdr:row>553</xdr:row>
      <xdr:rowOff>133350</xdr:rowOff>
    </xdr:to>
    <xdr:pic>
      <xdr:nvPicPr>
        <xdr:cNvPr id="1319" name="Picture@5C\QPendientes@" descr="@5C\QPendientes@">
          <a:extLst>
            <a:ext uri="{FF2B5EF4-FFF2-40B4-BE49-F238E27FC236}">
              <a16:creationId xmlns:a16="http://schemas.microsoft.com/office/drawing/2014/main" id="{E3378283-46AF-4409-8819-8A8A884BC3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13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554</xdr:row>
      <xdr:rowOff>0</xdr:rowOff>
    </xdr:from>
    <xdr:to>
      <xdr:col>0</xdr:col>
      <xdr:colOff>171450</xdr:colOff>
      <xdr:row>554</xdr:row>
      <xdr:rowOff>133350</xdr:rowOff>
    </xdr:to>
    <xdr:pic>
      <xdr:nvPicPr>
        <xdr:cNvPr id="1320" name="Picture@5C\QPendientes@" descr="@5C\QPendientes@">
          <a:extLst>
            <a:ext uri="{FF2B5EF4-FFF2-40B4-BE49-F238E27FC236}">
              <a16:creationId xmlns:a16="http://schemas.microsoft.com/office/drawing/2014/main" id="{C13869A3-F354-4CD2-A9DD-702BA6928E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31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555</xdr:row>
      <xdr:rowOff>0</xdr:rowOff>
    </xdr:from>
    <xdr:to>
      <xdr:col>0</xdr:col>
      <xdr:colOff>171450</xdr:colOff>
      <xdr:row>555</xdr:row>
      <xdr:rowOff>133350</xdr:rowOff>
    </xdr:to>
    <xdr:pic>
      <xdr:nvPicPr>
        <xdr:cNvPr id="1321" name="Picture@5C\QPendientes@" descr="@5C\QPendientes@">
          <a:extLst>
            <a:ext uri="{FF2B5EF4-FFF2-40B4-BE49-F238E27FC236}">
              <a16:creationId xmlns:a16="http://schemas.microsoft.com/office/drawing/2014/main" id="{C382AAD3-3901-4B1C-ABE9-7C42F47956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49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556</xdr:row>
      <xdr:rowOff>0</xdr:rowOff>
    </xdr:from>
    <xdr:to>
      <xdr:col>0</xdr:col>
      <xdr:colOff>171450</xdr:colOff>
      <xdr:row>556</xdr:row>
      <xdr:rowOff>133350</xdr:rowOff>
    </xdr:to>
    <xdr:pic>
      <xdr:nvPicPr>
        <xdr:cNvPr id="1322" name="Picture@5C\QPendientes@" descr="@5C\QPendientes@">
          <a:extLst>
            <a:ext uri="{FF2B5EF4-FFF2-40B4-BE49-F238E27FC236}">
              <a16:creationId xmlns:a16="http://schemas.microsoft.com/office/drawing/2014/main" id="{630C03D5-D7A9-4580-914E-CC6A3F4753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68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557</xdr:row>
      <xdr:rowOff>0</xdr:rowOff>
    </xdr:from>
    <xdr:to>
      <xdr:col>0</xdr:col>
      <xdr:colOff>171450</xdr:colOff>
      <xdr:row>557</xdr:row>
      <xdr:rowOff>133350</xdr:rowOff>
    </xdr:to>
    <xdr:pic>
      <xdr:nvPicPr>
        <xdr:cNvPr id="1323" name="Picture@5C\QPendientes@" descr="@5C\QPendientes@">
          <a:extLst>
            <a:ext uri="{FF2B5EF4-FFF2-40B4-BE49-F238E27FC236}">
              <a16:creationId xmlns:a16="http://schemas.microsoft.com/office/drawing/2014/main" id="{1B223DB8-F651-44C5-AF81-E662C6C49B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86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558</xdr:row>
      <xdr:rowOff>0</xdr:rowOff>
    </xdr:from>
    <xdr:to>
      <xdr:col>0</xdr:col>
      <xdr:colOff>171450</xdr:colOff>
      <xdr:row>558</xdr:row>
      <xdr:rowOff>133350</xdr:rowOff>
    </xdr:to>
    <xdr:pic>
      <xdr:nvPicPr>
        <xdr:cNvPr id="1324" name="Picture@5C\QPendientes@" descr="@5C\QPendientes@">
          <a:extLst>
            <a:ext uri="{FF2B5EF4-FFF2-40B4-BE49-F238E27FC236}">
              <a16:creationId xmlns:a16="http://schemas.microsoft.com/office/drawing/2014/main" id="{E2BE64BE-703E-40E4-9E44-C6452E3278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04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559</xdr:row>
      <xdr:rowOff>0</xdr:rowOff>
    </xdr:from>
    <xdr:to>
      <xdr:col>0</xdr:col>
      <xdr:colOff>171450</xdr:colOff>
      <xdr:row>559</xdr:row>
      <xdr:rowOff>133350</xdr:rowOff>
    </xdr:to>
    <xdr:pic>
      <xdr:nvPicPr>
        <xdr:cNvPr id="1325" name="Picture@5C\QPendientes@" descr="@5C\QPendientes@">
          <a:extLst>
            <a:ext uri="{FF2B5EF4-FFF2-40B4-BE49-F238E27FC236}">
              <a16:creationId xmlns:a16="http://schemas.microsoft.com/office/drawing/2014/main" id="{93AE0187-A95B-462F-A5FD-BA537D1C12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22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560</xdr:row>
      <xdr:rowOff>0</xdr:rowOff>
    </xdr:from>
    <xdr:to>
      <xdr:col>0</xdr:col>
      <xdr:colOff>171450</xdr:colOff>
      <xdr:row>560</xdr:row>
      <xdr:rowOff>133350</xdr:rowOff>
    </xdr:to>
    <xdr:pic>
      <xdr:nvPicPr>
        <xdr:cNvPr id="1326" name="Picture@5C\QPendientes@" descr="@5C\QPendientes@">
          <a:extLst>
            <a:ext uri="{FF2B5EF4-FFF2-40B4-BE49-F238E27FC236}">
              <a16:creationId xmlns:a16="http://schemas.microsoft.com/office/drawing/2014/main" id="{EAA6C3AA-9A2A-45DF-8BA4-85148E7ADC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41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561</xdr:row>
      <xdr:rowOff>0</xdr:rowOff>
    </xdr:from>
    <xdr:to>
      <xdr:col>0</xdr:col>
      <xdr:colOff>171450</xdr:colOff>
      <xdr:row>561</xdr:row>
      <xdr:rowOff>133350</xdr:rowOff>
    </xdr:to>
    <xdr:pic>
      <xdr:nvPicPr>
        <xdr:cNvPr id="1327" name="Picture@5C\QPendientes@" descr="@5C\QPendientes@">
          <a:extLst>
            <a:ext uri="{FF2B5EF4-FFF2-40B4-BE49-F238E27FC236}">
              <a16:creationId xmlns:a16="http://schemas.microsoft.com/office/drawing/2014/main" id="{A97CF1BF-46EF-4486-A0E9-11FC177122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59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562</xdr:row>
      <xdr:rowOff>0</xdr:rowOff>
    </xdr:from>
    <xdr:to>
      <xdr:col>0</xdr:col>
      <xdr:colOff>171450</xdr:colOff>
      <xdr:row>562</xdr:row>
      <xdr:rowOff>133350</xdr:rowOff>
    </xdr:to>
    <xdr:pic>
      <xdr:nvPicPr>
        <xdr:cNvPr id="1328" name="Picture@5C\QPendientes@" descr="@5C\QPendientes@">
          <a:extLst>
            <a:ext uri="{FF2B5EF4-FFF2-40B4-BE49-F238E27FC236}">
              <a16:creationId xmlns:a16="http://schemas.microsoft.com/office/drawing/2014/main" id="{CACC3ACD-BADA-434E-BFB9-279B1EBD02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77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563</xdr:row>
      <xdr:rowOff>0</xdr:rowOff>
    </xdr:from>
    <xdr:to>
      <xdr:col>0</xdr:col>
      <xdr:colOff>171450</xdr:colOff>
      <xdr:row>563</xdr:row>
      <xdr:rowOff>133350</xdr:rowOff>
    </xdr:to>
    <xdr:pic>
      <xdr:nvPicPr>
        <xdr:cNvPr id="1329" name="Picture@5C\QPendientes@" descr="@5C\QPendientes@">
          <a:extLst>
            <a:ext uri="{FF2B5EF4-FFF2-40B4-BE49-F238E27FC236}">
              <a16:creationId xmlns:a16="http://schemas.microsoft.com/office/drawing/2014/main" id="{117D8FE6-9DA9-47EA-BA3A-F50F217934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96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564</xdr:row>
      <xdr:rowOff>0</xdr:rowOff>
    </xdr:from>
    <xdr:to>
      <xdr:col>0</xdr:col>
      <xdr:colOff>171450</xdr:colOff>
      <xdr:row>564</xdr:row>
      <xdr:rowOff>133350</xdr:rowOff>
    </xdr:to>
    <xdr:pic>
      <xdr:nvPicPr>
        <xdr:cNvPr id="1330" name="Picture@5C\QPendientes@" descr="@5C\QPendientes@">
          <a:extLst>
            <a:ext uri="{FF2B5EF4-FFF2-40B4-BE49-F238E27FC236}">
              <a16:creationId xmlns:a16="http://schemas.microsoft.com/office/drawing/2014/main" id="{60B2A26F-3342-4E14-A76B-F7C528E48F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14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565</xdr:row>
      <xdr:rowOff>0</xdr:rowOff>
    </xdr:from>
    <xdr:to>
      <xdr:col>0</xdr:col>
      <xdr:colOff>171450</xdr:colOff>
      <xdr:row>565</xdr:row>
      <xdr:rowOff>133350</xdr:rowOff>
    </xdr:to>
    <xdr:pic>
      <xdr:nvPicPr>
        <xdr:cNvPr id="1331" name="Picture@5C\QPendientes@" descr="@5C\QPendientes@">
          <a:extLst>
            <a:ext uri="{FF2B5EF4-FFF2-40B4-BE49-F238E27FC236}">
              <a16:creationId xmlns:a16="http://schemas.microsoft.com/office/drawing/2014/main" id="{08C049A2-D8F8-4C85-8DEB-35DA5C42A2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32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566</xdr:row>
      <xdr:rowOff>0</xdr:rowOff>
    </xdr:from>
    <xdr:to>
      <xdr:col>0</xdr:col>
      <xdr:colOff>171450</xdr:colOff>
      <xdr:row>566</xdr:row>
      <xdr:rowOff>133350</xdr:rowOff>
    </xdr:to>
    <xdr:pic>
      <xdr:nvPicPr>
        <xdr:cNvPr id="1332" name="Picture@5C\QPendientes@" descr="@5C\QPendientes@">
          <a:extLst>
            <a:ext uri="{FF2B5EF4-FFF2-40B4-BE49-F238E27FC236}">
              <a16:creationId xmlns:a16="http://schemas.microsoft.com/office/drawing/2014/main" id="{15E23DAE-1D38-492D-A5EF-739990D215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51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567</xdr:row>
      <xdr:rowOff>0</xdr:rowOff>
    </xdr:from>
    <xdr:to>
      <xdr:col>0</xdr:col>
      <xdr:colOff>171450</xdr:colOff>
      <xdr:row>567</xdr:row>
      <xdr:rowOff>133350</xdr:rowOff>
    </xdr:to>
    <xdr:pic>
      <xdr:nvPicPr>
        <xdr:cNvPr id="1333" name="Picture@5C\QPendientes@" descr="@5C\QPendientes@">
          <a:extLst>
            <a:ext uri="{FF2B5EF4-FFF2-40B4-BE49-F238E27FC236}">
              <a16:creationId xmlns:a16="http://schemas.microsoft.com/office/drawing/2014/main" id="{7524DEF7-5A29-4EAF-AC48-223EB381CD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69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568</xdr:row>
      <xdr:rowOff>0</xdr:rowOff>
    </xdr:from>
    <xdr:to>
      <xdr:col>0</xdr:col>
      <xdr:colOff>171450</xdr:colOff>
      <xdr:row>568</xdr:row>
      <xdr:rowOff>133350</xdr:rowOff>
    </xdr:to>
    <xdr:pic>
      <xdr:nvPicPr>
        <xdr:cNvPr id="1334" name="Picture@5C\QPendientes@" descr="@5C\QPendientes@">
          <a:extLst>
            <a:ext uri="{FF2B5EF4-FFF2-40B4-BE49-F238E27FC236}">
              <a16:creationId xmlns:a16="http://schemas.microsoft.com/office/drawing/2014/main" id="{40A89EFD-0130-4D0B-9BEA-44723612A5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87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569</xdr:row>
      <xdr:rowOff>0</xdr:rowOff>
    </xdr:from>
    <xdr:to>
      <xdr:col>0</xdr:col>
      <xdr:colOff>171450</xdr:colOff>
      <xdr:row>569</xdr:row>
      <xdr:rowOff>133350</xdr:rowOff>
    </xdr:to>
    <xdr:pic>
      <xdr:nvPicPr>
        <xdr:cNvPr id="1335" name="Picture@5C\QPendientes@" descr="@5C\QPendientes@">
          <a:extLst>
            <a:ext uri="{FF2B5EF4-FFF2-40B4-BE49-F238E27FC236}">
              <a16:creationId xmlns:a16="http://schemas.microsoft.com/office/drawing/2014/main" id="{720CE391-1A68-47FD-B7C7-F9EFE06BA1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05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570</xdr:row>
      <xdr:rowOff>0</xdr:rowOff>
    </xdr:from>
    <xdr:to>
      <xdr:col>0</xdr:col>
      <xdr:colOff>171450</xdr:colOff>
      <xdr:row>570</xdr:row>
      <xdr:rowOff>133350</xdr:rowOff>
    </xdr:to>
    <xdr:pic>
      <xdr:nvPicPr>
        <xdr:cNvPr id="1336" name="Picture@5C\QPendientes@" descr="@5C\QPendientes@">
          <a:extLst>
            <a:ext uri="{FF2B5EF4-FFF2-40B4-BE49-F238E27FC236}">
              <a16:creationId xmlns:a16="http://schemas.microsoft.com/office/drawing/2014/main" id="{50E1B78C-61EF-4021-85C9-843E47CD73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24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571</xdr:row>
      <xdr:rowOff>0</xdr:rowOff>
    </xdr:from>
    <xdr:to>
      <xdr:col>0</xdr:col>
      <xdr:colOff>171450</xdr:colOff>
      <xdr:row>571</xdr:row>
      <xdr:rowOff>133350</xdr:rowOff>
    </xdr:to>
    <xdr:pic>
      <xdr:nvPicPr>
        <xdr:cNvPr id="1337" name="Picture@5C\QPendientes@" descr="@5C\QPendientes@">
          <a:extLst>
            <a:ext uri="{FF2B5EF4-FFF2-40B4-BE49-F238E27FC236}">
              <a16:creationId xmlns:a16="http://schemas.microsoft.com/office/drawing/2014/main" id="{824274FC-D2FB-409C-9800-AF99DAEE79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42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572</xdr:row>
      <xdr:rowOff>0</xdr:rowOff>
    </xdr:from>
    <xdr:to>
      <xdr:col>0</xdr:col>
      <xdr:colOff>171450</xdr:colOff>
      <xdr:row>572</xdr:row>
      <xdr:rowOff>133350</xdr:rowOff>
    </xdr:to>
    <xdr:pic>
      <xdr:nvPicPr>
        <xdr:cNvPr id="1338" name="Picture@5C\QPendientes@" descr="@5C\QPendientes@">
          <a:extLst>
            <a:ext uri="{FF2B5EF4-FFF2-40B4-BE49-F238E27FC236}">
              <a16:creationId xmlns:a16="http://schemas.microsoft.com/office/drawing/2014/main" id="{7B63C0B8-B02B-462D-9D00-4EFDB8BB45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60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573</xdr:row>
      <xdr:rowOff>0</xdr:rowOff>
    </xdr:from>
    <xdr:to>
      <xdr:col>0</xdr:col>
      <xdr:colOff>171450</xdr:colOff>
      <xdr:row>573</xdr:row>
      <xdr:rowOff>133350</xdr:rowOff>
    </xdr:to>
    <xdr:pic>
      <xdr:nvPicPr>
        <xdr:cNvPr id="1339" name="Picture@5C\QPendientes@" descr="@5C\QPendientes@">
          <a:extLst>
            <a:ext uri="{FF2B5EF4-FFF2-40B4-BE49-F238E27FC236}">
              <a16:creationId xmlns:a16="http://schemas.microsoft.com/office/drawing/2014/main" id="{948163E8-1861-4F48-9E65-DCC7D088A7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79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574</xdr:row>
      <xdr:rowOff>0</xdr:rowOff>
    </xdr:from>
    <xdr:to>
      <xdr:col>0</xdr:col>
      <xdr:colOff>171450</xdr:colOff>
      <xdr:row>574</xdr:row>
      <xdr:rowOff>133350</xdr:rowOff>
    </xdr:to>
    <xdr:pic>
      <xdr:nvPicPr>
        <xdr:cNvPr id="1340" name="Picture@5C\QPendientes@" descr="@5C\QPendientes@">
          <a:extLst>
            <a:ext uri="{FF2B5EF4-FFF2-40B4-BE49-F238E27FC236}">
              <a16:creationId xmlns:a16="http://schemas.microsoft.com/office/drawing/2014/main" id="{AE227392-E2C8-408E-B466-635E93C131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97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575</xdr:row>
      <xdr:rowOff>0</xdr:rowOff>
    </xdr:from>
    <xdr:to>
      <xdr:col>0</xdr:col>
      <xdr:colOff>171450</xdr:colOff>
      <xdr:row>575</xdr:row>
      <xdr:rowOff>133350</xdr:rowOff>
    </xdr:to>
    <xdr:pic>
      <xdr:nvPicPr>
        <xdr:cNvPr id="1341" name="Picture@5C\QPendientes@" descr="@5C\QPendientes@">
          <a:extLst>
            <a:ext uri="{FF2B5EF4-FFF2-40B4-BE49-F238E27FC236}">
              <a16:creationId xmlns:a16="http://schemas.microsoft.com/office/drawing/2014/main" id="{53338526-4E1C-4DEE-A82B-75EBEAA6FC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15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576</xdr:row>
      <xdr:rowOff>0</xdr:rowOff>
    </xdr:from>
    <xdr:to>
      <xdr:col>0</xdr:col>
      <xdr:colOff>171450</xdr:colOff>
      <xdr:row>576</xdr:row>
      <xdr:rowOff>133350</xdr:rowOff>
    </xdr:to>
    <xdr:pic>
      <xdr:nvPicPr>
        <xdr:cNvPr id="1342" name="Picture@5C\QPendientes@" descr="@5C\QPendientes@">
          <a:extLst>
            <a:ext uri="{FF2B5EF4-FFF2-40B4-BE49-F238E27FC236}">
              <a16:creationId xmlns:a16="http://schemas.microsoft.com/office/drawing/2014/main" id="{8E0FB872-A031-4953-BBAD-92F97C1C92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33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577</xdr:row>
      <xdr:rowOff>0</xdr:rowOff>
    </xdr:from>
    <xdr:to>
      <xdr:col>0</xdr:col>
      <xdr:colOff>171450</xdr:colOff>
      <xdr:row>577</xdr:row>
      <xdr:rowOff>133350</xdr:rowOff>
    </xdr:to>
    <xdr:pic>
      <xdr:nvPicPr>
        <xdr:cNvPr id="1343" name="Picture@5C\QPendientes@" descr="@5C\QPendientes@">
          <a:extLst>
            <a:ext uri="{FF2B5EF4-FFF2-40B4-BE49-F238E27FC236}">
              <a16:creationId xmlns:a16="http://schemas.microsoft.com/office/drawing/2014/main" id="{344D7BCF-B2A3-4519-AD38-6A106B4EBB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52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578</xdr:row>
      <xdr:rowOff>0</xdr:rowOff>
    </xdr:from>
    <xdr:to>
      <xdr:col>0</xdr:col>
      <xdr:colOff>171450</xdr:colOff>
      <xdr:row>578</xdr:row>
      <xdr:rowOff>133350</xdr:rowOff>
    </xdr:to>
    <xdr:pic>
      <xdr:nvPicPr>
        <xdr:cNvPr id="1344" name="Picture@5C\QPendientes@" descr="@5C\QPendientes@">
          <a:extLst>
            <a:ext uri="{FF2B5EF4-FFF2-40B4-BE49-F238E27FC236}">
              <a16:creationId xmlns:a16="http://schemas.microsoft.com/office/drawing/2014/main" id="{DE6E9C54-4932-4120-93D9-52700E71FD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70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579</xdr:row>
      <xdr:rowOff>0</xdr:rowOff>
    </xdr:from>
    <xdr:to>
      <xdr:col>0</xdr:col>
      <xdr:colOff>171450</xdr:colOff>
      <xdr:row>579</xdr:row>
      <xdr:rowOff>133350</xdr:rowOff>
    </xdr:to>
    <xdr:pic>
      <xdr:nvPicPr>
        <xdr:cNvPr id="1345" name="Picture@5C\QPendientes@" descr="@5C\QPendientes@">
          <a:extLst>
            <a:ext uri="{FF2B5EF4-FFF2-40B4-BE49-F238E27FC236}">
              <a16:creationId xmlns:a16="http://schemas.microsoft.com/office/drawing/2014/main" id="{E3226DA4-0F5F-4D8F-9066-8FAADEFA98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88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580</xdr:row>
      <xdr:rowOff>0</xdr:rowOff>
    </xdr:from>
    <xdr:to>
      <xdr:col>0</xdr:col>
      <xdr:colOff>171450</xdr:colOff>
      <xdr:row>580</xdr:row>
      <xdr:rowOff>133350</xdr:rowOff>
    </xdr:to>
    <xdr:pic>
      <xdr:nvPicPr>
        <xdr:cNvPr id="1346" name="Picture@5C\QPendientes@" descr="@5C\QPendientes@">
          <a:extLst>
            <a:ext uri="{FF2B5EF4-FFF2-40B4-BE49-F238E27FC236}">
              <a16:creationId xmlns:a16="http://schemas.microsoft.com/office/drawing/2014/main" id="{116103D8-E6EE-45A2-A6D0-6F216ADBBF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07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581</xdr:row>
      <xdr:rowOff>0</xdr:rowOff>
    </xdr:from>
    <xdr:to>
      <xdr:col>0</xdr:col>
      <xdr:colOff>171450</xdr:colOff>
      <xdr:row>581</xdr:row>
      <xdr:rowOff>133350</xdr:rowOff>
    </xdr:to>
    <xdr:pic>
      <xdr:nvPicPr>
        <xdr:cNvPr id="1347" name="Picture@5C\QPendientes@" descr="@5C\QPendientes@">
          <a:extLst>
            <a:ext uri="{FF2B5EF4-FFF2-40B4-BE49-F238E27FC236}">
              <a16:creationId xmlns:a16="http://schemas.microsoft.com/office/drawing/2014/main" id="{BA0E155D-7051-4739-BAF4-9FBE479115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25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582</xdr:row>
      <xdr:rowOff>0</xdr:rowOff>
    </xdr:from>
    <xdr:to>
      <xdr:col>0</xdr:col>
      <xdr:colOff>171450</xdr:colOff>
      <xdr:row>582</xdr:row>
      <xdr:rowOff>133350</xdr:rowOff>
    </xdr:to>
    <xdr:pic>
      <xdr:nvPicPr>
        <xdr:cNvPr id="1348" name="Picture@5C\QPendientes@" descr="@5C\QPendientes@">
          <a:extLst>
            <a:ext uri="{FF2B5EF4-FFF2-40B4-BE49-F238E27FC236}">
              <a16:creationId xmlns:a16="http://schemas.microsoft.com/office/drawing/2014/main" id="{5C425204-374B-4DD5-91F2-B27656ADA3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43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583</xdr:row>
      <xdr:rowOff>0</xdr:rowOff>
    </xdr:from>
    <xdr:to>
      <xdr:col>0</xdr:col>
      <xdr:colOff>171450</xdr:colOff>
      <xdr:row>583</xdr:row>
      <xdr:rowOff>133350</xdr:rowOff>
    </xdr:to>
    <xdr:pic>
      <xdr:nvPicPr>
        <xdr:cNvPr id="1349" name="Picture@5C\QPendientes@" descr="@5C\QPendientes@">
          <a:extLst>
            <a:ext uri="{FF2B5EF4-FFF2-40B4-BE49-F238E27FC236}">
              <a16:creationId xmlns:a16="http://schemas.microsoft.com/office/drawing/2014/main" id="{146F6B9E-021F-4DB0-B55E-0AFDC71C25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61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584</xdr:row>
      <xdr:rowOff>0</xdr:rowOff>
    </xdr:from>
    <xdr:to>
      <xdr:col>0</xdr:col>
      <xdr:colOff>171450</xdr:colOff>
      <xdr:row>584</xdr:row>
      <xdr:rowOff>133350</xdr:rowOff>
    </xdr:to>
    <xdr:pic>
      <xdr:nvPicPr>
        <xdr:cNvPr id="1350" name="Picture@5C\QPendientes@" descr="@5C\QPendientes@">
          <a:extLst>
            <a:ext uri="{FF2B5EF4-FFF2-40B4-BE49-F238E27FC236}">
              <a16:creationId xmlns:a16="http://schemas.microsoft.com/office/drawing/2014/main" id="{89CF646A-F058-49FC-B38F-76E1697F2A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80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585</xdr:row>
      <xdr:rowOff>0</xdr:rowOff>
    </xdr:from>
    <xdr:to>
      <xdr:col>0</xdr:col>
      <xdr:colOff>171450</xdr:colOff>
      <xdr:row>585</xdr:row>
      <xdr:rowOff>133350</xdr:rowOff>
    </xdr:to>
    <xdr:pic>
      <xdr:nvPicPr>
        <xdr:cNvPr id="1351" name="Picture@5C\QPendientes@" descr="@5C\QPendientes@">
          <a:extLst>
            <a:ext uri="{FF2B5EF4-FFF2-40B4-BE49-F238E27FC236}">
              <a16:creationId xmlns:a16="http://schemas.microsoft.com/office/drawing/2014/main" id="{DA719B8E-9594-43D8-83AD-E1EB82D923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98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586</xdr:row>
      <xdr:rowOff>0</xdr:rowOff>
    </xdr:from>
    <xdr:to>
      <xdr:col>0</xdr:col>
      <xdr:colOff>171450</xdr:colOff>
      <xdr:row>586</xdr:row>
      <xdr:rowOff>133350</xdr:rowOff>
    </xdr:to>
    <xdr:pic>
      <xdr:nvPicPr>
        <xdr:cNvPr id="1352" name="Picture@5C\QPendientes@" descr="@5C\QPendientes@">
          <a:extLst>
            <a:ext uri="{FF2B5EF4-FFF2-40B4-BE49-F238E27FC236}">
              <a16:creationId xmlns:a16="http://schemas.microsoft.com/office/drawing/2014/main" id="{18D5216D-1D86-4E10-A1CD-F114E7767A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16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587</xdr:row>
      <xdr:rowOff>0</xdr:rowOff>
    </xdr:from>
    <xdr:to>
      <xdr:col>0</xdr:col>
      <xdr:colOff>171450</xdr:colOff>
      <xdr:row>587</xdr:row>
      <xdr:rowOff>133350</xdr:rowOff>
    </xdr:to>
    <xdr:pic>
      <xdr:nvPicPr>
        <xdr:cNvPr id="1353" name="Picture@5C\QPendientes@" descr="@5C\QPendientes@">
          <a:extLst>
            <a:ext uri="{FF2B5EF4-FFF2-40B4-BE49-F238E27FC236}">
              <a16:creationId xmlns:a16="http://schemas.microsoft.com/office/drawing/2014/main" id="{99DE96A7-E272-464A-ACBB-F0D88D1726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35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588</xdr:row>
      <xdr:rowOff>0</xdr:rowOff>
    </xdr:from>
    <xdr:to>
      <xdr:col>0</xdr:col>
      <xdr:colOff>171450</xdr:colOff>
      <xdr:row>588</xdr:row>
      <xdr:rowOff>133350</xdr:rowOff>
    </xdr:to>
    <xdr:pic>
      <xdr:nvPicPr>
        <xdr:cNvPr id="1354" name="Picture@5C\QPendientes@" descr="@5C\QPendientes@">
          <a:extLst>
            <a:ext uri="{FF2B5EF4-FFF2-40B4-BE49-F238E27FC236}">
              <a16:creationId xmlns:a16="http://schemas.microsoft.com/office/drawing/2014/main" id="{F795204E-E1C1-44A3-B60E-F0E1C09F76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53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589</xdr:row>
      <xdr:rowOff>0</xdr:rowOff>
    </xdr:from>
    <xdr:to>
      <xdr:col>0</xdr:col>
      <xdr:colOff>171450</xdr:colOff>
      <xdr:row>589</xdr:row>
      <xdr:rowOff>133350</xdr:rowOff>
    </xdr:to>
    <xdr:pic>
      <xdr:nvPicPr>
        <xdr:cNvPr id="1355" name="Picture@5C\QPendientes@" descr="@5C\QPendientes@">
          <a:extLst>
            <a:ext uri="{FF2B5EF4-FFF2-40B4-BE49-F238E27FC236}">
              <a16:creationId xmlns:a16="http://schemas.microsoft.com/office/drawing/2014/main" id="{2B85AFBC-67DF-464F-BCD5-4FDC211631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71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590</xdr:row>
      <xdr:rowOff>0</xdr:rowOff>
    </xdr:from>
    <xdr:to>
      <xdr:col>0</xdr:col>
      <xdr:colOff>171450</xdr:colOff>
      <xdr:row>590</xdr:row>
      <xdr:rowOff>133350</xdr:rowOff>
    </xdr:to>
    <xdr:pic>
      <xdr:nvPicPr>
        <xdr:cNvPr id="1356" name="Picture@5C\QPendientes@" descr="@5C\QPendientes@">
          <a:extLst>
            <a:ext uri="{FF2B5EF4-FFF2-40B4-BE49-F238E27FC236}">
              <a16:creationId xmlns:a16="http://schemas.microsoft.com/office/drawing/2014/main" id="{D699F88A-4C06-49D4-9A6D-21D3AFC84C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89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591</xdr:row>
      <xdr:rowOff>0</xdr:rowOff>
    </xdr:from>
    <xdr:to>
      <xdr:col>0</xdr:col>
      <xdr:colOff>171450</xdr:colOff>
      <xdr:row>591</xdr:row>
      <xdr:rowOff>133350</xdr:rowOff>
    </xdr:to>
    <xdr:pic>
      <xdr:nvPicPr>
        <xdr:cNvPr id="1357" name="Picture@5C\QPendientes@" descr="@5C\QPendientes@">
          <a:extLst>
            <a:ext uri="{FF2B5EF4-FFF2-40B4-BE49-F238E27FC236}">
              <a16:creationId xmlns:a16="http://schemas.microsoft.com/office/drawing/2014/main" id="{0822CE7E-3F34-4F60-B5E8-2909E27DEE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08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592</xdr:row>
      <xdr:rowOff>0</xdr:rowOff>
    </xdr:from>
    <xdr:to>
      <xdr:col>0</xdr:col>
      <xdr:colOff>171450</xdr:colOff>
      <xdr:row>592</xdr:row>
      <xdr:rowOff>133350</xdr:rowOff>
    </xdr:to>
    <xdr:pic>
      <xdr:nvPicPr>
        <xdr:cNvPr id="1358" name="Picture@5C\QPendientes@" descr="@5C\QPendientes@">
          <a:extLst>
            <a:ext uri="{FF2B5EF4-FFF2-40B4-BE49-F238E27FC236}">
              <a16:creationId xmlns:a16="http://schemas.microsoft.com/office/drawing/2014/main" id="{7D14AFE4-E15C-404E-9B76-7631F722CC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26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593</xdr:row>
      <xdr:rowOff>0</xdr:rowOff>
    </xdr:from>
    <xdr:to>
      <xdr:col>0</xdr:col>
      <xdr:colOff>171450</xdr:colOff>
      <xdr:row>593</xdr:row>
      <xdr:rowOff>133350</xdr:rowOff>
    </xdr:to>
    <xdr:pic>
      <xdr:nvPicPr>
        <xdr:cNvPr id="1359" name="Picture@5C\QPendientes@" descr="@5C\QPendientes@">
          <a:extLst>
            <a:ext uri="{FF2B5EF4-FFF2-40B4-BE49-F238E27FC236}">
              <a16:creationId xmlns:a16="http://schemas.microsoft.com/office/drawing/2014/main" id="{3DA1A2B4-5E06-4929-94D4-02CFBF79E7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44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594</xdr:row>
      <xdr:rowOff>0</xdr:rowOff>
    </xdr:from>
    <xdr:to>
      <xdr:col>0</xdr:col>
      <xdr:colOff>171450</xdr:colOff>
      <xdr:row>594</xdr:row>
      <xdr:rowOff>133350</xdr:rowOff>
    </xdr:to>
    <xdr:pic>
      <xdr:nvPicPr>
        <xdr:cNvPr id="1360" name="Picture@5C\QPendientes@" descr="@5C\QPendientes@">
          <a:extLst>
            <a:ext uri="{FF2B5EF4-FFF2-40B4-BE49-F238E27FC236}">
              <a16:creationId xmlns:a16="http://schemas.microsoft.com/office/drawing/2014/main" id="{2D68BA7B-1D13-4300-ADFD-CBCCC990F3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63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595</xdr:row>
      <xdr:rowOff>0</xdr:rowOff>
    </xdr:from>
    <xdr:to>
      <xdr:col>0</xdr:col>
      <xdr:colOff>171450</xdr:colOff>
      <xdr:row>595</xdr:row>
      <xdr:rowOff>133350</xdr:rowOff>
    </xdr:to>
    <xdr:pic>
      <xdr:nvPicPr>
        <xdr:cNvPr id="1361" name="Picture@5C\QPendientes@" descr="@5C\QPendientes@">
          <a:extLst>
            <a:ext uri="{FF2B5EF4-FFF2-40B4-BE49-F238E27FC236}">
              <a16:creationId xmlns:a16="http://schemas.microsoft.com/office/drawing/2014/main" id="{0BB01D82-1400-4710-B32E-3C9EDC1113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81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596</xdr:row>
      <xdr:rowOff>0</xdr:rowOff>
    </xdr:from>
    <xdr:to>
      <xdr:col>0</xdr:col>
      <xdr:colOff>171450</xdr:colOff>
      <xdr:row>596</xdr:row>
      <xdr:rowOff>133350</xdr:rowOff>
    </xdr:to>
    <xdr:pic>
      <xdr:nvPicPr>
        <xdr:cNvPr id="1362" name="Picture@5C\QPendientes@" descr="@5C\QPendientes@">
          <a:extLst>
            <a:ext uri="{FF2B5EF4-FFF2-40B4-BE49-F238E27FC236}">
              <a16:creationId xmlns:a16="http://schemas.microsoft.com/office/drawing/2014/main" id="{62D22E85-86F9-401D-B6E3-2F0E664D5E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99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597</xdr:row>
      <xdr:rowOff>0</xdr:rowOff>
    </xdr:from>
    <xdr:to>
      <xdr:col>0</xdr:col>
      <xdr:colOff>171450</xdr:colOff>
      <xdr:row>597</xdr:row>
      <xdr:rowOff>133350</xdr:rowOff>
    </xdr:to>
    <xdr:pic>
      <xdr:nvPicPr>
        <xdr:cNvPr id="1363" name="Picture@5C\QPendientes@" descr="@5C\QPendientes@">
          <a:extLst>
            <a:ext uri="{FF2B5EF4-FFF2-40B4-BE49-F238E27FC236}">
              <a16:creationId xmlns:a16="http://schemas.microsoft.com/office/drawing/2014/main" id="{36E9AD55-E84B-4325-B5B8-D7697BDE1D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17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598</xdr:row>
      <xdr:rowOff>0</xdr:rowOff>
    </xdr:from>
    <xdr:to>
      <xdr:col>0</xdr:col>
      <xdr:colOff>171450</xdr:colOff>
      <xdr:row>598</xdr:row>
      <xdr:rowOff>133350</xdr:rowOff>
    </xdr:to>
    <xdr:pic>
      <xdr:nvPicPr>
        <xdr:cNvPr id="1364" name="Picture@5C\QPendientes@" descr="@5C\QPendientes@">
          <a:extLst>
            <a:ext uri="{FF2B5EF4-FFF2-40B4-BE49-F238E27FC236}">
              <a16:creationId xmlns:a16="http://schemas.microsoft.com/office/drawing/2014/main" id="{CD2754D0-86C0-4B92-A495-8957731FDE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36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599</xdr:row>
      <xdr:rowOff>0</xdr:rowOff>
    </xdr:from>
    <xdr:to>
      <xdr:col>0</xdr:col>
      <xdr:colOff>171450</xdr:colOff>
      <xdr:row>599</xdr:row>
      <xdr:rowOff>133350</xdr:rowOff>
    </xdr:to>
    <xdr:pic>
      <xdr:nvPicPr>
        <xdr:cNvPr id="1365" name="Picture@5C\QPendientes@" descr="@5C\QPendientes@">
          <a:extLst>
            <a:ext uri="{FF2B5EF4-FFF2-40B4-BE49-F238E27FC236}">
              <a16:creationId xmlns:a16="http://schemas.microsoft.com/office/drawing/2014/main" id="{35CAECDC-DA93-49AD-8DCA-806723078F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54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600</xdr:row>
      <xdr:rowOff>0</xdr:rowOff>
    </xdr:from>
    <xdr:to>
      <xdr:col>0</xdr:col>
      <xdr:colOff>171450</xdr:colOff>
      <xdr:row>600</xdr:row>
      <xdr:rowOff>133350</xdr:rowOff>
    </xdr:to>
    <xdr:pic>
      <xdr:nvPicPr>
        <xdr:cNvPr id="1366" name="Picture@5C\QPendientes@" descr="@5C\QPendientes@">
          <a:extLst>
            <a:ext uri="{FF2B5EF4-FFF2-40B4-BE49-F238E27FC236}">
              <a16:creationId xmlns:a16="http://schemas.microsoft.com/office/drawing/2014/main" id="{893FE673-B835-4CC0-953D-912F7D16CF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601</xdr:row>
      <xdr:rowOff>0</xdr:rowOff>
    </xdr:from>
    <xdr:to>
      <xdr:col>0</xdr:col>
      <xdr:colOff>171450</xdr:colOff>
      <xdr:row>601</xdr:row>
      <xdr:rowOff>133350</xdr:rowOff>
    </xdr:to>
    <xdr:pic>
      <xdr:nvPicPr>
        <xdr:cNvPr id="1367" name="Picture@5C\QPendientes@" descr="@5C\QPendientes@">
          <a:extLst>
            <a:ext uri="{FF2B5EF4-FFF2-40B4-BE49-F238E27FC236}">
              <a16:creationId xmlns:a16="http://schemas.microsoft.com/office/drawing/2014/main" id="{B5B18FE2-0462-4027-A013-58B880AA4C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91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602</xdr:row>
      <xdr:rowOff>0</xdr:rowOff>
    </xdr:from>
    <xdr:to>
      <xdr:col>0</xdr:col>
      <xdr:colOff>171450</xdr:colOff>
      <xdr:row>602</xdr:row>
      <xdr:rowOff>133350</xdr:rowOff>
    </xdr:to>
    <xdr:pic>
      <xdr:nvPicPr>
        <xdr:cNvPr id="1368" name="Picture@5C\QPendientes@" descr="@5C\QPendientes@">
          <a:extLst>
            <a:ext uri="{FF2B5EF4-FFF2-40B4-BE49-F238E27FC236}">
              <a16:creationId xmlns:a16="http://schemas.microsoft.com/office/drawing/2014/main" id="{CFFCD8F4-6290-4ECD-97F5-90345C68D3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09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603</xdr:row>
      <xdr:rowOff>0</xdr:rowOff>
    </xdr:from>
    <xdr:to>
      <xdr:col>0</xdr:col>
      <xdr:colOff>171450</xdr:colOff>
      <xdr:row>603</xdr:row>
      <xdr:rowOff>133350</xdr:rowOff>
    </xdr:to>
    <xdr:pic>
      <xdr:nvPicPr>
        <xdr:cNvPr id="1369" name="Picture@5C\QPendientes@" descr="@5C\QPendientes@">
          <a:extLst>
            <a:ext uri="{FF2B5EF4-FFF2-40B4-BE49-F238E27FC236}">
              <a16:creationId xmlns:a16="http://schemas.microsoft.com/office/drawing/2014/main" id="{68154904-D6D1-4C81-AB41-0BE7545AE0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27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604</xdr:row>
      <xdr:rowOff>0</xdr:rowOff>
    </xdr:from>
    <xdr:to>
      <xdr:col>0</xdr:col>
      <xdr:colOff>171450</xdr:colOff>
      <xdr:row>604</xdr:row>
      <xdr:rowOff>133350</xdr:rowOff>
    </xdr:to>
    <xdr:pic>
      <xdr:nvPicPr>
        <xdr:cNvPr id="1370" name="Picture@5C\QPendientes@" descr="@5C\QPendientes@">
          <a:extLst>
            <a:ext uri="{FF2B5EF4-FFF2-40B4-BE49-F238E27FC236}">
              <a16:creationId xmlns:a16="http://schemas.microsoft.com/office/drawing/2014/main" id="{A5CBB248-811F-46EC-B2EF-60DB957B27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45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605</xdr:row>
      <xdr:rowOff>0</xdr:rowOff>
    </xdr:from>
    <xdr:to>
      <xdr:col>0</xdr:col>
      <xdr:colOff>171450</xdr:colOff>
      <xdr:row>605</xdr:row>
      <xdr:rowOff>133350</xdr:rowOff>
    </xdr:to>
    <xdr:pic>
      <xdr:nvPicPr>
        <xdr:cNvPr id="1371" name="Picture@5C\QPendientes@" descr="@5C\QPendientes@">
          <a:extLst>
            <a:ext uri="{FF2B5EF4-FFF2-40B4-BE49-F238E27FC236}">
              <a16:creationId xmlns:a16="http://schemas.microsoft.com/office/drawing/2014/main" id="{2CB0A043-A4C4-4B6C-807F-83E932E8B6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64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606</xdr:row>
      <xdr:rowOff>0</xdr:rowOff>
    </xdr:from>
    <xdr:to>
      <xdr:col>0</xdr:col>
      <xdr:colOff>171450</xdr:colOff>
      <xdr:row>606</xdr:row>
      <xdr:rowOff>133350</xdr:rowOff>
    </xdr:to>
    <xdr:pic>
      <xdr:nvPicPr>
        <xdr:cNvPr id="1372" name="Picture@5C\QPendientes@" descr="@5C\QPendientes@">
          <a:extLst>
            <a:ext uri="{FF2B5EF4-FFF2-40B4-BE49-F238E27FC236}">
              <a16:creationId xmlns:a16="http://schemas.microsoft.com/office/drawing/2014/main" id="{13D47BFE-C9E9-47B8-8B8D-E205390D20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82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607</xdr:row>
      <xdr:rowOff>0</xdr:rowOff>
    </xdr:from>
    <xdr:to>
      <xdr:col>0</xdr:col>
      <xdr:colOff>171450</xdr:colOff>
      <xdr:row>607</xdr:row>
      <xdr:rowOff>133350</xdr:rowOff>
    </xdr:to>
    <xdr:pic>
      <xdr:nvPicPr>
        <xdr:cNvPr id="1373" name="Picture@5C\QPendientes@" descr="@5C\QPendientes@">
          <a:extLst>
            <a:ext uri="{FF2B5EF4-FFF2-40B4-BE49-F238E27FC236}">
              <a16:creationId xmlns:a16="http://schemas.microsoft.com/office/drawing/2014/main" id="{0718EB95-A24E-478A-8618-87923C52F9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00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608</xdr:row>
      <xdr:rowOff>0</xdr:rowOff>
    </xdr:from>
    <xdr:to>
      <xdr:col>0</xdr:col>
      <xdr:colOff>171450</xdr:colOff>
      <xdr:row>608</xdr:row>
      <xdr:rowOff>133350</xdr:rowOff>
    </xdr:to>
    <xdr:pic>
      <xdr:nvPicPr>
        <xdr:cNvPr id="1374" name="Picture@5C\QPendientes@" descr="@5C\QPendientes@">
          <a:extLst>
            <a:ext uri="{FF2B5EF4-FFF2-40B4-BE49-F238E27FC236}">
              <a16:creationId xmlns:a16="http://schemas.microsoft.com/office/drawing/2014/main" id="{63F7AAA0-FF88-4030-88B4-01A8D58D9C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19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609</xdr:row>
      <xdr:rowOff>0</xdr:rowOff>
    </xdr:from>
    <xdr:to>
      <xdr:col>0</xdr:col>
      <xdr:colOff>171450</xdr:colOff>
      <xdr:row>609</xdr:row>
      <xdr:rowOff>133350</xdr:rowOff>
    </xdr:to>
    <xdr:pic>
      <xdr:nvPicPr>
        <xdr:cNvPr id="1375" name="Picture@5C\QPendientes@" descr="@5C\QPendientes@">
          <a:extLst>
            <a:ext uri="{FF2B5EF4-FFF2-40B4-BE49-F238E27FC236}">
              <a16:creationId xmlns:a16="http://schemas.microsoft.com/office/drawing/2014/main" id="{D7AC043A-8128-4FEB-976D-684875DCC8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37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610</xdr:row>
      <xdr:rowOff>0</xdr:rowOff>
    </xdr:from>
    <xdr:to>
      <xdr:col>0</xdr:col>
      <xdr:colOff>171450</xdr:colOff>
      <xdr:row>610</xdr:row>
      <xdr:rowOff>133350</xdr:rowOff>
    </xdr:to>
    <xdr:pic>
      <xdr:nvPicPr>
        <xdr:cNvPr id="1376" name="Picture@5C\QPendientes@" descr="@5C\QPendientes@">
          <a:extLst>
            <a:ext uri="{FF2B5EF4-FFF2-40B4-BE49-F238E27FC236}">
              <a16:creationId xmlns:a16="http://schemas.microsoft.com/office/drawing/2014/main" id="{21302BA8-B9FA-42F9-A127-E4976DF5FB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55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611</xdr:row>
      <xdr:rowOff>0</xdr:rowOff>
    </xdr:from>
    <xdr:to>
      <xdr:col>0</xdr:col>
      <xdr:colOff>171450</xdr:colOff>
      <xdr:row>611</xdr:row>
      <xdr:rowOff>133350</xdr:rowOff>
    </xdr:to>
    <xdr:pic>
      <xdr:nvPicPr>
        <xdr:cNvPr id="1377" name="Picture@5C\QPendientes@" descr="@5C\QPendientes@">
          <a:extLst>
            <a:ext uri="{FF2B5EF4-FFF2-40B4-BE49-F238E27FC236}">
              <a16:creationId xmlns:a16="http://schemas.microsoft.com/office/drawing/2014/main" id="{3A0FE493-2D7F-4C7B-97E7-9509F55DD1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73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612</xdr:row>
      <xdr:rowOff>0</xdr:rowOff>
    </xdr:from>
    <xdr:to>
      <xdr:col>0</xdr:col>
      <xdr:colOff>171450</xdr:colOff>
      <xdr:row>612</xdr:row>
      <xdr:rowOff>133350</xdr:rowOff>
    </xdr:to>
    <xdr:pic>
      <xdr:nvPicPr>
        <xdr:cNvPr id="1378" name="Picture@5C\QPendientes@" descr="@5C\QPendientes@">
          <a:extLst>
            <a:ext uri="{FF2B5EF4-FFF2-40B4-BE49-F238E27FC236}">
              <a16:creationId xmlns:a16="http://schemas.microsoft.com/office/drawing/2014/main" id="{07879D7F-C756-4658-AADB-B7E35852EB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92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613</xdr:row>
      <xdr:rowOff>0</xdr:rowOff>
    </xdr:from>
    <xdr:to>
      <xdr:col>0</xdr:col>
      <xdr:colOff>171450</xdr:colOff>
      <xdr:row>613</xdr:row>
      <xdr:rowOff>133350</xdr:rowOff>
    </xdr:to>
    <xdr:pic>
      <xdr:nvPicPr>
        <xdr:cNvPr id="1379" name="Picture@5C\QPendientes@" descr="@5C\QPendientes@">
          <a:extLst>
            <a:ext uri="{FF2B5EF4-FFF2-40B4-BE49-F238E27FC236}">
              <a16:creationId xmlns:a16="http://schemas.microsoft.com/office/drawing/2014/main" id="{024DD374-00AC-420F-A32E-762A729A8F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10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614</xdr:row>
      <xdr:rowOff>0</xdr:rowOff>
    </xdr:from>
    <xdr:to>
      <xdr:col>0</xdr:col>
      <xdr:colOff>171450</xdr:colOff>
      <xdr:row>614</xdr:row>
      <xdr:rowOff>133350</xdr:rowOff>
    </xdr:to>
    <xdr:pic>
      <xdr:nvPicPr>
        <xdr:cNvPr id="1380" name="Picture@5C\QPendientes@" descr="@5C\QPendientes@">
          <a:extLst>
            <a:ext uri="{FF2B5EF4-FFF2-40B4-BE49-F238E27FC236}">
              <a16:creationId xmlns:a16="http://schemas.microsoft.com/office/drawing/2014/main" id="{A7130839-A441-4E22-BA92-72830E8FBE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28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615</xdr:row>
      <xdr:rowOff>0</xdr:rowOff>
    </xdr:from>
    <xdr:to>
      <xdr:col>0</xdr:col>
      <xdr:colOff>171450</xdr:colOff>
      <xdr:row>615</xdr:row>
      <xdr:rowOff>133350</xdr:rowOff>
    </xdr:to>
    <xdr:pic>
      <xdr:nvPicPr>
        <xdr:cNvPr id="1381" name="Picture@5C\QPendientes@" descr="@5C\QPendientes@">
          <a:extLst>
            <a:ext uri="{FF2B5EF4-FFF2-40B4-BE49-F238E27FC236}">
              <a16:creationId xmlns:a16="http://schemas.microsoft.com/office/drawing/2014/main" id="{422FD285-3753-4BF0-A1C8-1B63202447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47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616</xdr:row>
      <xdr:rowOff>0</xdr:rowOff>
    </xdr:from>
    <xdr:to>
      <xdr:col>0</xdr:col>
      <xdr:colOff>171450</xdr:colOff>
      <xdr:row>616</xdr:row>
      <xdr:rowOff>133350</xdr:rowOff>
    </xdr:to>
    <xdr:pic>
      <xdr:nvPicPr>
        <xdr:cNvPr id="1382" name="Picture@5C\QPendientes@" descr="@5C\QPendientes@">
          <a:extLst>
            <a:ext uri="{FF2B5EF4-FFF2-40B4-BE49-F238E27FC236}">
              <a16:creationId xmlns:a16="http://schemas.microsoft.com/office/drawing/2014/main" id="{42621BF5-677F-4DFD-A99A-78C2884494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65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617</xdr:row>
      <xdr:rowOff>0</xdr:rowOff>
    </xdr:from>
    <xdr:to>
      <xdr:col>0</xdr:col>
      <xdr:colOff>171450</xdr:colOff>
      <xdr:row>617</xdr:row>
      <xdr:rowOff>133350</xdr:rowOff>
    </xdr:to>
    <xdr:pic>
      <xdr:nvPicPr>
        <xdr:cNvPr id="1383" name="Picture@5C\QPendientes@" descr="@5C\QPendientes@">
          <a:extLst>
            <a:ext uri="{FF2B5EF4-FFF2-40B4-BE49-F238E27FC236}">
              <a16:creationId xmlns:a16="http://schemas.microsoft.com/office/drawing/2014/main" id="{E6856CEA-7294-4889-B706-D580CE1438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83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618</xdr:row>
      <xdr:rowOff>0</xdr:rowOff>
    </xdr:from>
    <xdr:to>
      <xdr:col>0</xdr:col>
      <xdr:colOff>171450</xdr:colOff>
      <xdr:row>618</xdr:row>
      <xdr:rowOff>133350</xdr:rowOff>
    </xdr:to>
    <xdr:pic>
      <xdr:nvPicPr>
        <xdr:cNvPr id="1384" name="Picture@5C\QPendientes@" descr="@5C\QPendientes@">
          <a:extLst>
            <a:ext uri="{FF2B5EF4-FFF2-40B4-BE49-F238E27FC236}">
              <a16:creationId xmlns:a16="http://schemas.microsoft.com/office/drawing/2014/main" id="{AA489D29-705E-4A7C-A482-B4EB9ADD9D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01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619</xdr:row>
      <xdr:rowOff>0</xdr:rowOff>
    </xdr:from>
    <xdr:to>
      <xdr:col>0</xdr:col>
      <xdr:colOff>171450</xdr:colOff>
      <xdr:row>619</xdr:row>
      <xdr:rowOff>133350</xdr:rowOff>
    </xdr:to>
    <xdr:pic>
      <xdr:nvPicPr>
        <xdr:cNvPr id="1385" name="Picture@5C\QPendientes@" descr="@5C\QPendientes@">
          <a:extLst>
            <a:ext uri="{FF2B5EF4-FFF2-40B4-BE49-F238E27FC236}">
              <a16:creationId xmlns:a16="http://schemas.microsoft.com/office/drawing/2014/main" id="{DA1C7ED5-5537-4C70-84F0-2606EFF172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20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620</xdr:row>
      <xdr:rowOff>0</xdr:rowOff>
    </xdr:from>
    <xdr:to>
      <xdr:col>0</xdr:col>
      <xdr:colOff>171450</xdr:colOff>
      <xdr:row>620</xdr:row>
      <xdr:rowOff>133350</xdr:rowOff>
    </xdr:to>
    <xdr:pic>
      <xdr:nvPicPr>
        <xdr:cNvPr id="1386" name="Picture@5C\QPendientes@" descr="@5C\QPendientes@">
          <a:extLst>
            <a:ext uri="{FF2B5EF4-FFF2-40B4-BE49-F238E27FC236}">
              <a16:creationId xmlns:a16="http://schemas.microsoft.com/office/drawing/2014/main" id="{A174C704-E050-4165-9F31-160A27260A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38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621</xdr:row>
      <xdr:rowOff>0</xdr:rowOff>
    </xdr:from>
    <xdr:to>
      <xdr:col>0</xdr:col>
      <xdr:colOff>171450</xdr:colOff>
      <xdr:row>621</xdr:row>
      <xdr:rowOff>133350</xdr:rowOff>
    </xdr:to>
    <xdr:pic>
      <xdr:nvPicPr>
        <xdr:cNvPr id="1387" name="Picture@5C\QPendientes@" descr="@5C\QPendientes@">
          <a:extLst>
            <a:ext uri="{FF2B5EF4-FFF2-40B4-BE49-F238E27FC236}">
              <a16:creationId xmlns:a16="http://schemas.microsoft.com/office/drawing/2014/main" id="{53170869-3A66-406A-B3FC-9BBF47F645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56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622</xdr:row>
      <xdr:rowOff>0</xdr:rowOff>
    </xdr:from>
    <xdr:to>
      <xdr:col>0</xdr:col>
      <xdr:colOff>171450</xdr:colOff>
      <xdr:row>622</xdr:row>
      <xdr:rowOff>133350</xdr:rowOff>
    </xdr:to>
    <xdr:pic>
      <xdr:nvPicPr>
        <xdr:cNvPr id="1388" name="Picture@5C\QPendientes@" descr="@5C\QPendientes@">
          <a:extLst>
            <a:ext uri="{FF2B5EF4-FFF2-40B4-BE49-F238E27FC236}">
              <a16:creationId xmlns:a16="http://schemas.microsoft.com/office/drawing/2014/main" id="{274B0EC5-0DE3-4D34-9764-DE3A76ED6E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75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623</xdr:row>
      <xdr:rowOff>0</xdr:rowOff>
    </xdr:from>
    <xdr:to>
      <xdr:col>0</xdr:col>
      <xdr:colOff>171450</xdr:colOff>
      <xdr:row>623</xdr:row>
      <xdr:rowOff>133350</xdr:rowOff>
    </xdr:to>
    <xdr:pic>
      <xdr:nvPicPr>
        <xdr:cNvPr id="1389" name="Picture@5C\QPendientes@" descr="@5C\QPendientes@">
          <a:extLst>
            <a:ext uri="{FF2B5EF4-FFF2-40B4-BE49-F238E27FC236}">
              <a16:creationId xmlns:a16="http://schemas.microsoft.com/office/drawing/2014/main" id="{51DD4277-BC26-4113-935A-D2E9A28CC9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93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624</xdr:row>
      <xdr:rowOff>0</xdr:rowOff>
    </xdr:from>
    <xdr:to>
      <xdr:col>0</xdr:col>
      <xdr:colOff>171450</xdr:colOff>
      <xdr:row>624</xdr:row>
      <xdr:rowOff>133350</xdr:rowOff>
    </xdr:to>
    <xdr:pic>
      <xdr:nvPicPr>
        <xdr:cNvPr id="1390" name="Picture@5C\QPendientes@" descr="@5C\QPendientes@">
          <a:extLst>
            <a:ext uri="{FF2B5EF4-FFF2-40B4-BE49-F238E27FC236}">
              <a16:creationId xmlns:a16="http://schemas.microsoft.com/office/drawing/2014/main" id="{E2505B5C-EED7-4EF7-8357-6F20135305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11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625</xdr:row>
      <xdr:rowOff>0</xdr:rowOff>
    </xdr:from>
    <xdr:to>
      <xdr:col>0</xdr:col>
      <xdr:colOff>171450</xdr:colOff>
      <xdr:row>625</xdr:row>
      <xdr:rowOff>133350</xdr:rowOff>
    </xdr:to>
    <xdr:pic>
      <xdr:nvPicPr>
        <xdr:cNvPr id="1391" name="Picture@5C\QPendientes@" descr="@5C\QPendientes@">
          <a:extLst>
            <a:ext uri="{FF2B5EF4-FFF2-40B4-BE49-F238E27FC236}">
              <a16:creationId xmlns:a16="http://schemas.microsoft.com/office/drawing/2014/main" id="{AE188D59-7F6C-49E6-BF4E-468A659BDA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30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626</xdr:row>
      <xdr:rowOff>0</xdr:rowOff>
    </xdr:from>
    <xdr:to>
      <xdr:col>0</xdr:col>
      <xdr:colOff>171450</xdr:colOff>
      <xdr:row>626</xdr:row>
      <xdr:rowOff>133350</xdr:rowOff>
    </xdr:to>
    <xdr:pic>
      <xdr:nvPicPr>
        <xdr:cNvPr id="1392" name="Picture@5C\QPendientes@" descr="@5C\QPendientes@">
          <a:extLst>
            <a:ext uri="{FF2B5EF4-FFF2-40B4-BE49-F238E27FC236}">
              <a16:creationId xmlns:a16="http://schemas.microsoft.com/office/drawing/2014/main" id="{7805ACC7-8C0B-415D-9485-7D9AF0E94C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48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627</xdr:row>
      <xdr:rowOff>0</xdr:rowOff>
    </xdr:from>
    <xdr:to>
      <xdr:col>0</xdr:col>
      <xdr:colOff>171450</xdr:colOff>
      <xdr:row>627</xdr:row>
      <xdr:rowOff>133350</xdr:rowOff>
    </xdr:to>
    <xdr:pic>
      <xdr:nvPicPr>
        <xdr:cNvPr id="1393" name="Picture@5C\QPendientes@" descr="@5C\QPendientes@">
          <a:extLst>
            <a:ext uri="{FF2B5EF4-FFF2-40B4-BE49-F238E27FC236}">
              <a16:creationId xmlns:a16="http://schemas.microsoft.com/office/drawing/2014/main" id="{48362EC1-6391-4A52-B84C-9B61AEA2FE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66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628</xdr:row>
      <xdr:rowOff>0</xdr:rowOff>
    </xdr:from>
    <xdr:to>
      <xdr:col>0</xdr:col>
      <xdr:colOff>171450</xdr:colOff>
      <xdr:row>628</xdr:row>
      <xdr:rowOff>133350</xdr:rowOff>
    </xdr:to>
    <xdr:pic>
      <xdr:nvPicPr>
        <xdr:cNvPr id="1394" name="Picture@5C\QPendientes@" descr="@5C\QPendientes@">
          <a:extLst>
            <a:ext uri="{FF2B5EF4-FFF2-40B4-BE49-F238E27FC236}">
              <a16:creationId xmlns:a16="http://schemas.microsoft.com/office/drawing/2014/main" id="{4C7BF4D2-CD50-4435-A137-769552FA62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84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629</xdr:row>
      <xdr:rowOff>0</xdr:rowOff>
    </xdr:from>
    <xdr:to>
      <xdr:col>0</xdr:col>
      <xdr:colOff>171450</xdr:colOff>
      <xdr:row>629</xdr:row>
      <xdr:rowOff>133350</xdr:rowOff>
    </xdr:to>
    <xdr:pic>
      <xdr:nvPicPr>
        <xdr:cNvPr id="1395" name="Picture@5C\QPendientes@" descr="@5C\QPendientes@">
          <a:extLst>
            <a:ext uri="{FF2B5EF4-FFF2-40B4-BE49-F238E27FC236}">
              <a16:creationId xmlns:a16="http://schemas.microsoft.com/office/drawing/2014/main" id="{0AC55541-8DD4-4923-8830-A6D3568638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03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630</xdr:row>
      <xdr:rowOff>0</xdr:rowOff>
    </xdr:from>
    <xdr:to>
      <xdr:col>0</xdr:col>
      <xdr:colOff>171450</xdr:colOff>
      <xdr:row>630</xdr:row>
      <xdr:rowOff>133350</xdr:rowOff>
    </xdr:to>
    <xdr:pic>
      <xdr:nvPicPr>
        <xdr:cNvPr id="1396" name="Picture@5C\QPendientes@" descr="@5C\QPendientes@">
          <a:extLst>
            <a:ext uri="{FF2B5EF4-FFF2-40B4-BE49-F238E27FC236}">
              <a16:creationId xmlns:a16="http://schemas.microsoft.com/office/drawing/2014/main" id="{B5C27ABB-FA52-49DE-A457-04603A82AA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21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631</xdr:row>
      <xdr:rowOff>0</xdr:rowOff>
    </xdr:from>
    <xdr:to>
      <xdr:col>0</xdr:col>
      <xdr:colOff>171450</xdr:colOff>
      <xdr:row>631</xdr:row>
      <xdr:rowOff>133350</xdr:rowOff>
    </xdr:to>
    <xdr:pic>
      <xdr:nvPicPr>
        <xdr:cNvPr id="1397" name="Picture@5C\QPendientes@" descr="@5C\QPendientes@">
          <a:extLst>
            <a:ext uri="{FF2B5EF4-FFF2-40B4-BE49-F238E27FC236}">
              <a16:creationId xmlns:a16="http://schemas.microsoft.com/office/drawing/2014/main" id="{9B91178E-A021-4514-B2BE-F187AC7730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39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632</xdr:row>
      <xdr:rowOff>0</xdr:rowOff>
    </xdr:from>
    <xdr:to>
      <xdr:col>0</xdr:col>
      <xdr:colOff>171450</xdr:colOff>
      <xdr:row>632</xdr:row>
      <xdr:rowOff>133350</xdr:rowOff>
    </xdr:to>
    <xdr:pic>
      <xdr:nvPicPr>
        <xdr:cNvPr id="1398" name="Picture@5C\QPendientes@" descr="@5C\QPendientes@">
          <a:extLst>
            <a:ext uri="{FF2B5EF4-FFF2-40B4-BE49-F238E27FC236}">
              <a16:creationId xmlns:a16="http://schemas.microsoft.com/office/drawing/2014/main" id="{50D728FB-6891-4786-8376-95175B5A2A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58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633</xdr:row>
      <xdr:rowOff>0</xdr:rowOff>
    </xdr:from>
    <xdr:to>
      <xdr:col>0</xdr:col>
      <xdr:colOff>171450</xdr:colOff>
      <xdr:row>633</xdr:row>
      <xdr:rowOff>133350</xdr:rowOff>
    </xdr:to>
    <xdr:pic>
      <xdr:nvPicPr>
        <xdr:cNvPr id="1399" name="Picture@5C\QPendientes@" descr="@5C\QPendientes@">
          <a:extLst>
            <a:ext uri="{FF2B5EF4-FFF2-40B4-BE49-F238E27FC236}">
              <a16:creationId xmlns:a16="http://schemas.microsoft.com/office/drawing/2014/main" id="{8C36D2C0-EE73-4D5C-83C3-D280C04A27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76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634</xdr:row>
      <xdr:rowOff>0</xdr:rowOff>
    </xdr:from>
    <xdr:to>
      <xdr:col>0</xdr:col>
      <xdr:colOff>171450</xdr:colOff>
      <xdr:row>634</xdr:row>
      <xdr:rowOff>133350</xdr:rowOff>
    </xdr:to>
    <xdr:pic>
      <xdr:nvPicPr>
        <xdr:cNvPr id="1400" name="Picture@5C\QPendientes@" descr="@5C\QPendientes@">
          <a:extLst>
            <a:ext uri="{FF2B5EF4-FFF2-40B4-BE49-F238E27FC236}">
              <a16:creationId xmlns:a16="http://schemas.microsoft.com/office/drawing/2014/main" id="{1B6A6620-A100-47A6-9CB1-B2EA44E799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94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635</xdr:row>
      <xdr:rowOff>0</xdr:rowOff>
    </xdr:from>
    <xdr:to>
      <xdr:col>0</xdr:col>
      <xdr:colOff>171450</xdr:colOff>
      <xdr:row>635</xdr:row>
      <xdr:rowOff>133350</xdr:rowOff>
    </xdr:to>
    <xdr:pic>
      <xdr:nvPicPr>
        <xdr:cNvPr id="1401" name="Picture@5C\QPendientes@" descr="@5C\QPendientes@">
          <a:extLst>
            <a:ext uri="{FF2B5EF4-FFF2-40B4-BE49-F238E27FC236}">
              <a16:creationId xmlns:a16="http://schemas.microsoft.com/office/drawing/2014/main" id="{494E2BA6-0AC4-43A5-A424-FD5DF3FEA8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12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636</xdr:row>
      <xdr:rowOff>0</xdr:rowOff>
    </xdr:from>
    <xdr:to>
      <xdr:col>0</xdr:col>
      <xdr:colOff>171450</xdr:colOff>
      <xdr:row>636</xdr:row>
      <xdr:rowOff>133350</xdr:rowOff>
    </xdr:to>
    <xdr:pic>
      <xdr:nvPicPr>
        <xdr:cNvPr id="1402" name="Picture@5C\QPendientes@" descr="@5C\QPendientes@">
          <a:extLst>
            <a:ext uri="{FF2B5EF4-FFF2-40B4-BE49-F238E27FC236}">
              <a16:creationId xmlns:a16="http://schemas.microsoft.com/office/drawing/2014/main" id="{EDF5A575-55B1-42BF-ACC6-689F178916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31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637</xdr:row>
      <xdr:rowOff>0</xdr:rowOff>
    </xdr:from>
    <xdr:to>
      <xdr:col>0</xdr:col>
      <xdr:colOff>171450</xdr:colOff>
      <xdr:row>637</xdr:row>
      <xdr:rowOff>133350</xdr:rowOff>
    </xdr:to>
    <xdr:pic>
      <xdr:nvPicPr>
        <xdr:cNvPr id="1403" name="Picture@5C\QPendientes@" descr="@5C\QPendientes@">
          <a:extLst>
            <a:ext uri="{FF2B5EF4-FFF2-40B4-BE49-F238E27FC236}">
              <a16:creationId xmlns:a16="http://schemas.microsoft.com/office/drawing/2014/main" id="{23BFB273-48C3-41DE-8A97-2B7A2F22F4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49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638</xdr:row>
      <xdr:rowOff>0</xdr:rowOff>
    </xdr:from>
    <xdr:to>
      <xdr:col>0</xdr:col>
      <xdr:colOff>171450</xdr:colOff>
      <xdr:row>638</xdr:row>
      <xdr:rowOff>133350</xdr:rowOff>
    </xdr:to>
    <xdr:pic>
      <xdr:nvPicPr>
        <xdr:cNvPr id="1404" name="Picture@5C\QPendientes@" descr="@5C\QPendientes@">
          <a:extLst>
            <a:ext uri="{FF2B5EF4-FFF2-40B4-BE49-F238E27FC236}">
              <a16:creationId xmlns:a16="http://schemas.microsoft.com/office/drawing/2014/main" id="{8FC1D802-ECDF-4A0E-966D-316BC620C4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67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639</xdr:row>
      <xdr:rowOff>0</xdr:rowOff>
    </xdr:from>
    <xdr:to>
      <xdr:col>0</xdr:col>
      <xdr:colOff>171450</xdr:colOff>
      <xdr:row>639</xdr:row>
      <xdr:rowOff>133350</xdr:rowOff>
    </xdr:to>
    <xdr:pic>
      <xdr:nvPicPr>
        <xdr:cNvPr id="1405" name="Picture@5C\QPendientes@" descr="@5C\QPendientes@">
          <a:extLst>
            <a:ext uri="{FF2B5EF4-FFF2-40B4-BE49-F238E27FC236}">
              <a16:creationId xmlns:a16="http://schemas.microsoft.com/office/drawing/2014/main" id="{F33FC7D5-761B-4CE9-929D-38DDFEA136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86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640</xdr:row>
      <xdr:rowOff>0</xdr:rowOff>
    </xdr:from>
    <xdr:to>
      <xdr:col>0</xdr:col>
      <xdr:colOff>171450</xdr:colOff>
      <xdr:row>640</xdr:row>
      <xdr:rowOff>133350</xdr:rowOff>
    </xdr:to>
    <xdr:pic>
      <xdr:nvPicPr>
        <xdr:cNvPr id="1406" name="Picture@5C\QPendientes@" descr="@5C\QPendientes@">
          <a:extLst>
            <a:ext uri="{FF2B5EF4-FFF2-40B4-BE49-F238E27FC236}">
              <a16:creationId xmlns:a16="http://schemas.microsoft.com/office/drawing/2014/main" id="{671B1469-A70F-4A20-9829-348C12F8A0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04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641</xdr:row>
      <xdr:rowOff>0</xdr:rowOff>
    </xdr:from>
    <xdr:to>
      <xdr:col>0</xdr:col>
      <xdr:colOff>171450</xdr:colOff>
      <xdr:row>641</xdr:row>
      <xdr:rowOff>133350</xdr:rowOff>
    </xdr:to>
    <xdr:pic>
      <xdr:nvPicPr>
        <xdr:cNvPr id="1407" name="Picture@5C\QPendientes@" descr="@5C\QPendientes@">
          <a:extLst>
            <a:ext uri="{FF2B5EF4-FFF2-40B4-BE49-F238E27FC236}">
              <a16:creationId xmlns:a16="http://schemas.microsoft.com/office/drawing/2014/main" id="{83E8B1BE-A0EF-43F1-B93E-E94F32EB7B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22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642</xdr:row>
      <xdr:rowOff>0</xdr:rowOff>
    </xdr:from>
    <xdr:to>
      <xdr:col>0</xdr:col>
      <xdr:colOff>171450</xdr:colOff>
      <xdr:row>642</xdr:row>
      <xdr:rowOff>133350</xdr:rowOff>
    </xdr:to>
    <xdr:pic>
      <xdr:nvPicPr>
        <xdr:cNvPr id="1408" name="Picture@5C\QPendientes@" descr="@5C\QPendientes@">
          <a:extLst>
            <a:ext uri="{FF2B5EF4-FFF2-40B4-BE49-F238E27FC236}">
              <a16:creationId xmlns:a16="http://schemas.microsoft.com/office/drawing/2014/main" id="{00B08972-5ACA-4CA1-A1FA-9BB937D547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40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643</xdr:row>
      <xdr:rowOff>0</xdr:rowOff>
    </xdr:from>
    <xdr:to>
      <xdr:col>0</xdr:col>
      <xdr:colOff>171450</xdr:colOff>
      <xdr:row>643</xdr:row>
      <xdr:rowOff>133350</xdr:rowOff>
    </xdr:to>
    <xdr:pic>
      <xdr:nvPicPr>
        <xdr:cNvPr id="1409" name="Picture@5C\QPendientes@" descr="@5C\QPendientes@">
          <a:extLst>
            <a:ext uri="{FF2B5EF4-FFF2-40B4-BE49-F238E27FC236}">
              <a16:creationId xmlns:a16="http://schemas.microsoft.com/office/drawing/2014/main" id="{FA997743-C87F-4CB0-90A5-E381042D9A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59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644</xdr:row>
      <xdr:rowOff>0</xdr:rowOff>
    </xdr:from>
    <xdr:to>
      <xdr:col>0</xdr:col>
      <xdr:colOff>171450</xdr:colOff>
      <xdr:row>644</xdr:row>
      <xdr:rowOff>133350</xdr:rowOff>
    </xdr:to>
    <xdr:pic>
      <xdr:nvPicPr>
        <xdr:cNvPr id="1410" name="Picture@5C\QPendientes@" descr="@5C\QPendientes@">
          <a:extLst>
            <a:ext uri="{FF2B5EF4-FFF2-40B4-BE49-F238E27FC236}">
              <a16:creationId xmlns:a16="http://schemas.microsoft.com/office/drawing/2014/main" id="{E21D4679-E255-49FA-BF63-EC28928BB8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77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645</xdr:row>
      <xdr:rowOff>0</xdr:rowOff>
    </xdr:from>
    <xdr:to>
      <xdr:col>0</xdr:col>
      <xdr:colOff>171450</xdr:colOff>
      <xdr:row>645</xdr:row>
      <xdr:rowOff>133350</xdr:rowOff>
    </xdr:to>
    <xdr:pic>
      <xdr:nvPicPr>
        <xdr:cNvPr id="1411" name="Picture@5C\QPendientes@" descr="@5C\QPendientes@">
          <a:extLst>
            <a:ext uri="{FF2B5EF4-FFF2-40B4-BE49-F238E27FC236}">
              <a16:creationId xmlns:a16="http://schemas.microsoft.com/office/drawing/2014/main" id="{67968CDA-26E5-4FE0-8D3F-59B52DB37F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95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646</xdr:row>
      <xdr:rowOff>0</xdr:rowOff>
    </xdr:from>
    <xdr:to>
      <xdr:col>0</xdr:col>
      <xdr:colOff>171450</xdr:colOff>
      <xdr:row>646</xdr:row>
      <xdr:rowOff>133350</xdr:rowOff>
    </xdr:to>
    <xdr:pic>
      <xdr:nvPicPr>
        <xdr:cNvPr id="1412" name="Picture@5C\QPendientes@" descr="@5C\QPendientes@">
          <a:extLst>
            <a:ext uri="{FF2B5EF4-FFF2-40B4-BE49-F238E27FC236}">
              <a16:creationId xmlns:a16="http://schemas.microsoft.com/office/drawing/2014/main" id="{97CE5759-A15C-4597-ADC2-5BF5EFFE3E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14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647</xdr:row>
      <xdr:rowOff>0</xdr:rowOff>
    </xdr:from>
    <xdr:to>
      <xdr:col>0</xdr:col>
      <xdr:colOff>171450</xdr:colOff>
      <xdr:row>647</xdr:row>
      <xdr:rowOff>133350</xdr:rowOff>
    </xdr:to>
    <xdr:pic>
      <xdr:nvPicPr>
        <xdr:cNvPr id="1413" name="Picture@5C\QPendientes@" descr="@5C\QPendientes@">
          <a:extLst>
            <a:ext uri="{FF2B5EF4-FFF2-40B4-BE49-F238E27FC236}">
              <a16:creationId xmlns:a16="http://schemas.microsoft.com/office/drawing/2014/main" id="{694D0D06-FEDD-45FF-9034-7A9DA7CFCF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32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648</xdr:row>
      <xdr:rowOff>0</xdr:rowOff>
    </xdr:from>
    <xdr:to>
      <xdr:col>0</xdr:col>
      <xdr:colOff>171450</xdr:colOff>
      <xdr:row>648</xdr:row>
      <xdr:rowOff>133350</xdr:rowOff>
    </xdr:to>
    <xdr:pic>
      <xdr:nvPicPr>
        <xdr:cNvPr id="1414" name="Picture@5C\QPendientes@" descr="@5C\QPendientes@">
          <a:extLst>
            <a:ext uri="{FF2B5EF4-FFF2-40B4-BE49-F238E27FC236}">
              <a16:creationId xmlns:a16="http://schemas.microsoft.com/office/drawing/2014/main" id="{81B559FA-8CD9-415B-B2A3-C03370D913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50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649</xdr:row>
      <xdr:rowOff>0</xdr:rowOff>
    </xdr:from>
    <xdr:to>
      <xdr:col>0</xdr:col>
      <xdr:colOff>171450</xdr:colOff>
      <xdr:row>649</xdr:row>
      <xdr:rowOff>133350</xdr:rowOff>
    </xdr:to>
    <xdr:pic>
      <xdr:nvPicPr>
        <xdr:cNvPr id="1415" name="Picture@5C\QPendientes@" descr="@5C\QPendientes@">
          <a:extLst>
            <a:ext uri="{FF2B5EF4-FFF2-40B4-BE49-F238E27FC236}">
              <a16:creationId xmlns:a16="http://schemas.microsoft.com/office/drawing/2014/main" id="{CB592D8E-2810-44D1-AF25-63BCF10B15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68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650</xdr:row>
      <xdr:rowOff>0</xdr:rowOff>
    </xdr:from>
    <xdr:to>
      <xdr:col>0</xdr:col>
      <xdr:colOff>171450</xdr:colOff>
      <xdr:row>650</xdr:row>
      <xdr:rowOff>133350</xdr:rowOff>
    </xdr:to>
    <xdr:pic>
      <xdr:nvPicPr>
        <xdr:cNvPr id="1416" name="Picture@5C\QPendientes@" descr="@5C\QPendientes@">
          <a:extLst>
            <a:ext uri="{FF2B5EF4-FFF2-40B4-BE49-F238E27FC236}">
              <a16:creationId xmlns:a16="http://schemas.microsoft.com/office/drawing/2014/main" id="{5814ABBA-C86E-4DEA-ABB2-AF4E434301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87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651</xdr:row>
      <xdr:rowOff>0</xdr:rowOff>
    </xdr:from>
    <xdr:to>
      <xdr:col>0</xdr:col>
      <xdr:colOff>171450</xdr:colOff>
      <xdr:row>651</xdr:row>
      <xdr:rowOff>133350</xdr:rowOff>
    </xdr:to>
    <xdr:pic>
      <xdr:nvPicPr>
        <xdr:cNvPr id="1417" name="Picture@5C\QPendientes@" descr="@5C\QPendientes@">
          <a:extLst>
            <a:ext uri="{FF2B5EF4-FFF2-40B4-BE49-F238E27FC236}">
              <a16:creationId xmlns:a16="http://schemas.microsoft.com/office/drawing/2014/main" id="{A857DACD-50A4-4197-9300-694090E5C4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05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652</xdr:row>
      <xdr:rowOff>0</xdr:rowOff>
    </xdr:from>
    <xdr:to>
      <xdr:col>0</xdr:col>
      <xdr:colOff>171450</xdr:colOff>
      <xdr:row>652</xdr:row>
      <xdr:rowOff>133350</xdr:rowOff>
    </xdr:to>
    <xdr:pic>
      <xdr:nvPicPr>
        <xdr:cNvPr id="1418" name="Picture@5C\QPendientes@" descr="@5C\QPendientes@">
          <a:extLst>
            <a:ext uri="{FF2B5EF4-FFF2-40B4-BE49-F238E27FC236}">
              <a16:creationId xmlns:a16="http://schemas.microsoft.com/office/drawing/2014/main" id="{47C51D98-45E0-4ADD-8574-A19A70B8AB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23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653</xdr:row>
      <xdr:rowOff>0</xdr:rowOff>
    </xdr:from>
    <xdr:to>
      <xdr:col>0</xdr:col>
      <xdr:colOff>171450</xdr:colOff>
      <xdr:row>653</xdr:row>
      <xdr:rowOff>133350</xdr:rowOff>
    </xdr:to>
    <xdr:pic>
      <xdr:nvPicPr>
        <xdr:cNvPr id="1419" name="Picture@5C\QPendientes@" descr="@5C\QPendientes@">
          <a:extLst>
            <a:ext uri="{FF2B5EF4-FFF2-40B4-BE49-F238E27FC236}">
              <a16:creationId xmlns:a16="http://schemas.microsoft.com/office/drawing/2014/main" id="{2847B3FB-B963-498A-8C3C-A016C11812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42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654</xdr:row>
      <xdr:rowOff>0</xdr:rowOff>
    </xdr:from>
    <xdr:to>
      <xdr:col>0</xdr:col>
      <xdr:colOff>171450</xdr:colOff>
      <xdr:row>654</xdr:row>
      <xdr:rowOff>133350</xdr:rowOff>
    </xdr:to>
    <xdr:pic>
      <xdr:nvPicPr>
        <xdr:cNvPr id="1420" name="Picture@5C\QPendientes@" descr="@5C\QPendientes@">
          <a:extLst>
            <a:ext uri="{FF2B5EF4-FFF2-40B4-BE49-F238E27FC236}">
              <a16:creationId xmlns:a16="http://schemas.microsoft.com/office/drawing/2014/main" id="{09F3BC0C-8977-419A-B5F7-638D40B21B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60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655</xdr:row>
      <xdr:rowOff>0</xdr:rowOff>
    </xdr:from>
    <xdr:to>
      <xdr:col>0</xdr:col>
      <xdr:colOff>171450</xdr:colOff>
      <xdr:row>655</xdr:row>
      <xdr:rowOff>133350</xdr:rowOff>
    </xdr:to>
    <xdr:pic>
      <xdr:nvPicPr>
        <xdr:cNvPr id="1421" name="Picture@5C\QPendientes@" descr="@5C\QPendientes@">
          <a:extLst>
            <a:ext uri="{FF2B5EF4-FFF2-40B4-BE49-F238E27FC236}">
              <a16:creationId xmlns:a16="http://schemas.microsoft.com/office/drawing/2014/main" id="{61C77413-B919-4FDC-B1DB-E7ECDFA27B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78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656</xdr:row>
      <xdr:rowOff>0</xdr:rowOff>
    </xdr:from>
    <xdr:to>
      <xdr:col>0</xdr:col>
      <xdr:colOff>171450</xdr:colOff>
      <xdr:row>656</xdr:row>
      <xdr:rowOff>133350</xdr:rowOff>
    </xdr:to>
    <xdr:pic>
      <xdr:nvPicPr>
        <xdr:cNvPr id="1422" name="Picture@5C\QPendientes@" descr="@5C\QPendientes@">
          <a:extLst>
            <a:ext uri="{FF2B5EF4-FFF2-40B4-BE49-F238E27FC236}">
              <a16:creationId xmlns:a16="http://schemas.microsoft.com/office/drawing/2014/main" id="{C3DC42D3-D8B8-4E75-ADF6-6D5B9D0C1D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96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657</xdr:row>
      <xdr:rowOff>0</xdr:rowOff>
    </xdr:from>
    <xdr:to>
      <xdr:col>0</xdr:col>
      <xdr:colOff>171450</xdr:colOff>
      <xdr:row>657</xdr:row>
      <xdr:rowOff>133350</xdr:rowOff>
    </xdr:to>
    <xdr:pic>
      <xdr:nvPicPr>
        <xdr:cNvPr id="1423" name="Picture@5C\QPendientes@" descr="@5C\QPendientes@">
          <a:extLst>
            <a:ext uri="{FF2B5EF4-FFF2-40B4-BE49-F238E27FC236}">
              <a16:creationId xmlns:a16="http://schemas.microsoft.com/office/drawing/2014/main" id="{2BEF6887-177E-4C2A-9D23-BF8516AAE3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15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658</xdr:row>
      <xdr:rowOff>0</xdr:rowOff>
    </xdr:from>
    <xdr:to>
      <xdr:col>0</xdr:col>
      <xdr:colOff>171450</xdr:colOff>
      <xdr:row>658</xdr:row>
      <xdr:rowOff>133350</xdr:rowOff>
    </xdr:to>
    <xdr:pic>
      <xdr:nvPicPr>
        <xdr:cNvPr id="1424" name="Picture@5C\QPendientes@" descr="@5C\QPendientes@">
          <a:extLst>
            <a:ext uri="{FF2B5EF4-FFF2-40B4-BE49-F238E27FC236}">
              <a16:creationId xmlns:a16="http://schemas.microsoft.com/office/drawing/2014/main" id="{3DDF92DC-4035-4127-9ADB-EBD76B73CE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33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659</xdr:row>
      <xdr:rowOff>0</xdr:rowOff>
    </xdr:from>
    <xdr:to>
      <xdr:col>0</xdr:col>
      <xdr:colOff>171450</xdr:colOff>
      <xdr:row>659</xdr:row>
      <xdr:rowOff>133350</xdr:rowOff>
    </xdr:to>
    <xdr:pic>
      <xdr:nvPicPr>
        <xdr:cNvPr id="1425" name="Picture@5C\QPendientes@" descr="@5C\QPendientes@">
          <a:extLst>
            <a:ext uri="{FF2B5EF4-FFF2-40B4-BE49-F238E27FC236}">
              <a16:creationId xmlns:a16="http://schemas.microsoft.com/office/drawing/2014/main" id="{825AAE0E-2B19-4F19-B59E-B6BF0F0144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51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660</xdr:row>
      <xdr:rowOff>0</xdr:rowOff>
    </xdr:from>
    <xdr:to>
      <xdr:col>0</xdr:col>
      <xdr:colOff>171450</xdr:colOff>
      <xdr:row>660</xdr:row>
      <xdr:rowOff>133350</xdr:rowOff>
    </xdr:to>
    <xdr:pic>
      <xdr:nvPicPr>
        <xdr:cNvPr id="1426" name="Picture@5C\QPendientes@" descr="@5C\QPendientes@">
          <a:extLst>
            <a:ext uri="{FF2B5EF4-FFF2-40B4-BE49-F238E27FC236}">
              <a16:creationId xmlns:a16="http://schemas.microsoft.com/office/drawing/2014/main" id="{F223CE1A-82C6-49D3-BE5B-8622DFBC36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70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661</xdr:row>
      <xdr:rowOff>0</xdr:rowOff>
    </xdr:from>
    <xdr:to>
      <xdr:col>0</xdr:col>
      <xdr:colOff>171450</xdr:colOff>
      <xdr:row>661</xdr:row>
      <xdr:rowOff>133350</xdr:rowOff>
    </xdr:to>
    <xdr:pic>
      <xdr:nvPicPr>
        <xdr:cNvPr id="1427" name="Picture@5C\QPendientes@" descr="@5C\QPendientes@">
          <a:extLst>
            <a:ext uri="{FF2B5EF4-FFF2-40B4-BE49-F238E27FC236}">
              <a16:creationId xmlns:a16="http://schemas.microsoft.com/office/drawing/2014/main" id="{954DBC25-5DF8-4D46-92CD-554EFD9F76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88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662</xdr:row>
      <xdr:rowOff>0</xdr:rowOff>
    </xdr:from>
    <xdr:to>
      <xdr:col>0</xdr:col>
      <xdr:colOff>171450</xdr:colOff>
      <xdr:row>662</xdr:row>
      <xdr:rowOff>133350</xdr:rowOff>
    </xdr:to>
    <xdr:pic>
      <xdr:nvPicPr>
        <xdr:cNvPr id="1428" name="Picture@5C\QPendientes@" descr="@5C\QPendientes@">
          <a:extLst>
            <a:ext uri="{FF2B5EF4-FFF2-40B4-BE49-F238E27FC236}">
              <a16:creationId xmlns:a16="http://schemas.microsoft.com/office/drawing/2014/main" id="{09A3D5AE-326A-492D-800E-E502BD4DE7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06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663</xdr:row>
      <xdr:rowOff>0</xdr:rowOff>
    </xdr:from>
    <xdr:to>
      <xdr:col>0</xdr:col>
      <xdr:colOff>171450</xdr:colOff>
      <xdr:row>663</xdr:row>
      <xdr:rowOff>133350</xdr:rowOff>
    </xdr:to>
    <xdr:pic>
      <xdr:nvPicPr>
        <xdr:cNvPr id="1429" name="Picture@5C\QPendientes@" descr="@5C\QPendientes@">
          <a:extLst>
            <a:ext uri="{FF2B5EF4-FFF2-40B4-BE49-F238E27FC236}">
              <a16:creationId xmlns:a16="http://schemas.microsoft.com/office/drawing/2014/main" id="{5A746130-6B32-4A2F-89E9-4A16E98B01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24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664</xdr:row>
      <xdr:rowOff>0</xdr:rowOff>
    </xdr:from>
    <xdr:to>
      <xdr:col>0</xdr:col>
      <xdr:colOff>171450</xdr:colOff>
      <xdr:row>664</xdr:row>
      <xdr:rowOff>133350</xdr:rowOff>
    </xdr:to>
    <xdr:pic>
      <xdr:nvPicPr>
        <xdr:cNvPr id="1430" name="Picture@5C\QPendientes@" descr="@5C\QPendientes@">
          <a:extLst>
            <a:ext uri="{FF2B5EF4-FFF2-40B4-BE49-F238E27FC236}">
              <a16:creationId xmlns:a16="http://schemas.microsoft.com/office/drawing/2014/main" id="{37021905-60BA-478B-9110-45FC5C915B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43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665</xdr:row>
      <xdr:rowOff>0</xdr:rowOff>
    </xdr:from>
    <xdr:to>
      <xdr:col>0</xdr:col>
      <xdr:colOff>171450</xdr:colOff>
      <xdr:row>665</xdr:row>
      <xdr:rowOff>133350</xdr:rowOff>
    </xdr:to>
    <xdr:pic>
      <xdr:nvPicPr>
        <xdr:cNvPr id="1431" name="Picture@5C\QPendientes@" descr="@5C\QPendientes@">
          <a:extLst>
            <a:ext uri="{FF2B5EF4-FFF2-40B4-BE49-F238E27FC236}">
              <a16:creationId xmlns:a16="http://schemas.microsoft.com/office/drawing/2014/main" id="{AAC76C73-877D-4B39-AFEC-C7A8C7FA4D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61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666</xdr:row>
      <xdr:rowOff>0</xdr:rowOff>
    </xdr:from>
    <xdr:to>
      <xdr:col>0</xdr:col>
      <xdr:colOff>171450</xdr:colOff>
      <xdr:row>666</xdr:row>
      <xdr:rowOff>133350</xdr:rowOff>
    </xdr:to>
    <xdr:pic>
      <xdr:nvPicPr>
        <xdr:cNvPr id="1432" name="Picture@5C\QPendientes@" descr="@5C\QPendientes@">
          <a:extLst>
            <a:ext uri="{FF2B5EF4-FFF2-40B4-BE49-F238E27FC236}">
              <a16:creationId xmlns:a16="http://schemas.microsoft.com/office/drawing/2014/main" id="{58884D98-D35F-45D4-8AD0-6622EAC6AA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79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667</xdr:row>
      <xdr:rowOff>0</xdr:rowOff>
    </xdr:from>
    <xdr:to>
      <xdr:col>0</xdr:col>
      <xdr:colOff>171450</xdr:colOff>
      <xdr:row>667</xdr:row>
      <xdr:rowOff>133350</xdr:rowOff>
    </xdr:to>
    <xdr:pic>
      <xdr:nvPicPr>
        <xdr:cNvPr id="1433" name="Picture@5C\QPendientes@" descr="@5C\QPendientes@">
          <a:extLst>
            <a:ext uri="{FF2B5EF4-FFF2-40B4-BE49-F238E27FC236}">
              <a16:creationId xmlns:a16="http://schemas.microsoft.com/office/drawing/2014/main" id="{A79B42C5-A64C-4F84-8BE4-C969A81E0B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98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668</xdr:row>
      <xdr:rowOff>0</xdr:rowOff>
    </xdr:from>
    <xdr:to>
      <xdr:col>0</xdr:col>
      <xdr:colOff>171450</xdr:colOff>
      <xdr:row>668</xdr:row>
      <xdr:rowOff>133350</xdr:rowOff>
    </xdr:to>
    <xdr:pic>
      <xdr:nvPicPr>
        <xdr:cNvPr id="1434" name="Picture@5C\QPendientes@" descr="@5C\QPendientes@">
          <a:extLst>
            <a:ext uri="{FF2B5EF4-FFF2-40B4-BE49-F238E27FC236}">
              <a16:creationId xmlns:a16="http://schemas.microsoft.com/office/drawing/2014/main" id="{108F9B44-DE5C-497A-8B85-E1471F7075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16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669</xdr:row>
      <xdr:rowOff>0</xdr:rowOff>
    </xdr:from>
    <xdr:to>
      <xdr:col>0</xdr:col>
      <xdr:colOff>171450</xdr:colOff>
      <xdr:row>669</xdr:row>
      <xdr:rowOff>133350</xdr:rowOff>
    </xdr:to>
    <xdr:pic>
      <xdr:nvPicPr>
        <xdr:cNvPr id="1435" name="Picture@5C\QPendientes@" descr="@5C\QPendientes@">
          <a:extLst>
            <a:ext uri="{FF2B5EF4-FFF2-40B4-BE49-F238E27FC236}">
              <a16:creationId xmlns:a16="http://schemas.microsoft.com/office/drawing/2014/main" id="{E30C3DB3-87D6-4DAF-9DD8-E79C10F710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34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670</xdr:row>
      <xdr:rowOff>0</xdr:rowOff>
    </xdr:from>
    <xdr:to>
      <xdr:col>0</xdr:col>
      <xdr:colOff>171450</xdr:colOff>
      <xdr:row>670</xdr:row>
      <xdr:rowOff>133350</xdr:rowOff>
    </xdr:to>
    <xdr:pic>
      <xdr:nvPicPr>
        <xdr:cNvPr id="1436" name="Picture@5C\QPendientes@" descr="@5C\QPendientes@">
          <a:extLst>
            <a:ext uri="{FF2B5EF4-FFF2-40B4-BE49-F238E27FC236}">
              <a16:creationId xmlns:a16="http://schemas.microsoft.com/office/drawing/2014/main" id="{34E88D1C-00DA-47CD-893C-47210C08C4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52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671</xdr:row>
      <xdr:rowOff>0</xdr:rowOff>
    </xdr:from>
    <xdr:to>
      <xdr:col>0</xdr:col>
      <xdr:colOff>171450</xdr:colOff>
      <xdr:row>671</xdr:row>
      <xdr:rowOff>133350</xdr:rowOff>
    </xdr:to>
    <xdr:pic>
      <xdr:nvPicPr>
        <xdr:cNvPr id="1437" name="Picture@5C\QPendientes@" descr="@5C\QPendientes@">
          <a:extLst>
            <a:ext uri="{FF2B5EF4-FFF2-40B4-BE49-F238E27FC236}">
              <a16:creationId xmlns:a16="http://schemas.microsoft.com/office/drawing/2014/main" id="{C50F3E40-78EC-4BFA-AE0D-2C2D8D015A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71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672</xdr:row>
      <xdr:rowOff>0</xdr:rowOff>
    </xdr:from>
    <xdr:to>
      <xdr:col>0</xdr:col>
      <xdr:colOff>171450</xdr:colOff>
      <xdr:row>672</xdr:row>
      <xdr:rowOff>133350</xdr:rowOff>
    </xdr:to>
    <xdr:pic>
      <xdr:nvPicPr>
        <xdr:cNvPr id="1438" name="Picture@5C\QPendientes@" descr="@5C\QPendientes@">
          <a:extLst>
            <a:ext uri="{FF2B5EF4-FFF2-40B4-BE49-F238E27FC236}">
              <a16:creationId xmlns:a16="http://schemas.microsoft.com/office/drawing/2014/main" id="{C79E45F7-3D38-4FFE-A52A-483AB4CA2B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89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673</xdr:row>
      <xdr:rowOff>0</xdr:rowOff>
    </xdr:from>
    <xdr:to>
      <xdr:col>0</xdr:col>
      <xdr:colOff>171450</xdr:colOff>
      <xdr:row>673</xdr:row>
      <xdr:rowOff>133350</xdr:rowOff>
    </xdr:to>
    <xdr:pic>
      <xdr:nvPicPr>
        <xdr:cNvPr id="1439" name="Picture@5C\QPendientes@" descr="@5C\QPendientes@">
          <a:extLst>
            <a:ext uri="{FF2B5EF4-FFF2-40B4-BE49-F238E27FC236}">
              <a16:creationId xmlns:a16="http://schemas.microsoft.com/office/drawing/2014/main" id="{F0469F97-19F5-40DE-86D1-C3C100A949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07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674</xdr:row>
      <xdr:rowOff>0</xdr:rowOff>
    </xdr:from>
    <xdr:to>
      <xdr:col>0</xdr:col>
      <xdr:colOff>171450</xdr:colOff>
      <xdr:row>674</xdr:row>
      <xdr:rowOff>133350</xdr:rowOff>
    </xdr:to>
    <xdr:pic>
      <xdr:nvPicPr>
        <xdr:cNvPr id="1440" name="Picture@5C\QPendientes@" descr="@5C\QPendientes@">
          <a:extLst>
            <a:ext uri="{FF2B5EF4-FFF2-40B4-BE49-F238E27FC236}">
              <a16:creationId xmlns:a16="http://schemas.microsoft.com/office/drawing/2014/main" id="{CF51E5B9-FFF8-49F5-A918-BBC9CB8E3E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26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675</xdr:row>
      <xdr:rowOff>0</xdr:rowOff>
    </xdr:from>
    <xdr:to>
      <xdr:col>0</xdr:col>
      <xdr:colOff>171450</xdr:colOff>
      <xdr:row>675</xdr:row>
      <xdr:rowOff>133350</xdr:rowOff>
    </xdr:to>
    <xdr:pic>
      <xdr:nvPicPr>
        <xdr:cNvPr id="1441" name="Picture@5C\QPendientes@" descr="@5C\QPendientes@">
          <a:extLst>
            <a:ext uri="{FF2B5EF4-FFF2-40B4-BE49-F238E27FC236}">
              <a16:creationId xmlns:a16="http://schemas.microsoft.com/office/drawing/2014/main" id="{701E9074-DBB7-47FA-9B3A-01BD69929E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44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676</xdr:row>
      <xdr:rowOff>0</xdr:rowOff>
    </xdr:from>
    <xdr:to>
      <xdr:col>0</xdr:col>
      <xdr:colOff>171450</xdr:colOff>
      <xdr:row>676</xdr:row>
      <xdr:rowOff>133350</xdr:rowOff>
    </xdr:to>
    <xdr:pic>
      <xdr:nvPicPr>
        <xdr:cNvPr id="1442" name="Picture@5C\QPendientes@" descr="@5C\QPendientes@">
          <a:extLst>
            <a:ext uri="{FF2B5EF4-FFF2-40B4-BE49-F238E27FC236}">
              <a16:creationId xmlns:a16="http://schemas.microsoft.com/office/drawing/2014/main" id="{5EDFAA14-004E-4C69-9154-53DEAEF88E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62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677</xdr:row>
      <xdr:rowOff>0</xdr:rowOff>
    </xdr:from>
    <xdr:to>
      <xdr:col>0</xdr:col>
      <xdr:colOff>171450</xdr:colOff>
      <xdr:row>677</xdr:row>
      <xdr:rowOff>133350</xdr:rowOff>
    </xdr:to>
    <xdr:pic>
      <xdr:nvPicPr>
        <xdr:cNvPr id="1443" name="Picture@5C\QPendientes@" descr="@5C\QPendientes@">
          <a:extLst>
            <a:ext uri="{FF2B5EF4-FFF2-40B4-BE49-F238E27FC236}">
              <a16:creationId xmlns:a16="http://schemas.microsoft.com/office/drawing/2014/main" id="{6AA6F30A-9FAE-4734-AFDE-52432FBA8F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80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678</xdr:row>
      <xdr:rowOff>0</xdr:rowOff>
    </xdr:from>
    <xdr:to>
      <xdr:col>0</xdr:col>
      <xdr:colOff>171450</xdr:colOff>
      <xdr:row>678</xdr:row>
      <xdr:rowOff>133350</xdr:rowOff>
    </xdr:to>
    <xdr:pic>
      <xdr:nvPicPr>
        <xdr:cNvPr id="1444" name="Picture@5C\QPendientes@" descr="@5C\QPendientes@">
          <a:extLst>
            <a:ext uri="{FF2B5EF4-FFF2-40B4-BE49-F238E27FC236}">
              <a16:creationId xmlns:a16="http://schemas.microsoft.com/office/drawing/2014/main" id="{C94D2719-45DA-45C4-8B80-F8C1C8B7FD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99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679</xdr:row>
      <xdr:rowOff>0</xdr:rowOff>
    </xdr:from>
    <xdr:to>
      <xdr:col>0</xdr:col>
      <xdr:colOff>171450</xdr:colOff>
      <xdr:row>679</xdr:row>
      <xdr:rowOff>133350</xdr:rowOff>
    </xdr:to>
    <xdr:pic>
      <xdr:nvPicPr>
        <xdr:cNvPr id="1445" name="Picture@5C\QPendientes@" descr="@5C\QPendientes@">
          <a:extLst>
            <a:ext uri="{FF2B5EF4-FFF2-40B4-BE49-F238E27FC236}">
              <a16:creationId xmlns:a16="http://schemas.microsoft.com/office/drawing/2014/main" id="{46D1CF52-1B76-4ADA-933F-6E56812170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17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680</xdr:row>
      <xdr:rowOff>0</xdr:rowOff>
    </xdr:from>
    <xdr:to>
      <xdr:col>0</xdr:col>
      <xdr:colOff>171450</xdr:colOff>
      <xdr:row>680</xdr:row>
      <xdr:rowOff>133350</xdr:rowOff>
    </xdr:to>
    <xdr:pic>
      <xdr:nvPicPr>
        <xdr:cNvPr id="1446" name="Picture@5C\QPendientes@" descr="@5C\QPendientes@">
          <a:extLst>
            <a:ext uri="{FF2B5EF4-FFF2-40B4-BE49-F238E27FC236}">
              <a16:creationId xmlns:a16="http://schemas.microsoft.com/office/drawing/2014/main" id="{508573AB-10BB-4CD5-BDD4-87456B116C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35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681</xdr:row>
      <xdr:rowOff>0</xdr:rowOff>
    </xdr:from>
    <xdr:to>
      <xdr:col>0</xdr:col>
      <xdr:colOff>171450</xdr:colOff>
      <xdr:row>681</xdr:row>
      <xdr:rowOff>133350</xdr:rowOff>
    </xdr:to>
    <xdr:pic>
      <xdr:nvPicPr>
        <xdr:cNvPr id="1447" name="Picture@5C\QPendientes@" descr="@5C\QPendientes@">
          <a:extLst>
            <a:ext uri="{FF2B5EF4-FFF2-40B4-BE49-F238E27FC236}">
              <a16:creationId xmlns:a16="http://schemas.microsoft.com/office/drawing/2014/main" id="{E32CDF1F-AD7D-4368-B54C-81C4F0175F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54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682</xdr:row>
      <xdr:rowOff>0</xdr:rowOff>
    </xdr:from>
    <xdr:to>
      <xdr:col>0</xdr:col>
      <xdr:colOff>171450</xdr:colOff>
      <xdr:row>682</xdr:row>
      <xdr:rowOff>133350</xdr:rowOff>
    </xdr:to>
    <xdr:pic>
      <xdr:nvPicPr>
        <xdr:cNvPr id="1448" name="Picture@5C\QPendientes@" descr="@5C\QPendientes@">
          <a:extLst>
            <a:ext uri="{FF2B5EF4-FFF2-40B4-BE49-F238E27FC236}">
              <a16:creationId xmlns:a16="http://schemas.microsoft.com/office/drawing/2014/main" id="{CAF9C2CB-955B-4691-BF8A-F0A16F4499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72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683</xdr:row>
      <xdr:rowOff>0</xdr:rowOff>
    </xdr:from>
    <xdr:to>
      <xdr:col>0</xdr:col>
      <xdr:colOff>171450</xdr:colOff>
      <xdr:row>683</xdr:row>
      <xdr:rowOff>133350</xdr:rowOff>
    </xdr:to>
    <xdr:pic>
      <xdr:nvPicPr>
        <xdr:cNvPr id="1449" name="Picture@5C\QPendientes@" descr="@5C\QPendientes@">
          <a:extLst>
            <a:ext uri="{FF2B5EF4-FFF2-40B4-BE49-F238E27FC236}">
              <a16:creationId xmlns:a16="http://schemas.microsoft.com/office/drawing/2014/main" id="{DED55AF4-D70E-4FB7-9BE2-D12887A1DD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90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684</xdr:row>
      <xdr:rowOff>0</xdr:rowOff>
    </xdr:from>
    <xdr:to>
      <xdr:col>0</xdr:col>
      <xdr:colOff>171450</xdr:colOff>
      <xdr:row>684</xdr:row>
      <xdr:rowOff>133350</xdr:rowOff>
    </xdr:to>
    <xdr:pic>
      <xdr:nvPicPr>
        <xdr:cNvPr id="1450" name="Picture@5C\QPendientes@" descr="@5C\QPendientes@">
          <a:extLst>
            <a:ext uri="{FF2B5EF4-FFF2-40B4-BE49-F238E27FC236}">
              <a16:creationId xmlns:a16="http://schemas.microsoft.com/office/drawing/2014/main" id="{BDC97068-180F-4ECD-AD7C-2DA494A320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08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685</xdr:row>
      <xdr:rowOff>0</xdr:rowOff>
    </xdr:from>
    <xdr:to>
      <xdr:col>0</xdr:col>
      <xdr:colOff>171450</xdr:colOff>
      <xdr:row>685</xdr:row>
      <xdr:rowOff>133350</xdr:rowOff>
    </xdr:to>
    <xdr:pic>
      <xdr:nvPicPr>
        <xdr:cNvPr id="1451" name="Picture@5C\QPendientes@" descr="@5C\QPendientes@">
          <a:extLst>
            <a:ext uri="{FF2B5EF4-FFF2-40B4-BE49-F238E27FC236}">
              <a16:creationId xmlns:a16="http://schemas.microsoft.com/office/drawing/2014/main" id="{0F053C38-E59D-4C51-BAD5-D87FC839CB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27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686</xdr:row>
      <xdr:rowOff>0</xdr:rowOff>
    </xdr:from>
    <xdr:to>
      <xdr:col>0</xdr:col>
      <xdr:colOff>171450</xdr:colOff>
      <xdr:row>686</xdr:row>
      <xdr:rowOff>133350</xdr:rowOff>
    </xdr:to>
    <xdr:pic>
      <xdr:nvPicPr>
        <xdr:cNvPr id="1452" name="Picture@5C\QPendientes@" descr="@5C\QPendientes@">
          <a:extLst>
            <a:ext uri="{FF2B5EF4-FFF2-40B4-BE49-F238E27FC236}">
              <a16:creationId xmlns:a16="http://schemas.microsoft.com/office/drawing/2014/main" id="{CF23CEEC-C541-4333-9060-5D6B4CC642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45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687</xdr:row>
      <xdr:rowOff>0</xdr:rowOff>
    </xdr:from>
    <xdr:to>
      <xdr:col>0</xdr:col>
      <xdr:colOff>171450</xdr:colOff>
      <xdr:row>687</xdr:row>
      <xdr:rowOff>133350</xdr:rowOff>
    </xdr:to>
    <xdr:pic>
      <xdr:nvPicPr>
        <xdr:cNvPr id="1453" name="Picture@5C\QPendientes@" descr="@5C\QPendientes@">
          <a:extLst>
            <a:ext uri="{FF2B5EF4-FFF2-40B4-BE49-F238E27FC236}">
              <a16:creationId xmlns:a16="http://schemas.microsoft.com/office/drawing/2014/main" id="{9CB23ABB-47EF-4A05-BBD5-9338248A28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63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688</xdr:row>
      <xdr:rowOff>0</xdr:rowOff>
    </xdr:from>
    <xdr:to>
      <xdr:col>0</xdr:col>
      <xdr:colOff>171450</xdr:colOff>
      <xdr:row>688</xdr:row>
      <xdr:rowOff>133350</xdr:rowOff>
    </xdr:to>
    <xdr:pic>
      <xdr:nvPicPr>
        <xdr:cNvPr id="1454" name="Picture@5C\QPendientes@" descr="@5C\QPendientes@">
          <a:extLst>
            <a:ext uri="{FF2B5EF4-FFF2-40B4-BE49-F238E27FC236}">
              <a16:creationId xmlns:a16="http://schemas.microsoft.com/office/drawing/2014/main" id="{9AE8FCD1-2DA1-4673-AC4B-90A9710595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82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689</xdr:row>
      <xdr:rowOff>0</xdr:rowOff>
    </xdr:from>
    <xdr:to>
      <xdr:col>0</xdr:col>
      <xdr:colOff>171450</xdr:colOff>
      <xdr:row>689</xdr:row>
      <xdr:rowOff>133350</xdr:rowOff>
    </xdr:to>
    <xdr:pic>
      <xdr:nvPicPr>
        <xdr:cNvPr id="1455" name="Picture@5C\QPendientes@" descr="@5C\QPendientes@">
          <a:extLst>
            <a:ext uri="{FF2B5EF4-FFF2-40B4-BE49-F238E27FC236}">
              <a16:creationId xmlns:a16="http://schemas.microsoft.com/office/drawing/2014/main" id="{24F52AA3-5E0F-41F9-AD53-68689DEABD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00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690</xdr:row>
      <xdr:rowOff>0</xdr:rowOff>
    </xdr:from>
    <xdr:to>
      <xdr:col>0</xdr:col>
      <xdr:colOff>171450</xdr:colOff>
      <xdr:row>690</xdr:row>
      <xdr:rowOff>133350</xdr:rowOff>
    </xdr:to>
    <xdr:pic>
      <xdr:nvPicPr>
        <xdr:cNvPr id="1456" name="Picture@5C\QPendientes@" descr="@5C\QPendientes@">
          <a:extLst>
            <a:ext uri="{FF2B5EF4-FFF2-40B4-BE49-F238E27FC236}">
              <a16:creationId xmlns:a16="http://schemas.microsoft.com/office/drawing/2014/main" id="{45D2158B-D4BC-4895-B7B4-2590BFC221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18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691</xdr:row>
      <xdr:rowOff>0</xdr:rowOff>
    </xdr:from>
    <xdr:to>
      <xdr:col>0</xdr:col>
      <xdr:colOff>171450</xdr:colOff>
      <xdr:row>691</xdr:row>
      <xdr:rowOff>133350</xdr:rowOff>
    </xdr:to>
    <xdr:pic>
      <xdr:nvPicPr>
        <xdr:cNvPr id="1457" name="Picture@5C\QPendientes@" descr="@5C\QPendientes@">
          <a:extLst>
            <a:ext uri="{FF2B5EF4-FFF2-40B4-BE49-F238E27FC236}">
              <a16:creationId xmlns:a16="http://schemas.microsoft.com/office/drawing/2014/main" id="{3B1ADA9D-9169-495B-B042-FE30CDE457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37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692</xdr:row>
      <xdr:rowOff>0</xdr:rowOff>
    </xdr:from>
    <xdr:to>
      <xdr:col>0</xdr:col>
      <xdr:colOff>171450</xdr:colOff>
      <xdr:row>692</xdr:row>
      <xdr:rowOff>133350</xdr:rowOff>
    </xdr:to>
    <xdr:pic>
      <xdr:nvPicPr>
        <xdr:cNvPr id="1458" name="Picture@5C\QPendientes@" descr="@5C\QPendientes@">
          <a:extLst>
            <a:ext uri="{FF2B5EF4-FFF2-40B4-BE49-F238E27FC236}">
              <a16:creationId xmlns:a16="http://schemas.microsoft.com/office/drawing/2014/main" id="{8FA67778-7287-4D20-9D03-9BC4D9B338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55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693</xdr:row>
      <xdr:rowOff>0</xdr:rowOff>
    </xdr:from>
    <xdr:to>
      <xdr:col>0</xdr:col>
      <xdr:colOff>171450</xdr:colOff>
      <xdr:row>693</xdr:row>
      <xdr:rowOff>133350</xdr:rowOff>
    </xdr:to>
    <xdr:pic>
      <xdr:nvPicPr>
        <xdr:cNvPr id="1459" name="Picture@5C\QPendientes@" descr="@5C\QPendientes@">
          <a:extLst>
            <a:ext uri="{FF2B5EF4-FFF2-40B4-BE49-F238E27FC236}">
              <a16:creationId xmlns:a16="http://schemas.microsoft.com/office/drawing/2014/main" id="{6C8B29F4-395A-49CD-BB0F-51965047EB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73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694</xdr:row>
      <xdr:rowOff>0</xdr:rowOff>
    </xdr:from>
    <xdr:to>
      <xdr:col>0</xdr:col>
      <xdr:colOff>171450</xdr:colOff>
      <xdr:row>694</xdr:row>
      <xdr:rowOff>133350</xdr:rowOff>
    </xdr:to>
    <xdr:pic>
      <xdr:nvPicPr>
        <xdr:cNvPr id="1460" name="Picture@5C\QPendientes@" descr="@5C\QPendientes@">
          <a:extLst>
            <a:ext uri="{FF2B5EF4-FFF2-40B4-BE49-F238E27FC236}">
              <a16:creationId xmlns:a16="http://schemas.microsoft.com/office/drawing/2014/main" id="{DCDCBD75-3045-406C-98D6-BF787947BB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91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695</xdr:row>
      <xdr:rowOff>0</xdr:rowOff>
    </xdr:from>
    <xdr:to>
      <xdr:col>0</xdr:col>
      <xdr:colOff>171450</xdr:colOff>
      <xdr:row>695</xdr:row>
      <xdr:rowOff>133350</xdr:rowOff>
    </xdr:to>
    <xdr:pic>
      <xdr:nvPicPr>
        <xdr:cNvPr id="1461" name="Picture@5C\QPendientes@" descr="@5C\QPendientes@">
          <a:extLst>
            <a:ext uri="{FF2B5EF4-FFF2-40B4-BE49-F238E27FC236}">
              <a16:creationId xmlns:a16="http://schemas.microsoft.com/office/drawing/2014/main" id="{4C0687F6-2CE3-4A55-95A6-073165C1AA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710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696</xdr:row>
      <xdr:rowOff>0</xdr:rowOff>
    </xdr:from>
    <xdr:to>
      <xdr:col>0</xdr:col>
      <xdr:colOff>171450</xdr:colOff>
      <xdr:row>696</xdr:row>
      <xdr:rowOff>133350</xdr:rowOff>
    </xdr:to>
    <xdr:pic>
      <xdr:nvPicPr>
        <xdr:cNvPr id="1462" name="Picture@5C\QPendientes@" descr="@5C\QPendientes@">
          <a:extLst>
            <a:ext uri="{FF2B5EF4-FFF2-40B4-BE49-F238E27FC236}">
              <a16:creationId xmlns:a16="http://schemas.microsoft.com/office/drawing/2014/main" id="{EE881F70-2879-4931-9F6D-22C3283B58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728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697</xdr:row>
      <xdr:rowOff>0</xdr:rowOff>
    </xdr:from>
    <xdr:to>
      <xdr:col>0</xdr:col>
      <xdr:colOff>171450</xdr:colOff>
      <xdr:row>697</xdr:row>
      <xdr:rowOff>133350</xdr:rowOff>
    </xdr:to>
    <xdr:pic>
      <xdr:nvPicPr>
        <xdr:cNvPr id="1463" name="Picture@5C\QPendientes@" descr="@5C\QPendientes@">
          <a:extLst>
            <a:ext uri="{FF2B5EF4-FFF2-40B4-BE49-F238E27FC236}">
              <a16:creationId xmlns:a16="http://schemas.microsoft.com/office/drawing/2014/main" id="{1FEA1358-3830-411E-963C-7F65F813F2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746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698</xdr:row>
      <xdr:rowOff>0</xdr:rowOff>
    </xdr:from>
    <xdr:to>
      <xdr:col>0</xdr:col>
      <xdr:colOff>171450</xdr:colOff>
      <xdr:row>698</xdr:row>
      <xdr:rowOff>133350</xdr:rowOff>
    </xdr:to>
    <xdr:pic>
      <xdr:nvPicPr>
        <xdr:cNvPr id="1464" name="Picture@5C\QPendientes@" descr="@5C\QPendientes@">
          <a:extLst>
            <a:ext uri="{FF2B5EF4-FFF2-40B4-BE49-F238E27FC236}">
              <a16:creationId xmlns:a16="http://schemas.microsoft.com/office/drawing/2014/main" id="{31FB10AB-08B3-4F31-A51C-15173338F2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765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699</xdr:row>
      <xdr:rowOff>0</xdr:rowOff>
    </xdr:from>
    <xdr:to>
      <xdr:col>0</xdr:col>
      <xdr:colOff>171450</xdr:colOff>
      <xdr:row>699</xdr:row>
      <xdr:rowOff>133350</xdr:rowOff>
    </xdr:to>
    <xdr:pic>
      <xdr:nvPicPr>
        <xdr:cNvPr id="1465" name="Picture@5C\QPendientes@" descr="@5C\QPendientes@">
          <a:extLst>
            <a:ext uri="{FF2B5EF4-FFF2-40B4-BE49-F238E27FC236}">
              <a16:creationId xmlns:a16="http://schemas.microsoft.com/office/drawing/2014/main" id="{A40208C9-B7FF-4B6E-A051-BF18A1CB16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783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700</xdr:row>
      <xdr:rowOff>0</xdr:rowOff>
    </xdr:from>
    <xdr:to>
      <xdr:col>0</xdr:col>
      <xdr:colOff>171450</xdr:colOff>
      <xdr:row>700</xdr:row>
      <xdr:rowOff>133350</xdr:rowOff>
    </xdr:to>
    <xdr:pic>
      <xdr:nvPicPr>
        <xdr:cNvPr id="1466" name="Picture@5C\QPendientes@" descr="@5C\QPendientes@">
          <a:extLst>
            <a:ext uri="{FF2B5EF4-FFF2-40B4-BE49-F238E27FC236}">
              <a16:creationId xmlns:a16="http://schemas.microsoft.com/office/drawing/2014/main" id="{1AB673A4-7A41-4EE1-A680-AEC35E8B12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01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701</xdr:row>
      <xdr:rowOff>0</xdr:rowOff>
    </xdr:from>
    <xdr:to>
      <xdr:col>0</xdr:col>
      <xdr:colOff>171450</xdr:colOff>
      <xdr:row>701</xdr:row>
      <xdr:rowOff>133350</xdr:rowOff>
    </xdr:to>
    <xdr:pic>
      <xdr:nvPicPr>
        <xdr:cNvPr id="1467" name="Picture@5C\QPendientes@" descr="@5C\QPendientes@">
          <a:extLst>
            <a:ext uri="{FF2B5EF4-FFF2-40B4-BE49-F238E27FC236}">
              <a16:creationId xmlns:a16="http://schemas.microsoft.com/office/drawing/2014/main" id="{B77A2BA3-D338-483B-9524-5BA30D01FD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19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702</xdr:row>
      <xdr:rowOff>0</xdr:rowOff>
    </xdr:from>
    <xdr:to>
      <xdr:col>0</xdr:col>
      <xdr:colOff>171450</xdr:colOff>
      <xdr:row>702</xdr:row>
      <xdr:rowOff>133350</xdr:rowOff>
    </xdr:to>
    <xdr:pic>
      <xdr:nvPicPr>
        <xdr:cNvPr id="1468" name="Picture@5C\QPendientes@" descr="@5C\QPendientes@">
          <a:extLst>
            <a:ext uri="{FF2B5EF4-FFF2-40B4-BE49-F238E27FC236}">
              <a16:creationId xmlns:a16="http://schemas.microsoft.com/office/drawing/2014/main" id="{3C900524-6B49-4C91-85F5-CBEBA5AE56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38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703</xdr:row>
      <xdr:rowOff>0</xdr:rowOff>
    </xdr:from>
    <xdr:to>
      <xdr:col>0</xdr:col>
      <xdr:colOff>171450</xdr:colOff>
      <xdr:row>703</xdr:row>
      <xdr:rowOff>133350</xdr:rowOff>
    </xdr:to>
    <xdr:pic>
      <xdr:nvPicPr>
        <xdr:cNvPr id="1469" name="Picture@5C\QPendientes@" descr="@5C\QPendientes@">
          <a:extLst>
            <a:ext uri="{FF2B5EF4-FFF2-40B4-BE49-F238E27FC236}">
              <a16:creationId xmlns:a16="http://schemas.microsoft.com/office/drawing/2014/main" id="{538FBAFC-3128-4017-9011-44834D63AA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6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704</xdr:row>
      <xdr:rowOff>0</xdr:rowOff>
    </xdr:from>
    <xdr:to>
      <xdr:col>0</xdr:col>
      <xdr:colOff>171450</xdr:colOff>
      <xdr:row>704</xdr:row>
      <xdr:rowOff>133350</xdr:rowOff>
    </xdr:to>
    <xdr:pic>
      <xdr:nvPicPr>
        <xdr:cNvPr id="1470" name="Picture@5C\QPendientes@" descr="@5C\QPendientes@">
          <a:extLst>
            <a:ext uri="{FF2B5EF4-FFF2-40B4-BE49-F238E27FC236}">
              <a16:creationId xmlns:a16="http://schemas.microsoft.com/office/drawing/2014/main" id="{F4E3FB7E-63B2-464A-87AE-534E660B89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74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705</xdr:row>
      <xdr:rowOff>0</xdr:rowOff>
    </xdr:from>
    <xdr:to>
      <xdr:col>0</xdr:col>
      <xdr:colOff>171450</xdr:colOff>
      <xdr:row>705</xdr:row>
      <xdr:rowOff>133350</xdr:rowOff>
    </xdr:to>
    <xdr:pic>
      <xdr:nvPicPr>
        <xdr:cNvPr id="1471" name="Picture@5C\QPendientes@" descr="@5C\QPendientes@">
          <a:extLst>
            <a:ext uri="{FF2B5EF4-FFF2-40B4-BE49-F238E27FC236}">
              <a16:creationId xmlns:a16="http://schemas.microsoft.com/office/drawing/2014/main" id="{4C32CF9E-21F0-4F29-A0F3-72CC1874B8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93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706</xdr:row>
      <xdr:rowOff>0</xdr:rowOff>
    </xdr:from>
    <xdr:to>
      <xdr:col>0</xdr:col>
      <xdr:colOff>171450</xdr:colOff>
      <xdr:row>706</xdr:row>
      <xdr:rowOff>133350</xdr:rowOff>
    </xdr:to>
    <xdr:pic>
      <xdr:nvPicPr>
        <xdr:cNvPr id="1472" name="Picture@5C\QPendientes@" descr="@5C\QPendientes@">
          <a:extLst>
            <a:ext uri="{FF2B5EF4-FFF2-40B4-BE49-F238E27FC236}">
              <a16:creationId xmlns:a16="http://schemas.microsoft.com/office/drawing/2014/main" id="{4505A05E-1B70-41A0-8E6B-7A6176D2BF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911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707</xdr:row>
      <xdr:rowOff>0</xdr:rowOff>
    </xdr:from>
    <xdr:to>
      <xdr:col>0</xdr:col>
      <xdr:colOff>171450</xdr:colOff>
      <xdr:row>707</xdr:row>
      <xdr:rowOff>133350</xdr:rowOff>
    </xdr:to>
    <xdr:pic>
      <xdr:nvPicPr>
        <xdr:cNvPr id="1473" name="Picture@5C\QPendientes@" descr="@5C\QPendientes@">
          <a:extLst>
            <a:ext uri="{FF2B5EF4-FFF2-40B4-BE49-F238E27FC236}">
              <a16:creationId xmlns:a16="http://schemas.microsoft.com/office/drawing/2014/main" id="{897022FA-57B8-4C8A-93F1-B9DB51CB98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929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708</xdr:row>
      <xdr:rowOff>0</xdr:rowOff>
    </xdr:from>
    <xdr:to>
      <xdr:col>0</xdr:col>
      <xdr:colOff>171450</xdr:colOff>
      <xdr:row>708</xdr:row>
      <xdr:rowOff>133350</xdr:rowOff>
    </xdr:to>
    <xdr:pic>
      <xdr:nvPicPr>
        <xdr:cNvPr id="1474" name="Picture@5C\QPendientes@" descr="@5C\QPendientes@">
          <a:extLst>
            <a:ext uri="{FF2B5EF4-FFF2-40B4-BE49-F238E27FC236}">
              <a16:creationId xmlns:a16="http://schemas.microsoft.com/office/drawing/2014/main" id="{E6DE75C0-1CEA-4E82-9E42-6C4EB0ABAE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947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709</xdr:row>
      <xdr:rowOff>0</xdr:rowOff>
    </xdr:from>
    <xdr:to>
      <xdr:col>0</xdr:col>
      <xdr:colOff>171450</xdr:colOff>
      <xdr:row>709</xdr:row>
      <xdr:rowOff>133350</xdr:rowOff>
    </xdr:to>
    <xdr:pic>
      <xdr:nvPicPr>
        <xdr:cNvPr id="1475" name="Picture@5C\QPendientes@" descr="@5C\QPendientes@">
          <a:extLst>
            <a:ext uri="{FF2B5EF4-FFF2-40B4-BE49-F238E27FC236}">
              <a16:creationId xmlns:a16="http://schemas.microsoft.com/office/drawing/2014/main" id="{ABB56180-DC3F-470E-91B9-EF443209ED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966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710</xdr:row>
      <xdr:rowOff>0</xdr:rowOff>
    </xdr:from>
    <xdr:to>
      <xdr:col>0</xdr:col>
      <xdr:colOff>171450</xdr:colOff>
      <xdr:row>710</xdr:row>
      <xdr:rowOff>133350</xdr:rowOff>
    </xdr:to>
    <xdr:pic>
      <xdr:nvPicPr>
        <xdr:cNvPr id="1476" name="Picture@5C\QPendientes@" descr="@5C\QPendientes@">
          <a:extLst>
            <a:ext uri="{FF2B5EF4-FFF2-40B4-BE49-F238E27FC236}">
              <a16:creationId xmlns:a16="http://schemas.microsoft.com/office/drawing/2014/main" id="{DFD91678-47B9-4F84-A4F4-5C247408CE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984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711</xdr:row>
      <xdr:rowOff>0</xdr:rowOff>
    </xdr:from>
    <xdr:to>
      <xdr:col>0</xdr:col>
      <xdr:colOff>171450</xdr:colOff>
      <xdr:row>711</xdr:row>
      <xdr:rowOff>133350</xdr:rowOff>
    </xdr:to>
    <xdr:pic>
      <xdr:nvPicPr>
        <xdr:cNvPr id="1477" name="Picture@5C\QPendientes@" descr="@5C\QPendientes@">
          <a:extLst>
            <a:ext uri="{FF2B5EF4-FFF2-40B4-BE49-F238E27FC236}">
              <a16:creationId xmlns:a16="http://schemas.microsoft.com/office/drawing/2014/main" id="{3222D3B9-7149-480E-8227-3C2DF4E402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002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712</xdr:row>
      <xdr:rowOff>0</xdr:rowOff>
    </xdr:from>
    <xdr:to>
      <xdr:col>0</xdr:col>
      <xdr:colOff>171450</xdr:colOff>
      <xdr:row>712</xdr:row>
      <xdr:rowOff>133350</xdr:rowOff>
    </xdr:to>
    <xdr:pic>
      <xdr:nvPicPr>
        <xdr:cNvPr id="1478" name="Picture@5C\QPendientes@" descr="@5C\QPendientes@">
          <a:extLst>
            <a:ext uri="{FF2B5EF4-FFF2-40B4-BE49-F238E27FC236}">
              <a16:creationId xmlns:a16="http://schemas.microsoft.com/office/drawing/2014/main" id="{A0547892-51FC-4105-91B1-51DC5B7B2A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021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713</xdr:row>
      <xdr:rowOff>0</xdr:rowOff>
    </xdr:from>
    <xdr:to>
      <xdr:col>0</xdr:col>
      <xdr:colOff>171450</xdr:colOff>
      <xdr:row>713</xdr:row>
      <xdr:rowOff>133350</xdr:rowOff>
    </xdr:to>
    <xdr:pic>
      <xdr:nvPicPr>
        <xdr:cNvPr id="1479" name="Picture@5C\QPendientes@" descr="@5C\QPendientes@">
          <a:extLst>
            <a:ext uri="{FF2B5EF4-FFF2-40B4-BE49-F238E27FC236}">
              <a16:creationId xmlns:a16="http://schemas.microsoft.com/office/drawing/2014/main" id="{68F5DB5B-B43D-486E-A568-26D00E6E27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039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714</xdr:row>
      <xdr:rowOff>0</xdr:rowOff>
    </xdr:from>
    <xdr:to>
      <xdr:col>0</xdr:col>
      <xdr:colOff>171450</xdr:colOff>
      <xdr:row>714</xdr:row>
      <xdr:rowOff>133350</xdr:rowOff>
    </xdr:to>
    <xdr:pic>
      <xdr:nvPicPr>
        <xdr:cNvPr id="1480" name="Picture@5C\QPendientes@" descr="@5C\QPendientes@">
          <a:extLst>
            <a:ext uri="{FF2B5EF4-FFF2-40B4-BE49-F238E27FC236}">
              <a16:creationId xmlns:a16="http://schemas.microsoft.com/office/drawing/2014/main" id="{183991A3-C230-446E-9994-A4E063215A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057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715</xdr:row>
      <xdr:rowOff>0</xdr:rowOff>
    </xdr:from>
    <xdr:to>
      <xdr:col>0</xdr:col>
      <xdr:colOff>171450</xdr:colOff>
      <xdr:row>715</xdr:row>
      <xdr:rowOff>133350</xdr:rowOff>
    </xdr:to>
    <xdr:pic>
      <xdr:nvPicPr>
        <xdr:cNvPr id="1481" name="Picture@5C\QPendientes@" descr="@5C\QPendientes@">
          <a:extLst>
            <a:ext uri="{FF2B5EF4-FFF2-40B4-BE49-F238E27FC236}">
              <a16:creationId xmlns:a16="http://schemas.microsoft.com/office/drawing/2014/main" id="{62291AD1-B37C-4607-9EA6-881C1808F3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075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716</xdr:row>
      <xdr:rowOff>0</xdr:rowOff>
    </xdr:from>
    <xdr:to>
      <xdr:col>0</xdr:col>
      <xdr:colOff>171450</xdr:colOff>
      <xdr:row>716</xdr:row>
      <xdr:rowOff>133350</xdr:rowOff>
    </xdr:to>
    <xdr:pic>
      <xdr:nvPicPr>
        <xdr:cNvPr id="1482" name="Picture@5C\QPendientes@" descr="@5C\QPendientes@">
          <a:extLst>
            <a:ext uri="{FF2B5EF4-FFF2-40B4-BE49-F238E27FC236}">
              <a16:creationId xmlns:a16="http://schemas.microsoft.com/office/drawing/2014/main" id="{BB386BB7-A234-4213-B0D8-11F862A287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094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717</xdr:row>
      <xdr:rowOff>0</xdr:rowOff>
    </xdr:from>
    <xdr:to>
      <xdr:col>0</xdr:col>
      <xdr:colOff>171450</xdr:colOff>
      <xdr:row>717</xdr:row>
      <xdr:rowOff>133350</xdr:rowOff>
    </xdr:to>
    <xdr:pic>
      <xdr:nvPicPr>
        <xdr:cNvPr id="1483" name="Picture@5C\QPendientes@" descr="@5C\QPendientes@">
          <a:extLst>
            <a:ext uri="{FF2B5EF4-FFF2-40B4-BE49-F238E27FC236}">
              <a16:creationId xmlns:a16="http://schemas.microsoft.com/office/drawing/2014/main" id="{59632954-2995-40E7-9DB7-CE345780EB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112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718</xdr:row>
      <xdr:rowOff>0</xdr:rowOff>
    </xdr:from>
    <xdr:to>
      <xdr:col>0</xdr:col>
      <xdr:colOff>171450</xdr:colOff>
      <xdr:row>718</xdr:row>
      <xdr:rowOff>133350</xdr:rowOff>
    </xdr:to>
    <xdr:pic>
      <xdr:nvPicPr>
        <xdr:cNvPr id="1484" name="Picture@5C\QPendientes@" descr="@5C\QPendientes@">
          <a:extLst>
            <a:ext uri="{FF2B5EF4-FFF2-40B4-BE49-F238E27FC236}">
              <a16:creationId xmlns:a16="http://schemas.microsoft.com/office/drawing/2014/main" id="{77E6E146-7097-48D8-9BEF-65A7CF5ABD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130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719</xdr:row>
      <xdr:rowOff>0</xdr:rowOff>
    </xdr:from>
    <xdr:to>
      <xdr:col>0</xdr:col>
      <xdr:colOff>171450</xdr:colOff>
      <xdr:row>719</xdr:row>
      <xdr:rowOff>133350</xdr:rowOff>
    </xdr:to>
    <xdr:pic>
      <xdr:nvPicPr>
        <xdr:cNvPr id="1485" name="Picture@5C\QPendientes@" descr="@5C\QPendientes@">
          <a:extLst>
            <a:ext uri="{FF2B5EF4-FFF2-40B4-BE49-F238E27FC236}">
              <a16:creationId xmlns:a16="http://schemas.microsoft.com/office/drawing/2014/main" id="{70C463CA-0DC9-4DEC-8819-FBB98483BB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149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720</xdr:row>
      <xdr:rowOff>0</xdr:rowOff>
    </xdr:from>
    <xdr:to>
      <xdr:col>0</xdr:col>
      <xdr:colOff>171450</xdr:colOff>
      <xdr:row>720</xdr:row>
      <xdr:rowOff>133350</xdr:rowOff>
    </xdr:to>
    <xdr:pic>
      <xdr:nvPicPr>
        <xdr:cNvPr id="1486" name="Picture@5C\QPendientes@" descr="@5C\QPendientes@">
          <a:extLst>
            <a:ext uri="{FF2B5EF4-FFF2-40B4-BE49-F238E27FC236}">
              <a16:creationId xmlns:a16="http://schemas.microsoft.com/office/drawing/2014/main" id="{E50D6FD3-6FF4-4B8C-893F-AAA3F70AC1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167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721</xdr:row>
      <xdr:rowOff>0</xdr:rowOff>
    </xdr:from>
    <xdr:to>
      <xdr:col>0</xdr:col>
      <xdr:colOff>171450</xdr:colOff>
      <xdr:row>721</xdr:row>
      <xdr:rowOff>133350</xdr:rowOff>
    </xdr:to>
    <xdr:pic>
      <xdr:nvPicPr>
        <xdr:cNvPr id="1487" name="Picture@5C\QPendientes@" descr="@5C\QPendientes@">
          <a:extLst>
            <a:ext uri="{FF2B5EF4-FFF2-40B4-BE49-F238E27FC236}">
              <a16:creationId xmlns:a16="http://schemas.microsoft.com/office/drawing/2014/main" id="{836EF044-62E5-4790-9532-66C4A88AB2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185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722</xdr:row>
      <xdr:rowOff>0</xdr:rowOff>
    </xdr:from>
    <xdr:to>
      <xdr:col>0</xdr:col>
      <xdr:colOff>171450</xdr:colOff>
      <xdr:row>722</xdr:row>
      <xdr:rowOff>133350</xdr:rowOff>
    </xdr:to>
    <xdr:pic>
      <xdr:nvPicPr>
        <xdr:cNvPr id="1488" name="Picture@5C\QPendientes@" descr="@5C\QPendientes@">
          <a:extLst>
            <a:ext uri="{FF2B5EF4-FFF2-40B4-BE49-F238E27FC236}">
              <a16:creationId xmlns:a16="http://schemas.microsoft.com/office/drawing/2014/main" id="{AC4802BD-9EBA-4AE4-B2A3-3037B411F6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203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723</xdr:row>
      <xdr:rowOff>0</xdr:rowOff>
    </xdr:from>
    <xdr:to>
      <xdr:col>0</xdr:col>
      <xdr:colOff>171450</xdr:colOff>
      <xdr:row>723</xdr:row>
      <xdr:rowOff>133350</xdr:rowOff>
    </xdr:to>
    <xdr:pic>
      <xdr:nvPicPr>
        <xdr:cNvPr id="1489" name="Picture@5C\QPendientes@" descr="@5C\QPendientes@">
          <a:extLst>
            <a:ext uri="{FF2B5EF4-FFF2-40B4-BE49-F238E27FC236}">
              <a16:creationId xmlns:a16="http://schemas.microsoft.com/office/drawing/2014/main" id="{F312D330-6BE8-475D-A3B4-C981D4109A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222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724</xdr:row>
      <xdr:rowOff>0</xdr:rowOff>
    </xdr:from>
    <xdr:to>
      <xdr:col>0</xdr:col>
      <xdr:colOff>171450</xdr:colOff>
      <xdr:row>724</xdr:row>
      <xdr:rowOff>133350</xdr:rowOff>
    </xdr:to>
    <xdr:pic>
      <xdr:nvPicPr>
        <xdr:cNvPr id="1490" name="Picture@5C\QPendientes@" descr="@5C\QPendientes@">
          <a:extLst>
            <a:ext uri="{FF2B5EF4-FFF2-40B4-BE49-F238E27FC236}">
              <a16:creationId xmlns:a16="http://schemas.microsoft.com/office/drawing/2014/main" id="{A1820978-2B21-4ED3-A919-3B03D6896D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240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725</xdr:row>
      <xdr:rowOff>0</xdr:rowOff>
    </xdr:from>
    <xdr:to>
      <xdr:col>0</xdr:col>
      <xdr:colOff>171450</xdr:colOff>
      <xdr:row>725</xdr:row>
      <xdr:rowOff>133350</xdr:rowOff>
    </xdr:to>
    <xdr:pic>
      <xdr:nvPicPr>
        <xdr:cNvPr id="1491" name="Picture@5C\QPendientes@" descr="@5C\QPendientes@">
          <a:extLst>
            <a:ext uri="{FF2B5EF4-FFF2-40B4-BE49-F238E27FC236}">
              <a16:creationId xmlns:a16="http://schemas.microsoft.com/office/drawing/2014/main" id="{D73F8719-29A4-4753-9560-771AD54774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258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726</xdr:row>
      <xdr:rowOff>0</xdr:rowOff>
    </xdr:from>
    <xdr:to>
      <xdr:col>0</xdr:col>
      <xdr:colOff>171450</xdr:colOff>
      <xdr:row>726</xdr:row>
      <xdr:rowOff>133350</xdr:rowOff>
    </xdr:to>
    <xdr:pic>
      <xdr:nvPicPr>
        <xdr:cNvPr id="1492" name="Picture@5C\QPendientes@" descr="@5C\QPendientes@">
          <a:extLst>
            <a:ext uri="{FF2B5EF4-FFF2-40B4-BE49-F238E27FC236}">
              <a16:creationId xmlns:a16="http://schemas.microsoft.com/office/drawing/2014/main" id="{AA3AD477-7DAA-4271-A918-B72BA89BE4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277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727</xdr:row>
      <xdr:rowOff>0</xdr:rowOff>
    </xdr:from>
    <xdr:to>
      <xdr:col>0</xdr:col>
      <xdr:colOff>171450</xdr:colOff>
      <xdr:row>727</xdr:row>
      <xdr:rowOff>133350</xdr:rowOff>
    </xdr:to>
    <xdr:pic>
      <xdr:nvPicPr>
        <xdr:cNvPr id="1493" name="Picture@5C\QPendientes@" descr="@5C\QPendientes@">
          <a:extLst>
            <a:ext uri="{FF2B5EF4-FFF2-40B4-BE49-F238E27FC236}">
              <a16:creationId xmlns:a16="http://schemas.microsoft.com/office/drawing/2014/main" id="{2D786F53-03FD-40E9-8906-A26883B55E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295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728</xdr:row>
      <xdr:rowOff>0</xdr:rowOff>
    </xdr:from>
    <xdr:to>
      <xdr:col>0</xdr:col>
      <xdr:colOff>171450</xdr:colOff>
      <xdr:row>728</xdr:row>
      <xdr:rowOff>133350</xdr:rowOff>
    </xdr:to>
    <xdr:pic>
      <xdr:nvPicPr>
        <xdr:cNvPr id="1494" name="Picture@5C\QPendientes@" descr="@5C\QPendientes@">
          <a:extLst>
            <a:ext uri="{FF2B5EF4-FFF2-40B4-BE49-F238E27FC236}">
              <a16:creationId xmlns:a16="http://schemas.microsoft.com/office/drawing/2014/main" id="{E6C14B39-0BF2-4EA0-8BCD-905F66C47A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13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729</xdr:row>
      <xdr:rowOff>0</xdr:rowOff>
    </xdr:from>
    <xdr:to>
      <xdr:col>0</xdr:col>
      <xdr:colOff>171450</xdr:colOff>
      <xdr:row>729</xdr:row>
      <xdr:rowOff>133350</xdr:rowOff>
    </xdr:to>
    <xdr:pic>
      <xdr:nvPicPr>
        <xdr:cNvPr id="1495" name="Picture@5C\QPendientes@" descr="@5C\QPendientes@">
          <a:extLst>
            <a:ext uri="{FF2B5EF4-FFF2-40B4-BE49-F238E27FC236}">
              <a16:creationId xmlns:a16="http://schemas.microsoft.com/office/drawing/2014/main" id="{40880911-4517-46DE-983E-7D0024ED93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31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730</xdr:row>
      <xdr:rowOff>0</xdr:rowOff>
    </xdr:from>
    <xdr:to>
      <xdr:col>0</xdr:col>
      <xdr:colOff>171450</xdr:colOff>
      <xdr:row>730</xdr:row>
      <xdr:rowOff>133350</xdr:rowOff>
    </xdr:to>
    <xdr:pic>
      <xdr:nvPicPr>
        <xdr:cNvPr id="1496" name="Picture@5C\QPendientes@" descr="@5C\QPendientes@">
          <a:extLst>
            <a:ext uri="{FF2B5EF4-FFF2-40B4-BE49-F238E27FC236}">
              <a16:creationId xmlns:a16="http://schemas.microsoft.com/office/drawing/2014/main" id="{7079FCD9-B3BC-4E61-AD7F-F713088685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50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731</xdr:row>
      <xdr:rowOff>0</xdr:rowOff>
    </xdr:from>
    <xdr:to>
      <xdr:col>0</xdr:col>
      <xdr:colOff>171450</xdr:colOff>
      <xdr:row>731</xdr:row>
      <xdr:rowOff>133350</xdr:rowOff>
    </xdr:to>
    <xdr:pic>
      <xdr:nvPicPr>
        <xdr:cNvPr id="1497" name="Picture@5C\QPendientes@" descr="@5C\QPendientes@">
          <a:extLst>
            <a:ext uri="{FF2B5EF4-FFF2-40B4-BE49-F238E27FC236}">
              <a16:creationId xmlns:a16="http://schemas.microsoft.com/office/drawing/2014/main" id="{DB35CC0A-A354-4072-8FD9-3FB7A8A259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68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732</xdr:row>
      <xdr:rowOff>0</xdr:rowOff>
    </xdr:from>
    <xdr:to>
      <xdr:col>0</xdr:col>
      <xdr:colOff>171450</xdr:colOff>
      <xdr:row>732</xdr:row>
      <xdr:rowOff>133350</xdr:rowOff>
    </xdr:to>
    <xdr:pic>
      <xdr:nvPicPr>
        <xdr:cNvPr id="1498" name="Picture@5C\QPendientes@" descr="@5C\QPendientes@">
          <a:extLst>
            <a:ext uri="{FF2B5EF4-FFF2-40B4-BE49-F238E27FC236}">
              <a16:creationId xmlns:a16="http://schemas.microsoft.com/office/drawing/2014/main" id="{7375FE45-2E97-4929-BDE1-0FA5654D15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86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733</xdr:row>
      <xdr:rowOff>0</xdr:rowOff>
    </xdr:from>
    <xdr:to>
      <xdr:col>0</xdr:col>
      <xdr:colOff>171450</xdr:colOff>
      <xdr:row>733</xdr:row>
      <xdr:rowOff>133350</xdr:rowOff>
    </xdr:to>
    <xdr:pic>
      <xdr:nvPicPr>
        <xdr:cNvPr id="1499" name="Picture@5C\QPendientes@" descr="@5C\QPendientes@">
          <a:extLst>
            <a:ext uri="{FF2B5EF4-FFF2-40B4-BE49-F238E27FC236}">
              <a16:creationId xmlns:a16="http://schemas.microsoft.com/office/drawing/2014/main" id="{F89B108F-C959-4BEE-A78D-F6BF5F7321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405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734</xdr:row>
      <xdr:rowOff>0</xdr:rowOff>
    </xdr:from>
    <xdr:to>
      <xdr:col>0</xdr:col>
      <xdr:colOff>171450</xdr:colOff>
      <xdr:row>734</xdr:row>
      <xdr:rowOff>133350</xdr:rowOff>
    </xdr:to>
    <xdr:pic>
      <xdr:nvPicPr>
        <xdr:cNvPr id="1500" name="Picture@5C\QPendientes@" descr="@5C\QPendientes@">
          <a:extLst>
            <a:ext uri="{FF2B5EF4-FFF2-40B4-BE49-F238E27FC236}">
              <a16:creationId xmlns:a16="http://schemas.microsoft.com/office/drawing/2014/main" id="{91FA1CA7-1BB6-4CFB-A3C5-66DF1EABA4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423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735</xdr:row>
      <xdr:rowOff>0</xdr:rowOff>
    </xdr:from>
    <xdr:to>
      <xdr:col>0</xdr:col>
      <xdr:colOff>171450</xdr:colOff>
      <xdr:row>735</xdr:row>
      <xdr:rowOff>133350</xdr:rowOff>
    </xdr:to>
    <xdr:pic>
      <xdr:nvPicPr>
        <xdr:cNvPr id="1501" name="Picture@5C\QPendientes@" descr="@5C\QPendientes@">
          <a:extLst>
            <a:ext uri="{FF2B5EF4-FFF2-40B4-BE49-F238E27FC236}">
              <a16:creationId xmlns:a16="http://schemas.microsoft.com/office/drawing/2014/main" id="{DBB22E6C-FE1C-4E86-9733-39359E9344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441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736</xdr:row>
      <xdr:rowOff>0</xdr:rowOff>
    </xdr:from>
    <xdr:to>
      <xdr:col>0</xdr:col>
      <xdr:colOff>171450</xdr:colOff>
      <xdr:row>736</xdr:row>
      <xdr:rowOff>133350</xdr:rowOff>
    </xdr:to>
    <xdr:pic>
      <xdr:nvPicPr>
        <xdr:cNvPr id="1502" name="Picture@5C\QPendientes@" descr="@5C\QPendientes@">
          <a:extLst>
            <a:ext uri="{FF2B5EF4-FFF2-40B4-BE49-F238E27FC236}">
              <a16:creationId xmlns:a16="http://schemas.microsoft.com/office/drawing/2014/main" id="{1F1A0AE7-A4FD-4CB8-8E51-DF6F211731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459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737</xdr:row>
      <xdr:rowOff>0</xdr:rowOff>
    </xdr:from>
    <xdr:to>
      <xdr:col>0</xdr:col>
      <xdr:colOff>171450</xdr:colOff>
      <xdr:row>737</xdr:row>
      <xdr:rowOff>133350</xdr:rowOff>
    </xdr:to>
    <xdr:pic>
      <xdr:nvPicPr>
        <xdr:cNvPr id="1503" name="Picture@5C\QPendientes@" descr="@5C\QPendientes@">
          <a:extLst>
            <a:ext uri="{FF2B5EF4-FFF2-40B4-BE49-F238E27FC236}">
              <a16:creationId xmlns:a16="http://schemas.microsoft.com/office/drawing/2014/main" id="{0E4F2A85-605F-456B-B9D0-262D48E187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478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738</xdr:row>
      <xdr:rowOff>0</xdr:rowOff>
    </xdr:from>
    <xdr:to>
      <xdr:col>0</xdr:col>
      <xdr:colOff>171450</xdr:colOff>
      <xdr:row>738</xdr:row>
      <xdr:rowOff>133350</xdr:rowOff>
    </xdr:to>
    <xdr:pic>
      <xdr:nvPicPr>
        <xdr:cNvPr id="1504" name="Picture@5C\QPendientes@" descr="@5C\QPendientes@">
          <a:extLst>
            <a:ext uri="{FF2B5EF4-FFF2-40B4-BE49-F238E27FC236}">
              <a16:creationId xmlns:a16="http://schemas.microsoft.com/office/drawing/2014/main" id="{8573CB87-DA7C-4A41-8297-788C75023C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496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739</xdr:row>
      <xdr:rowOff>0</xdr:rowOff>
    </xdr:from>
    <xdr:to>
      <xdr:col>0</xdr:col>
      <xdr:colOff>171450</xdr:colOff>
      <xdr:row>739</xdr:row>
      <xdr:rowOff>133350</xdr:rowOff>
    </xdr:to>
    <xdr:pic>
      <xdr:nvPicPr>
        <xdr:cNvPr id="1505" name="Picture@5C\QPendientes@" descr="@5C\QPendientes@">
          <a:extLst>
            <a:ext uri="{FF2B5EF4-FFF2-40B4-BE49-F238E27FC236}">
              <a16:creationId xmlns:a16="http://schemas.microsoft.com/office/drawing/2014/main" id="{7D277B09-2AD3-410D-B310-3FAA1585C3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14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740</xdr:row>
      <xdr:rowOff>0</xdr:rowOff>
    </xdr:from>
    <xdr:to>
      <xdr:col>0</xdr:col>
      <xdr:colOff>171450</xdr:colOff>
      <xdr:row>740</xdr:row>
      <xdr:rowOff>133350</xdr:rowOff>
    </xdr:to>
    <xdr:pic>
      <xdr:nvPicPr>
        <xdr:cNvPr id="1506" name="Picture@5C\QPendientes@" descr="@5C\QPendientes@">
          <a:extLst>
            <a:ext uri="{FF2B5EF4-FFF2-40B4-BE49-F238E27FC236}">
              <a16:creationId xmlns:a16="http://schemas.microsoft.com/office/drawing/2014/main" id="{DA5BBF2D-B511-4AC8-BAD3-32827E9D7A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33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741</xdr:row>
      <xdr:rowOff>0</xdr:rowOff>
    </xdr:from>
    <xdr:to>
      <xdr:col>0</xdr:col>
      <xdr:colOff>171450</xdr:colOff>
      <xdr:row>741</xdr:row>
      <xdr:rowOff>133350</xdr:rowOff>
    </xdr:to>
    <xdr:pic>
      <xdr:nvPicPr>
        <xdr:cNvPr id="1507" name="Picture@5C\QPendientes@" descr="@5C\QPendientes@">
          <a:extLst>
            <a:ext uri="{FF2B5EF4-FFF2-40B4-BE49-F238E27FC236}">
              <a16:creationId xmlns:a16="http://schemas.microsoft.com/office/drawing/2014/main" id="{2054C483-6B11-491B-B221-60A4D7062F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51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742</xdr:row>
      <xdr:rowOff>0</xdr:rowOff>
    </xdr:from>
    <xdr:to>
      <xdr:col>0</xdr:col>
      <xdr:colOff>171450</xdr:colOff>
      <xdr:row>742</xdr:row>
      <xdr:rowOff>133350</xdr:rowOff>
    </xdr:to>
    <xdr:pic>
      <xdr:nvPicPr>
        <xdr:cNvPr id="1508" name="Picture@5C\QPendientes@" descr="@5C\QPendientes@">
          <a:extLst>
            <a:ext uri="{FF2B5EF4-FFF2-40B4-BE49-F238E27FC236}">
              <a16:creationId xmlns:a16="http://schemas.microsoft.com/office/drawing/2014/main" id="{25872A33-23F0-4226-9BE6-A03B95F8F0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69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743</xdr:row>
      <xdr:rowOff>0</xdr:rowOff>
    </xdr:from>
    <xdr:to>
      <xdr:col>0</xdr:col>
      <xdr:colOff>171450</xdr:colOff>
      <xdr:row>743</xdr:row>
      <xdr:rowOff>133350</xdr:rowOff>
    </xdr:to>
    <xdr:pic>
      <xdr:nvPicPr>
        <xdr:cNvPr id="1509" name="Picture@5C\QPendientes@" descr="@5C\QPendientes@">
          <a:extLst>
            <a:ext uri="{FF2B5EF4-FFF2-40B4-BE49-F238E27FC236}">
              <a16:creationId xmlns:a16="http://schemas.microsoft.com/office/drawing/2014/main" id="{03F583B4-D8A9-48D0-A39E-6173ED37F6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87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744</xdr:row>
      <xdr:rowOff>0</xdr:rowOff>
    </xdr:from>
    <xdr:to>
      <xdr:col>0</xdr:col>
      <xdr:colOff>171450</xdr:colOff>
      <xdr:row>744</xdr:row>
      <xdr:rowOff>133350</xdr:rowOff>
    </xdr:to>
    <xdr:pic>
      <xdr:nvPicPr>
        <xdr:cNvPr id="1510" name="Picture@5C\QPendientes@" descr="@5C\QPendientes@">
          <a:extLst>
            <a:ext uri="{FF2B5EF4-FFF2-40B4-BE49-F238E27FC236}">
              <a16:creationId xmlns:a16="http://schemas.microsoft.com/office/drawing/2014/main" id="{9DDFF76C-AB62-4F32-91A6-47D2D40FCA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606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745</xdr:row>
      <xdr:rowOff>0</xdr:rowOff>
    </xdr:from>
    <xdr:to>
      <xdr:col>0</xdr:col>
      <xdr:colOff>171450</xdr:colOff>
      <xdr:row>745</xdr:row>
      <xdr:rowOff>133350</xdr:rowOff>
    </xdr:to>
    <xdr:pic>
      <xdr:nvPicPr>
        <xdr:cNvPr id="1511" name="Picture@5C\QPendientes@" descr="@5C\QPendientes@">
          <a:extLst>
            <a:ext uri="{FF2B5EF4-FFF2-40B4-BE49-F238E27FC236}">
              <a16:creationId xmlns:a16="http://schemas.microsoft.com/office/drawing/2014/main" id="{D2ED0833-3A5F-4B14-85C8-4B7F8D9466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624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746</xdr:row>
      <xdr:rowOff>0</xdr:rowOff>
    </xdr:from>
    <xdr:to>
      <xdr:col>0</xdr:col>
      <xdr:colOff>171450</xdr:colOff>
      <xdr:row>746</xdr:row>
      <xdr:rowOff>133350</xdr:rowOff>
    </xdr:to>
    <xdr:pic>
      <xdr:nvPicPr>
        <xdr:cNvPr id="1512" name="Picture@5C\QPendientes@" descr="@5C\QPendientes@">
          <a:extLst>
            <a:ext uri="{FF2B5EF4-FFF2-40B4-BE49-F238E27FC236}">
              <a16:creationId xmlns:a16="http://schemas.microsoft.com/office/drawing/2014/main" id="{B39EADAB-9EC5-45D9-AF6B-B11BA0013C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642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747</xdr:row>
      <xdr:rowOff>0</xdr:rowOff>
    </xdr:from>
    <xdr:to>
      <xdr:col>0</xdr:col>
      <xdr:colOff>171450</xdr:colOff>
      <xdr:row>747</xdr:row>
      <xdr:rowOff>133350</xdr:rowOff>
    </xdr:to>
    <xdr:pic>
      <xdr:nvPicPr>
        <xdr:cNvPr id="1513" name="Picture@5C\QPendientes@" descr="@5C\QPendientes@">
          <a:extLst>
            <a:ext uri="{FF2B5EF4-FFF2-40B4-BE49-F238E27FC236}">
              <a16:creationId xmlns:a16="http://schemas.microsoft.com/office/drawing/2014/main" id="{D480ADBC-7546-4316-BA48-A4ECE6D97F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661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748</xdr:row>
      <xdr:rowOff>0</xdr:rowOff>
    </xdr:from>
    <xdr:to>
      <xdr:col>0</xdr:col>
      <xdr:colOff>171450</xdr:colOff>
      <xdr:row>748</xdr:row>
      <xdr:rowOff>133350</xdr:rowOff>
    </xdr:to>
    <xdr:pic>
      <xdr:nvPicPr>
        <xdr:cNvPr id="1514" name="Picture@5C\QPendientes@" descr="@5C\QPendientes@">
          <a:extLst>
            <a:ext uri="{FF2B5EF4-FFF2-40B4-BE49-F238E27FC236}">
              <a16:creationId xmlns:a16="http://schemas.microsoft.com/office/drawing/2014/main" id="{E956604C-A6F7-4B84-BBDB-A90367E64A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679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749</xdr:row>
      <xdr:rowOff>0</xdr:rowOff>
    </xdr:from>
    <xdr:to>
      <xdr:col>0</xdr:col>
      <xdr:colOff>171450</xdr:colOff>
      <xdr:row>749</xdr:row>
      <xdr:rowOff>133350</xdr:rowOff>
    </xdr:to>
    <xdr:pic>
      <xdr:nvPicPr>
        <xdr:cNvPr id="1515" name="Picture@5C\QPendientes@" descr="@5C\QPendientes@">
          <a:extLst>
            <a:ext uri="{FF2B5EF4-FFF2-40B4-BE49-F238E27FC236}">
              <a16:creationId xmlns:a16="http://schemas.microsoft.com/office/drawing/2014/main" id="{E3FA500B-4E0D-4957-BE93-BF58047C5E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697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750</xdr:row>
      <xdr:rowOff>0</xdr:rowOff>
    </xdr:from>
    <xdr:to>
      <xdr:col>0</xdr:col>
      <xdr:colOff>171450</xdr:colOff>
      <xdr:row>750</xdr:row>
      <xdr:rowOff>133350</xdr:rowOff>
    </xdr:to>
    <xdr:pic>
      <xdr:nvPicPr>
        <xdr:cNvPr id="1516" name="Picture@5C\QPendientes@" descr="@5C\QPendientes@">
          <a:extLst>
            <a:ext uri="{FF2B5EF4-FFF2-40B4-BE49-F238E27FC236}">
              <a16:creationId xmlns:a16="http://schemas.microsoft.com/office/drawing/2014/main" id="{EF23A7B6-20AC-4E63-8820-B09434A635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716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133350</xdr:rowOff>
    </xdr:to>
    <xdr:pic>
      <xdr:nvPicPr>
        <xdr:cNvPr id="2" name="Picture@5C\QPendientes@" descr="@5C\QPendientes@">
          <a:extLst>
            <a:ext uri="{FF2B5EF4-FFF2-40B4-BE49-F238E27FC236}">
              <a16:creationId xmlns:a16="http://schemas.microsoft.com/office/drawing/2014/main" id="{5137AF6D-52EF-411A-8F91-3C52AD0709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133350</xdr:rowOff>
    </xdr:to>
    <xdr:pic>
      <xdr:nvPicPr>
        <xdr:cNvPr id="3" name="Picture@5C\QPendientes@" descr="@5C\QPendientes@">
          <a:extLst>
            <a:ext uri="{FF2B5EF4-FFF2-40B4-BE49-F238E27FC236}">
              <a16:creationId xmlns:a16="http://schemas.microsoft.com/office/drawing/2014/main" id="{51F38B09-A347-404D-B8D9-40915A2CBF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133350</xdr:rowOff>
    </xdr:to>
    <xdr:pic>
      <xdr:nvPicPr>
        <xdr:cNvPr id="4" name="Picture@5C\QPendientes@" descr="@5C\QPendientes@">
          <a:extLst>
            <a:ext uri="{FF2B5EF4-FFF2-40B4-BE49-F238E27FC236}">
              <a16:creationId xmlns:a16="http://schemas.microsoft.com/office/drawing/2014/main" id="{87D43F5F-A2F9-4849-B205-A3947007AD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133350</xdr:rowOff>
    </xdr:to>
    <xdr:pic>
      <xdr:nvPicPr>
        <xdr:cNvPr id="5" name="Picture@5C\QPendientes@" descr="@5C\QPendientes@">
          <a:extLst>
            <a:ext uri="{FF2B5EF4-FFF2-40B4-BE49-F238E27FC236}">
              <a16:creationId xmlns:a16="http://schemas.microsoft.com/office/drawing/2014/main" id="{3872102D-352E-456B-ADCB-9A7D491DAC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133350</xdr:rowOff>
    </xdr:to>
    <xdr:pic>
      <xdr:nvPicPr>
        <xdr:cNvPr id="6" name="Picture@5C\QPendientes@" descr="@5C\QPendientes@">
          <a:extLst>
            <a:ext uri="{FF2B5EF4-FFF2-40B4-BE49-F238E27FC236}">
              <a16:creationId xmlns:a16="http://schemas.microsoft.com/office/drawing/2014/main" id="{E660A71D-0907-45D6-878D-DD222DC496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133350</xdr:rowOff>
    </xdr:to>
    <xdr:pic>
      <xdr:nvPicPr>
        <xdr:cNvPr id="7" name="Picture@5C\QPendientes@" descr="@5C\QPendientes@">
          <a:extLst>
            <a:ext uri="{FF2B5EF4-FFF2-40B4-BE49-F238E27FC236}">
              <a16:creationId xmlns:a16="http://schemas.microsoft.com/office/drawing/2014/main" id="{EA99C1E1-D3A8-451A-BA15-180B89C9D1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133350</xdr:rowOff>
    </xdr:to>
    <xdr:pic>
      <xdr:nvPicPr>
        <xdr:cNvPr id="8" name="Picture@5C\QPendientes@" descr="@5C\QPendientes@">
          <a:extLst>
            <a:ext uri="{FF2B5EF4-FFF2-40B4-BE49-F238E27FC236}">
              <a16:creationId xmlns:a16="http://schemas.microsoft.com/office/drawing/2014/main" id="{017D1DAB-8BAC-47D9-91CF-B686D39A34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133350</xdr:rowOff>
    </xdr:to>
    <xdr:pic>
      <xdr:nvPicPr>
        <xdr:cNvPr id="9" name="Picture@5C\QPendientes@" descr="@5C\QPendientes@">
          <a:extLst>
            <a:ext uri="{FF2B5EF4-FFF2-40B4-BE49-F238E27FC236}">
              <a16:creationId xmlns:a16="http://schemas.microsoft.com/office/drawing/2014/main" id="{F82771C1-F0D0-4A7D-8CF9-DE005D8FB5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133350</xdr:rowOff>
    </xdr:to>
    <xdr:pic>
      <xdr:nvPicPr>
        <xdr:cNvPr id="10" name="Picture@5C\QPendientes@" descr="@5C\QPendientes@">
          <a:extLst>
            <a:ext uri="{FF2B5EF4-FFF2-40B4-BE49-F238E27FC236}">
              <a16:creationId xmlns:a16="http://schemas.microsoft.com/office/drawing/2014/main" id="{3A130E8D-E88E-4716-9A82-2F38794992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133350</xdr:rowOff>
    </xdr:to>
    <xdr:pic>
      <xdr:nvPicPr>
        <xdr:cNvPr id="11" name="Picture@5C\QPendientes@" descr="@5C\QPendientes@">
          <a:extLst>
            <a:ext uri="{FF2B5EF4-FFF2-40B4-BE49-F238E27FC236}">
              <a16:creationId xmlns:a16="http://schemas.microsoft.com/office/drawing/2014/main" id="{F04CC84E-7A82-4C1E-A1B6-0CE947FB0D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133350</xdr:rowOff>
    </xdr:to>
    <xdr:pic>
      <xdr:nvPicPr>
        <xdr:cNvPr id="12" name="Picture@5C\QPendientes@" descr="@5C\QPendientes@">
          <a:extLst>
            <a:ext uri="{FF2B5EF4-FFF2-40B4-BE49-F238E27FC236}">
              <a16:creationId xmlns:a16="http://schemas.microsoft.com/office/drawing/2014/main" id="{7F8DED09-25F3-4708-9CD4-D3BFB4FDE2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133350</xdr:rowOff>
    </xdr:to>
    <xdr:pic>
      <xdr:nvPicPr>
        <xdr:cNvPr id="13" name="Picture@5C\QPendientes@" descr="@5C\QPendientes@">
          <a:extLst>
            <a:ext uri="{FF2B5EF4-FFF2-40B4-BE49-F238E27FC236}">
              <a16:creationId xmlns:a16="http://schemas.microsoft.com/office/drawing/2014/main" id="{5A362894-DAB3-4A60-B139-80234CD7C1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133350</xdr:rowOff>
    </xdr:to>
    <xdr:pic>
      <xdr:nvPicPr>
        <xdr:cNvPr id="14" name="Picture@5C\QPendientes@" descr="@5C\QPendientes@">
          <a:extLst>
            <a:ext uri="{FF2B5EF4-FFF2-40B4-BE49-F238E27FC236}">
              <a16:creationId xmlns:a16="http://schemas.microsoft.com/office/drawing/2014/main" id="{4C5261B8-C9A8-41F7-AF0A-918DEE00A6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133350</xdr:rowOff>
    </xdr:to>
    <xdr:pic>
      <xdr:nvPicPr>
        <xdr:cNvPr id="15" name="Picture@5C\QPendientes@" descr="@5C\QPendientes@">
          <a:extLst>
            <a:ext uri="{FF2B5EF4-FFF2-40B4-BE49-F238E27FC236}">
              <a16:creationId xmlns:a16="http://schemas.microsoft.com/office/drawing/2014/main" id="{35901E7E-3B9A-43A6-81F8-C9E0F03BF6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133350</xdr:rowOff>
    </xdr:to>
    <xdr:pic>
      <xdr:nvPicPr>
        <xdr:cNvPr id="16" name="Picture@5C\QPendientes@" descr="@5C\QPendientes@">
          <a:extLst>
            <a:ext uri="{FF2B5EF4-FFF2-40B4-BE49-F238E27FC236}">
              <a16:creationId xmlns:a16="http://schemas.microsoft.com/office/drawing/2014/main" id="{9B3F7044-EC93-4505-9564-6E2C54ECDC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133350</xdr:rowOff>
    </xdr:to>
    <xdr:pic>
      <xdr:nvPicPr>
        <xdr:cNvPr id="17" name="Picture@5C\QPendientes@" descr="@5C\QPendientes@">
          <a:extLst>
            <a:ext uri="{FF2B5EF4-FFF2-40B4-BE49-F238E27FC236}">
              <a16:creationId xmlns:a16="http://schemas.microsoft.com/office/drawing/2014/main" id="{E88C8461-5A26-4F88-825F-AAF04E1324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133350</xdr:rowOff>
    </xdr:to>
    <xdr:pic>
      <xdr:nvPicPr>
        <xdr:cNvPr id="18" name="Picture@5C\QPendientes@" descr="@5C\QPendientes@">
          <a:extLst>
            <a:ext uri="{FF2B5EF4-FFF2-40B4-BE49-F238E27FC236}">
              <a16:creationId xmlns:a16="http://schemas.microsoft.com/office/drawing/2014/main" id="{7C4FEECA-BFEC-47B7-A52B-04C2E3F6B5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133350</xdr:rowOff>
    </xdr:to>
    <xdr:pic>
      <xdr:nvPicPr>
        <xdr:cNvPr id="19" name="Picture@5C\QPendientes@" descr="@5C\QPendientes@">
          <a:extLst>
            <a:ext uri="{FF2B5EF4-FFF2-40B4-BE49-F238E27FC236}">
              <a16:creationId xmlns:a16="http://schemas.microsoft.com/office/drawing/2014/main" id="{A4390AD9-1FC6-4C4A-97BD-74D6C56175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133350</xdr:rowOff>
    </xdr:to>
    <xdr:pic>
      <xdr:nvPicPr>
        <xdr:cNvPr id="20" name="Picture@5C\QPendientes@" descr="@5C\QPendientes@">
          <a:extLst>
            <a:ext uri="{FF2B5EF4-FFF2-40B4-BE49-F238E27FC236}">
              <a16:creationId xmlns:a16="http://schemas.microsoft.com/office/drawing/2014/main" id="{6B958CD1-D5FC-4337-9A56-11827FAEEF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133350</xdr:rowOff>
    </xdr:to>
    <xdr:pic>
      <xdr:nvPicPr>
        <xdr:cNvPr id="21" name="Picture@5C\QPendientes@" descr="@5C\QPendientes@">
          <a:extLst>
            <a:ext uri="{FF2B5EF4-FFF2-40B4-BE49-F238E27FC236}">
              <a16:creationId xmlns:a16="http://schemas.microsoft.com/office/drawing/2014/main" id="{5BA9BCAD-04CC-4332-8C37-B9D16BAAE9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133350</xdr:rowOff>
    </xdr:to>
    <xdr:pic>
      <xdr:nvPicPr>
        <xdr:cNvPr id="22" name="Picture@5C\QPendientes@" descr="@5C\QPendientes@">
          <a:extLst>
            <a:ext uri="{FF2B5EF4-FFF2-40B4-BE49-F238E27FC236}">
              <a16:creationId xmlns:a16="http://schemas.microsoft.com/office/drawing/2014/main" id="{CDFA21E6-CB7B-4907-B44D-EAE995F5DC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133350</xdr:rowOff>
    </xdr:to>
    <xdr:pic>
      <xdr:nvPicPr>
        <xdr:cNvPr id="23" name="Picture@5C\QPendientes@" descr="@5C\QPendientes@">
          <a:extLst>
            <a:ext uri="{FF2B5EF4-FFF2-40B4-BE49-F238E27FC236}">
              <a16:creationId xmlns:a16="http://schemas.microsoft.com/office/drawing/2014/main" id="{889A521A-0C5D-4285-A2FC-EE18A92A66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2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133350</xdr:rowOff>
    </xdr:to>
    <xdr:pic>
      <xdr:nvPicPr>
        <xdr:cNvPr id="24" name="Picture@5C\QPendientes@" descr="@5C\QPendientes@">
          <a:extLst>
            <a:ext uri="{FF2B5EF4-FFF2-40B4-BE49-F238E27FC236}">
              <a16:creationId xmlns:a16="http://schemas.microsoft.com/office/drawing/2014/main" id="{9E1CDAA9-A9A5-4F2E-ABB1-C1793954D3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0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133350</xdr:rowOff>
    </xdr:to>
    <xdr:pic>
      <xdr:nvPicPr>
        <xdr:cNvPr id="25" name="Picture@5C\QPendientes@" descr="@5C\QPendientes@">
          <a:extLst>
            <a:ext uri="{FF2B5EF4-FFF2-40B4-BE49-F238E27FC236}">
              <a16:creationId xmlns:a16="http://schemas.microsoft.com/office/drawing/2014/main" id="{A7357D04-1FF8-4973-B2F0-9BAB5804BF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8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133350</xdr:rowOff>
    </xdr:to>
    <xdr:pic>
      <xdr:nvPicPr>
        <xdr:cNvPr id="26" name="Picture@5C\QPendientes@" descr="@5C\QPendientes@">
          <a:extLst>
            <a:ext uri="{FF2B5EF4-FFF2-40B4-BE49-F238E27FC236}">
              <a16:creationId xmlns:a16="http://schemas.microsoft.com/office/drawing/2014/main" id="{1BB61EBE-B5BD-4D28-8B07-D8DE6B07A3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7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133350</xdr:rowOff>
    </xdr:to>
    <xdr:pic>
      <xdr:nvPicPr>
        <xdr:cNvPr id="27" name="Picture@5C\QPendientes@" descr="@5C\QPendientes@">
          <a:extLst>
            <a:ext uri="{FF2B5EF4-FFF2-40B4-BE49-F238E27FC236}">
              <a16:creationId xmlns:a16="http://schemas.microsoft.com/office/drawing/2014/main" id="{54F91A8F-E88B-4462-ABE0-1AA184165C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5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133350</xdr:rowOff>
    </xdr:to>
    <xdr:pic>
      <xdr:nvPicPr>
        <xdr:cNvPr id="28" name="Picture@5C\QPendientes@" descr="@5C\QPendientes@">
          <a:extLst>
            <a:ext uri="{FF2B5EF4-FFF2-40B4-BE49-F238E27FC236}">
              <a16:creationId xmlns:a16="http://schemas.microsoft.com/office/drawing/2014/main" id="{96BBAB74-1D8E-4822-8460-0645BD3ADA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3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133350</xdr:rowOff>
    </xdr:to>
    <xdr:pic>
      <xdr:nvPicPr>
        <xdr:cNvPr id="29" name="Picture@5C\QPendientes@" descr="@5C\QPendientes@">
          <a:extLst>
            <a:ext uri="{FF2B5EF4-FFF2-40B4-BE49-F238E27FC236}">
              <a16:creationId xmlns:a16="http://schemas.microsoft.com/office/drawing/2014/main" id="{134198E7-9D8D-4EC3-AB15-B1FC2D5BB4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2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133350</xdr:rowOff>
    </xdr:to>
    <xdr:pic>
      <xdr:nvPicPr>
        <xdr:cNvPr id="30" name="Picture@5C\QPendientes@" descr="@5C\QPendientes@">
          <a:extLst>
            <a:ext uri="{FF2B5EF4-FFF2-40B4-BE49-F238E27FC236}">
              <a16:creationId xmlns:a16="http://schemas.microsoft.com/office/drawing/2014/main" id="{04A28243-2884-4E8A-AF24-68E5D759F7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0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133350</xdr:rowOff>
    </xdr:to>
    <xdr:pic>
      <xdr:nvPicPr>
        <xdr:cNvPr id="31" name="Picture@5C\QPendientes@" descr="@5C\QPendientes@">
          <a:extLst>
            <a:ext uri="{FF2B5EF4-FFF2-40B4-BE49-F238E27FC236}">
              <a16:creationId xmlns:a16="http://schemas.microsoft.com/office/drawing/2014/main" id="{D059CC9C-CC99-4110-AD52-53E12C74F2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133350</xdr:rowOff>
    </xdr:to>
    <xdr:pic>
      <xdr:nvPicPr>
        <xdr:cNvPr id="32" name="Picture@5C\QPendientes@" descr="@5C\QPendientes@">
          <a:extLst>
            <a:ext uri="{FF2B5EF4-FFF2-40B4-BE49-F238E27FC236}">
              <a16:creationId xmlns:a16="http://schemas.microsoft.com/office/drawing/2014/main" id="{DF4C1442-F7F8-42C3-808D-1C6757E922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6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133350</xdr:rowOff>
    </xdr:to>
    <xdr:pic>
      <xdr:nvPicPr>
        <xdr:cNvPr id="33" name="Picture@5C\QPendientes@" descr="@5C\QPendientes@">
          <a:extLst>
            <a:ext uri="{FF2B5EF4-FFF2-40B4-BE49-F238E27FC236}">
              <a16:creationId xmlns:a16="http://schemas.microsoft.com/office/drawing/2014/main" id="{8FB472B9-287B-47FD-AA14-09F7A37262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5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133350</xdr:rowOff>
    </xdr:to>
    <xdr:pic>
      <xdr:nvPicPr>
        <xdr:cNvPr id="34" name="Picture@5C\QPendientes@" descr="@5C\QPendientes@">
          <a:extLst>
            <a:ext uri="{FF2B5EF4-FFF2-40B4-BE49-F238E27FC236}">
              <a16:creationId xmlns:a16="http://schemas.microsoft.com/office/drawing/2014/main" id="{416CD4A3-9854-47F0-8D9A-A849067B48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3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133350</xdr:rowOff>
    </xdr:to>
    <xdr:pic>
      <xdr:nvPicPr>
        <xdr:cNvPr id="35" name="Picture@5C\QPendientes@" descr="@5C\QPendientes@">
          <a:extLst>
            <a:ext uri="{FF2B5EF4-FFF2-40B4-BE49-F238E27FC236}">
              <a16:creationId xmlns:a16="http://schemas.microsoft.com/office/drawing/2014/main" id="{B1EDB48C-A968-4995-BCD4-8A6687A0E9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1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133350</xdr:rowOff>
    </xdr:to>
    <xdr:pic>
      <xdr:nvPicPr>
        <xdr:cNvPr id="36" name="Picture@5C\QPendientes@" descr="@5C\QPendientes@">
          <a:extLst>
            <a:ext uri="{FF2B5EF4-FFF2-40B4-BE49-F238E27FC236}">
              <a16:creationId xmlns:a16="http://schemas.microsoft.com/office/drawing/2014/main" id="{6E60F3B9-77F4-4A18-A02E-AD055D00EB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0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133350</xdr:rowOff>
    </xdr:to>
    <xdr:pic>
      <xdr:nvPicPr>
        <xdr:cNvPr id="37" name="Picture@5C\QPendientes@" descr="@5C\QPendientes@">
          <a:extLst>
            <a:ext uri="{FF2B5EF4-FFF2-40B4-BE49-F238E27FC236}">
              <a16:creationId xmlns:a16="http://schemas.microsoft.com/office/drawing/2014/main" id="{FCCC7778-8C72-4BFE-8AAE-7CD2B2D0D5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8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133350</xdr:rowOff>
    </xdr:to>
    <xdr:pic>
      <xdr:nvPicPr>
        <xdr:cNvPr id="38" name="Picture@5C\QPendientes@" descr="@5C\QPendientes@">
          <a:extLst>
            <a:ext uri="{FF2B5EF4-FFF2-40B4-BE49-F238E27FC236}">
              <a16:creationId xmlns:a16="http://schemas.microsoft.com/office/drawing/2014/main" id="{D342DEA9-8689-49C8-ACAE-6FBEE171FB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6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133350</xdr:rowOff>
    </xdr:to>
    <xdr:pic>
      <xdr:nvPicPr>
        <xdr:cNvPr id="39" name="Picture@5C\QPendientes@" descr="@5C\QPendientes@">
          <a:extLst>
            <a:ext uri="{FF2B5EF4-FFF2-40B4-BE49-F238E27FC236}">
              <a16:creationId xmlns:a16="http://schemas.microsoft.com/office/drawing/2014/main" id="{945B31D9-7EBE-46F1-9146-7A0D5DD936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4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133350</xdr:rowOff>
    </xdr:to>
    <xdr:pic>
      <xdr:nvPicPr>
        <xdr:cNvPr id="40" name="Picture@5C\QPendientes@" descr="@5C\QPendientes@">
          <a:extLst>
            <a:ext uri="{FF2B5EF4-FFF2-40B4-BE49-F238E27FC236}">
              <a16:creationId xmlns:a16="http://schemas.microsoft.com/office/drawing/2014/main" id="{AB4A2B7E-B093-4AE7-B9D8-14324F9978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3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133350</xdr:rowOff>
    </xdr:to>
    <xdr:pic>
      <xdr:nvPicPr>
        <xdr:cNvPr id="41" name="Picture@5C\QPendientes@" descr="@5C\QPendientes@">
          <a:extLst>
            <a:ext uri="{FF2B5EF4-FFF2-40B4-BE49-F238E27FC236}">
              <a16:creationId xmlns:a16="http://schemas.microsoft.com/office/drawing/2014/main" id="{B4D39CB6-1562-476C-AA92-49269C811B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133350</xdr:rowOff>
    </xdr:to>
    <xdr:pic>
      <xdr:nvPicPr>
        <xdr:cNvPr id="42" name="Picture@5C\QPendientes@" descr="@5C\QPendientes@">
          <a:extLst>
            <a:ext uri="{FF2B5EF4-FFF2-40B4-BE49-F238E27FC236}">
              <a16:creationId xmlns:a16="http://schemas.microsoft.com/office/drawing/2014/main" id="{D29B6C5C-8A4C-4EA5-A57A-FFEDF11A6F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9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133350</xdr:rowOff>
    </xdr:to>
    <xdr:pic>
      <xdr:nvPicPr>
        <xdr:cNvPr id="43" name="Picture@5C\QPendientes@" descr="@5C\QPendientes@">
          <a:extLst>
            <a:ext uri="{FF2B5EF4-FFF2-40B4-BE49-F238E27FC236}">
              <a16:creationId xmlns:a16="http://schemas.microsoft.com/office/drawing/2014/main" id="{EC69A3AC-6EF3-4BC3-AE72-DA2A089564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8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133350</xdr:rowOff>
    </xdr:to>
    <xdr:pic>
      <xdr:nvPicPr>
        <xdr:cNvPr id="44" name="Picture@5C\QPendientes@" descr="@5C\QPendientes@">
          <a:extLst>
            <a:ext uri="{FF2B5EF4-FFF2-40B4-BE49-F238E27FC236}">
              <a16:creationId xmlns:a16="http://schemas.microsoft.com/office/drawing/2014/main" id="{A3377943-D8B0-4D26-9504-812EFF5D1B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6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133350</xdr:rowOff>
    </xdr:to>
    <xdr:pic>
      <xdr:nvPicPr>
        <xdr:cNvPr id="45" name="Picture@5C\QPendientes@" descr="@5C\QPendientes@">
          <a:extLst>
            <a:ext uri="{FF2B5EF4-FFF2-40B4-BE49-F238E27FC236}">
              <a16:creationId xmlns:a16="http://schemas.microsoft.com/office/drawing/2014/main" id="{89848CBD-A096-4B58-8CAE-72361BFC36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4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133350</xdr:rowOff>
    </xdr:to>
    <xdr:pic>
      <xdr:nvPicPr>
        <xdr:cNvPr id="46" name="Picture@5C\QPendientes@" descr="@5C\QPendientes@">
          <a:extLst>
            <a:ext uri="{FF2B5EF4-FFF2-40B4-BE49-F238E27FC236}">
              <a16:creationId xmlns:a16="http://schemas.microsoft.com/office/drawing/2014/main" id="{D34B924F-3051-443A-9DC0-6CFD9565E1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2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133350</xdr:rowOff>
    </xdr:to>
    <xdr:pic>
      <xdr:nvPicPr>
        <xdr:cNvPr id="47" name="Picture@5C\QPendientes@" descr="@5C\QPendientes@">
          <a:extLst>
            <a:ext uri="{FF2B5EF4-FFF2-40B4-BE49-F238E27FC236}">
              <a16:creationId xmlns:a16="http://schemas.microsoft.com/office/drawing/2014/main" id="{82648EBB-EECA-4FD0-9B30-8AF0030F31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1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133350</xdr:rowOff>
    </xdr:to>
    <xdr:pic>
      <xdr:nvPicPr>
        <xdr:cNvPr id="48" name="Picture@5C\QPendientes@" descr="@5C\QPendientes@">
          <a:extLst>
            <a:ext uri="{FF2B5EF4-FFF2-40B4-BE49-F238E27FC236}">
              <a16:creationId xmlns:a16="http://schemas.microsoft.com/office/drawing/2014/main" id="{C29852D3-5FDD-4A45-A74D-1B7313097B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9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133350</xdr:rowOff>
    </xdr:to>
    <xdr:pic>
      <xdr:nvPicPr>
        <xdr:cNvPr id="49" name="Picture@5C\QPendientes@" descr="@5C\QPendientes@">
          <a:extLst>
            <a:ext uri="{FF2B5EF4-FFF2-40B4-BE49-F238E27FC236}">
              <a16:creationId xmlns:a16="http://schemas.microsoft.com/office/drawing/2014/main" id="{683FDBD1-3B7D-4BE9-9612-8CD0B8F0D7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7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133350</xdr:rowOff>
    </xdr:to>
    <xdr:pic>
      <xdr:nvPicPr>
        <xdr:cNvPr id="50" name="Picture@5C\QPendientes@" descr="@5C\QPendientes@">
          <a:extLst>
            <a:ext uri="{FF2B5EF4-FFF2-40B4-BE49-F238E27FC236}">
              <a16:creationId xmlns:a16="http://schemas.microsoft.com/office/drawing/2014/main" id="{3B2EB8EB-4917-40F9-8F38-49489A03FD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6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133350</xdr:rowOff>
    </xdr:to>
    <xdr:pic>
      <xdr:nvPicPr>
        <xdr:cNvPr id="51" name="Picture@5C\QPendientes@" descr="@5C\QPendientes@">
          <a:extLst>
            <a:ext uri="{FF2B5EF4-FFF2-40B4-BE49-F238E27FC236}">
              <a16:creationId xmlns:a16="http://schemas.microsoft.com/office/drawing/2014/main" id="{EF0C6431-98E4-44E9-9A83-BD943F7075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133350</xdr:rowOff>
    </xdr:to>
    <xdr:pic>
      <xdr:nvPicPr>
        <xdr:cNvPr id="52" name="Picture@5C\QPendientes@" descr="@5C\QPendientes@">
          <a:extLst>
            <a:ext uri="{FF2B5EF4-FFF2-40B4-BE49-F238E27FC236}">
              <a16:creationId xmlns:a16="http://schemas.microsoft.com/office/drawing/2014/main" id="{CBB2D861-E810-4585-83ED-D3A2DB5788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2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133350</xdr:rowOff>
    </xdr:to>
    <xdr:pic>
      <xdr:nvPicPr>
        <xdr:cNvPr id="53" name="Picture@5C\QPendientes@" descr="@5C\QPendientes@">
          <a:extLst>
            <a:ext uri="{FF2B5EF4-FFF2-40B4-BE49-F238E27FC236}">
              <a16:creationId xmlns:a16="http://schemas.microsoft.com/office/drawing/2014/main" id="{2A17F6AB-D5B4-447D-8176-C9FE7B8DD1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0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133350</xdr:rowOff>
    </xdr:to>
    <xdr:pic>
      <xdr:nvPicPr>
        <xdr:cNvPr id="54" name="Picture@5C\QPendientes@" descr="@5C\QPendientes@">
          <a:extLst>
            <a:ext uri="{FF2B5EF4-FFF2-40B4-BE49-F238E27FC236}">
              <a16:creationId xmlns:a16="http://schemas.microsoft.com/office/drawing/2014/main" id="{4E3220AF-7AB8-4120-8C13-A71E16DFE1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9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133350</xdr:rowOff>
    </xdr:to>
    <xdr:pic>
      <xdr:nvPicPr>
        <xdr:cNvPr id="55" name="Picture@5C\QPendientes@" descr="@5C\QPendientes@">
          <a:extLst>
            <a:ext uri="{FF2B5EF4-FFF2-40B4-BE49-F238E27FC236}">
              <a16:creationId xmlns:a16="http://schemas.microsoft.com/office/drawing/2014/main" id="{BF65041D-1813-46B4-AB66-892BA775C5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7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133350</xdr:rowOff>
    </xdr:to>
    <xdr:pic>
      <xdr:nvPicPr>
        <xdr:cNvPr id="56" name="Picture@5C\QPendientes@" descr="@5C\QPendientes@">
          <a:extLst>
            <a:ext uri="{FF2B5EF4-FFF2-40B4-BE49-F238E27FC236}">
              <a16:creationId xmlns:a16="http://schemas.microsoft.com/office/drawing/2014/main" id="{53D6C11C-E86B-4EA6-9464-13A29641A2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5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133350</xdr:rowOff>
    </xdr:to>
    <xdr:pic>
      <xdr:nvPicPr>
        <xdr:cNvPr id="57" name="Picture@5C\QPendientes@" descr="@5C\QPendientes@">
          <a:extLst>
            <a:ext uri="{FF2B5EF4-FFF2-40B4-BE49-F238E27FC236}">
              <a16:creationId xmlns:a16="http://schemas.microsoft.com/office/drawing/2014/main" id="{09A9A0B3-CA99-4FD6-80DD-A94255AB8C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4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133350</xdr:rowOff>
    </xdr:to>
    <xdr:pic>
      <xdr:nvPicPr>
        <xdr:cNvPr id="58" name="Picture@5C\QPendientes@" descr="@5C\QPendientes@">
          <a:extLst>
            <a:ext uri="{FF2B5EF4-FFF2-40B4-BE49-F238E27FC236}">
              <a16:creationId xmlns:a16="http://schemas.microsoft.com/office/drawing/2014/main" id="{5B3EAC8B-287B-4E27-AB80-309391A6E2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2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133350</xdr:rowOff>
    </xdr:to>
    <xdr:pic>
      <xdr:nvPicPr>
        <xdr:cNvPr id="59" name="Picture@5C\QPendientes@" descr="@5C\QPendientes@">
          <a:extLst>
            <a:ext uri="{FF2B5EF4-FFF2-40B4-BE49-F238E27FC236}">
              <a16:creationId xmlns:a16="http://schemas.microsoft.com/office/drawing/2014/main" id="{25A95EC5-1E01-4598-8DE8-F2E040522F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0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133350</xdr:rowOff>
    </xdr:to>
    <xdr:pic>
      <xdr:nvPicPr>
        <xdr:cNvPr id="60" name="Picture@5C\QPendientes@" descr="@5C\QPendientes@">
          <a:extLst>
            <a:ext uri="{FF2B5EF4-FFF2-40B4-BE49-F238E27FC236}">
              <a16:creationId xmlns:a16="http://schemas.microsoft.com/office/drawing/2014/main" id="{04D380B9-4EC0-4449-9BAE-68C4EAF533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8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133350</xdr:rowOff>
    </xdr:to>
    <xdr:pic>
      <xdr:nvPicPr>
        <xdr:cNvPr id="61" name="Picture@5C\QPendientes@" descr="@5C\QPendientes@">
          <a:extLst>
            <a:ext uri="{FF2B5EF4-FFF2-40B4-BE49-F238E27FC236}">
              <a16:creationId xmlns:a16="http://schemas.microsoft.com/office/drawing/2014/main" id="{C88D6055-4F24-4AB7-A2C6-0F18EC8174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133350</xdr:rowOff>
    </xdr:to>
    <xdr:pic>
      <xdr:nvPicPr>
        <xdr:cNvPr id="62" name="Picture@5C\QPendientes@" descr="@5C\QPendientes@">
          <a:extLst>
            <a:ext uri="{FF2B5EF4-FFF2-40B4-BE49-F238E27FC236}">
              <a16:creationId xmlns:a16="http://schemas.microsoft.com/office/drawing/2014/main" id="{35C1919F-6456-4E35-968C-CD737DFF85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5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133350</xdr:rowOff>
    </xdr:to>
    <xdr:pic>
      <xdr:nvPicPr>
        <xdr:cNvPr id="63" name="Picture@5C\QPendientes@" descr="@5C\QPendientes@">
          <a:extLst>
            <a:ext uri="{FF2B5EF4-FFF2-40B4-BE49-F238E27FC236}">
              <a16:creationId xmlns:a16="http://schemas.microsoft.com/office/drawing/2014/main" id="{4AB1B9CE-A373-4CFE-B448-DA22C4E331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3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133350</xdr:rowOff>
    </xdr:to>
    <xdr:pic>
      <xdr:nvPicPr>
        <xdr:cNvPr id="704" name="Picture@5C\QPendientes@" descr="@5C\QPendientes@">
          <a:extLst>
            <a:ext uri="{FF2B5EF4-FFF2-40B4-BE49-F238E27FC236}">
              <a16:creationId xmlns:a16="http://schemas.microsoft.com/office/drawing/2014/main" id="{E8E34B70-1B4D-47FF-8226-DB88C7EE05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2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133350</xdr:rowOff>
    </xdr:to>
    <xdr:pic>
      <xdr:nvPicPr>
        <xdr:cNvPr id="705" name="Picture@5C\QPendientes@" descr="@5C\QPendientes@">
          <a:extLst>
            <a:ext uri="{FF2B5EF4-FFF2-40B4-BE49-F238E27FC236}">
              <a16:creationId xmlns:a16="http://schemas.microsoft.com/office/drawing/2014/main" id="{F2841CD7-489F-42A9-92EB-6F7ED86F29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0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133350</xdr:rowOff>
    </xdr:to>
    <xdr:pic>
      <xdr:nvPicPr>
        <xdr:cNvPr id="706" name="Picture@5C\QPendientes@" descr="@5C\QPendientes@">
          <a:extLst>
            <a:ext uri="{FF2B5EF4-FFF2-40B4-BE49-F238E27FC236}">
              <a16:creationId xmlns:a16="http://schemas.microsoft.com/office/drawing/2014/main" id="{D2B6910E-0E46-4039-9DE9-932CC83158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8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133350</xdr:rowOff>
    </xdr:to>
    <xdr:pic>
      <xdr:nvPicPr>
        <xdr:cNvPr id="707" name="Picture@5C\QPendientes@" descr="@5C\QPendientes@">
          <a:extLst>
            <a:ext uri="{FF2B5EF4-FFF2-40B4-BE49-F238E27FC236}">
              <a16:creationId xmlns:a16="http://schemas.microsoft.com/office/drawing/2014/main" id="{3471987B-8395-4EE3-BF96-AB7F6B77FA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7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133350</xdr:rowOff>
    </xdr:to>
    <xdr:pic>
      <xdr:nvPicPr>
        <xdr:cNvPr id="708" name="Picture@5C\QPendientes@" descr="@5C\QPendientes@">
          <a:extLst>
            <a:ext uri="{FF2B5EF4-FFF2-40B4-BE49-F238E27FC236}">
              <a16:creationId xmlns:a16="http://schemas.microsoft.com/office/drawing/2014/main" id="{86067B57-DAB9-4340-95AF-C6D6BC3C92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5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133350</xdr:rowOff>
    </xdr:to>
    <xdr:pic>
      <xdr:nvPicPr>
        <xdr:cNvPr id="709" name="Picture@5C\QPendientes@" descr="@5C\QPendientes@">
          <a:extLst>
            <a:ext uri="{FF2B5EF4-FFF2-40B4-BE49-F238E27FC236}">
              <a16:creationId xmlns:a16="http://schemas.microsoft.com/office/drawing/2014/main" id="{4196FC21-B0A1-4161-9667-96BD9DC7A4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3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133350</xdr:rowOff>
    </xdr:to>
    <xdr:pic>
      <xdr:nvPicPr>
        <xdr:cNvPr id="710" name="Picture@5C\QPendientes@" descr="@5C\QPendientes@">
          <a:extLst>
            <a:ext uri="{FF2B5EF4-FFF2-40B4-BE49-F238E27FC236}">
              <a16:creationId xmlns:a16="http://schemas.microsoft.com/office/drawing/2014/main" id="{1363CCE9-1A8A-44E1-A918-4A5D7A78B2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1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133350</xdr:rowOff>
    </xdr:to>
    <xdr:pic>
      <xdr:nvPicPr>
        <xdr:cNvPr id="711" name="Picture@5C\QPendientes@" descr="@5C\QPendientes@">
          <a:extLst>
            <a:ext uri="{FF2B5EF4-FFF2-40B4-BE49-F238E27FC236}">
              <a16:creationId xmlns:a16="http://schemas.microsoft.com/office/drawing/2014/main" id="{78D83DE2-8C30-4565-9FAC-86683FC854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0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133350</xdr:rowOff>
    </xdr:to>
    <xdr:pic>
      <xdr:nvPicPr>
        <xdr:cNvPr id="712" name="Picture@5C\QPendientes@" descr="@5C\QPendientes@">
          <a:extLst>
            <a:ext uri="{FF2B5EF4-FFF2-40B4-BE49-F238E27FC236}">
              <a16:creationId xmlns:a16="http://schemas.microsoft.com/office/drawing/2014/main" id="{FF507710-5D6B-41D2-B987-F173DA8161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98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133350</xdr:rowOff>
    </xdr:to>
    <xdr:pic>
      <xdr:nvPicPr>
        <xdr:cNvPr id="713" name="Picture@5C\QPendientes@" descr="@5C\QPendientes@">
          <a:extLst>
            <a:ext uri="{FF2B5EF4-FFF2-40B4-BE49-F238E27FC236}">
              <a16:creationId xmlns:a16="http://schemas.microsoft.com/office/drawing/2014/main" id="{81F10415-8C01-4C7C-B786-D18157F5AA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16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133350</xdr:rowOff>
    </xdr:to>
    <xdr:pic>
      <xdr:nvPicPr>
        <xdr:cNvPr id="714" name="Picture@5C\QPendientes@" descr="@5C\QPendientes@">
          <a:extLst>
            <a:ext uri="{FF2B5EF4-FFF2-40B4-BE49-F238E27FC236}">
              <a16:creationId xmlns:a16="http://schemas.microsoft.com/office/drawing/2014/main" id="{4F7D9F4B-C118-4560-9D15-C91582D41E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5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133350</xdr:rowOff>
    </xdr:to>
    <xdr:pic>
      <xdr:nvPicPr>
        <xdr:cNvPr id="715" name="Picture@5C\QPendientes@" descr="@5C\QPendientes@">
          <a:extLst>
            <a:ext uri="{FF2B5EF4-FFF2-40B4-BE49-F238E27FC236}">
              <a16:creationId xmlns:a16="http://schemas.microsoft.com/office/drawing/2014/main" id="{FB481B00-5221-43D8-9FEC-BF82A82868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3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133350</xdr:rowOff>
    </xdr:to>
    <xdr:pic>
      <xdr:nvPicPr>
        <xdr:cNvPr id="716" name="Picture@5C\QPendientes@" descr="@5C\QPendientes@">
          <a:extLst>
            <a:ext uri="{FF2B5EF4-FFF2-40B4-BE49-F238E27FC236}">
              <a16:creationId xmlns:a16="http://schemas.microsoft.com/office/drawing/2014/main" id="{B5EA69A6-4B77-4E77-B2FB-09D9304A88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71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133350</xdr:rowOff>
    </xdr:to>
    <xdr:pic>
      <xdr:nvPicPr>
        <xdr:cNvPr id="717" name="Picture@5C\QPendientes@" descr="@5C\QPendientes@">
          <a:extLst>
            <a:ext uri="{FF2B5EF4-FFF2-40B4-BE49-F238E27FC236}">
              <a16:creationId xmlns:a16="http://schemas.microsoft.com/office/drawing/2014/main" id="{7DED2C18-4FA6-488E-8FEC-46C420AA40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89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133350</xdr:rowOff>
    </xdr:to>
    <xdr:pic>
      <xdr:nvPicPr>
        <xdr:cNvPr id="718" name="Picture@5C\QPendientes@" descr="@5C\QPendientes@">
          <a:extLst>
            <a:ext uri="{FF2B5EF4-FFF2-40B4-BE49-F238E27FC236}">
              <a16:creationId xmlns:a16="http://schemas.microsoft.com/office/drawing/2014/main" id="{3E02B444-4189-431D-91CF-867E03B65D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08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133350</xdr:rowOff>
    </xdr:to>
    <xdr:pic>
      <xdr:nvPicPr>
        <xdr:cNvPr id="719" name="Picture@5C\QPendientes@" descr="@5C\QPendientes@">
          <a:extLst>
            <a:ext uri="{FF2B5EF4-FFF2-40B4-BE49-F238E27FC236}">
              <a16:creationId xmlns:a16="http://schemas.microsoft.com/office/drawing/2014/main" id="{D5FC43A1-E51D-482A-9C9F-B6A8AF1E3C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26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133350</xdr:rowOff>
    </xdr:to>
    <xdr:pic>
      <xdr:nvPicPr>
        <xdr:cNvPr id="720" name="Picture@5C\QPendientes@" descr="@5C\QPendientes@">
          <a:extLst>
            <a:ext uri="{FF2B5EF4-FFF2-40B4-BE49-F238E27FC236}">
              <a16:creationId xmlns:a16="http://schemas.microsoft.com/office/drawing/2014/main" id="{7EDD58B6-9959-4138-B474-18B8485CBE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44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133350</xdr:rowOff>
    </xdr:to>
    <xdr:pic>
      <xdr:nvPicPr>
        <xdr:cNvPr id="721" name="Picture@5C\QPendientes@" descr="@5C\QPendientes@">
          <a:extLst>
            <a:ext uri="{FF2B5EF4-FFF2-40B4-BE49-F238E27FC236}">
              <a16:creationId xmlns:a16="http://schemas.microsoft.com/office/drawing/2014/main" id="{9B1CD8F5-650A-4211-9600-96BF9AE9DC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3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133350</xdr:rowOff>
    </xdr:to>
    <xdr:pic>
      <xdr:nvPicPr>
        <xdr:cNvPr id="722" name="Picture@5C\QPendientes@" descr="@5C\QPendientes@">
          <a:extLst>
            <a:ext uri="{FF2B5EF4-FFF2-40B4-BE49-F238E27FC236}">
              <a16:creationId xmlns:a16="http://schemas.microsoft.com/office/drawing/2014/main" id="{575F9387-7F81-405C-82FF-9C098574D1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81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133350</xdr:rowOff>
    </xdr:to>
    <xdr:pic>
      <xdr:nvPicPr>
        <xdr:cNvPr id="723" name="Picture@5C\QPendientes@" descr="@5C\QPendientes@">
          <a:extLst>
            <a:ext uri="{FF2B5EF4-FFF2-40B4-BE49-F238E27FC236}">
              <a16:creationId xmlns:a16="http://schemas.microsoft.com/office/drawing/2014/main" id="{EE03ECA4-7DE7-45BE-88CB-4EEDE0B199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99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133350</xdr:rowOff>
    </xdr:to>
    <xdr:pic>
      <xdr:nvPicPr>
        <xdr:cNvPr id="724" name="Picture@5C\QPendientes@" descr="@5C\QPendientes@">
          <a:extLst>
            <a:ext uri="{FF2B5EF4-FFF2-40B4-BE49-F238E27FC236}">
              <a16:creationId xmlns:a16="http://schemas.microsoft.com/office/drawing/2014/main" id="{B5ED2204-0DEF-4A76-820F-E90FF5E977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17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133350</xdr:rowOff>
    </xdr:to>
    <xdr:pic>
      <xdr:nvPicPr>
        <xdr:cNvPr id="725" name="Picture@5C\QPendientes@" descr="@5C\QPendientes@">
          <a:extLst>
            <a:ext uri="{FF2B5EF4-FFF2-40B4-BE49-F238E27FC236}">
              <a16:creationId xmlns:a16="http://schemas.microsoft.com/office/drawing/2014/main" id="{C811FFCF-F46D-4B5D-80BB-DE9B1F353D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36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133350</xdr:rowOff>
    </xdr:to>
    <xdr:pic>
      <xdr:nvPicPr>
        <xdr:cNvPr id="726" name="Picture@5C\QPendientes@" descr="@5C\QPendientes@">
          <a:extLst>
            <a:ext uri="{FF2B5EF4-FFF2-40B4-BE49-F238E27FC236}">
              <a16:creationId xmlns:a16="http://schemas.microsoft.com/office/drawing/2014/main" id="{180EE58B-8339-4F2F-B271-25015D8813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54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133350</xdr:rowOff>
    </xdr:to>
    <xdr:pic>
      <xdr:nvPicPr>
        <xdr:cNvPr id="727" name="Picture@5C\QPendientes@" descr="@5C\QPendientes@">
          <a:extLst>
            <a:ext uri="{FF2B5EF4-FFF2-40B4-BE49-F238E27FC236}">
              <a16:creationId xmlns:a16="http://schemas.microsoft.com/office/drawing/2014/main" id="{8FFF775A-9260-4519-B9FF-7B880903B9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72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133350</xdr:rowOff>
    </xdr:to>
    <xdr:pic>
      <xdr:nvPicPr>
        <xdr:cNvPr id="728" name="Picture@5C\QPendientes@" descr="@5C\QPendientes@">
          <a:extLst>
            <a:ext uri="{FF2B5EF4-FFF2-40B4-BE49-F238E27FC236}">
              <a16:creationId xmlns:a16="http://schemas.microsoft.com/office/drawing/2014/main" id="{E09862EE-DA73-45B7-8A98-66071244EA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91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133350</xdr:rowOff>
    </xdr:to>
    <xdr:pic>
      <xdr:nvPicPr>
        <xdr:cNvPr id="729" name="Picture@5C\QPendientes@" descr="@5C\QPendientes@">
          <a:extLst>
            <a:ext uri="{FF2B5EF4-FFF2-40B4-BE49-F238E27FC236}">
              <a16:creationId xmlns:a16="http://schemas.microsoft.com/office/drawing/2014/main" id="{5C61C560-23DC-4D65-83A0-0EC07243AC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09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133350</xdr:rowOff>
    </xdr:to>
    <xdr:pic>
      <xdr:nvPicPr>
        <xdr:cNvPr id="730" name="Picture@5C\QPendientes@" descr="@5C\QPendientes@">
          <a:extLst>
            <a:ext uri="{FF2B5EF4-FFF2-40B4-BE49-F238E27FC236}">
              <a16:creationId xmlns:a16="http://schemas.microsoft.com/office/drawing/2014/main" id="{A7B9143D-7496-4C5B-96AF-7C63CFEAC6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27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133350</xdr:rowOff>
    </xdr:to>
    <xdr:pic>
      <xdr:nvPicPr>
        <xdr:cNvPr id="731" name="Picture@5C\QPendientes@" descr="@5C\QPendientes@">
          <a:extLst>
            <a:ext uri="{FF2B5EF4-FFF2-40B4-BE49-F238E27FC236}">
              <a16:creationId xmlns:a16="http://schemas.microsoft.com/office/drawing/2014/main" id="{2149157B-CBF2-4E12-B4C8-CB4AA5D3DA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5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133350</xdr:rowOff>
    </xdr:to>
    <xdr:pic>
      <xdr:nvPicPr>
        <xdr:cNvPr id="732" name="Picture@5C\QPendientes@" descr="@5C\QPendientes@">
          <a:extLst>
            <a:ext uri="{FF2B5EF4-FFF2-40B4-BE49-F238E27FC236}">
              <a16:creationId xmlns:a16="http://schemas.microsoft.com/office/drawing/2014/main" id="{5C9AE588-312E-4548-9F7A-8136FC0042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64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133350</xdr:rowOff>
    </xdr:to>
    <xdr:pic>
      <xdr:nvPicPr>
        <xdr:cNvPr id="733" name="Picture@5C\QPendientes@" descr="@5C\QPendientes@">
          <a:extLst>
            <a:ext uri="{FF2B5EF4-FFF2-40B4-BE49-F238E27FC236}">
              <a16:creationId xmlns:a16="http://schemas.microsoft.com/office/drawing/2014/main" id="{796D5254-FC6C-483A-A343-9C703B2C9D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82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133350</xdr:rowOff>
    </xdr:to>
    <xdr:pic>
      <xdr:nvPicPr>
        <xdr:cNvPr id="734" name="Picture@5C\QPendientes@" descr="@5C\QPendientes@">
          <a:extLst>
            <a:ext uri="{FF2B5EF4-FFF2-40B4-BE49-F238E27FC236}">
              <a16:creationId xmlns:a16="http://schemas.microsoft.com/office/drawing/2014/main" id="{D4529ECF-D6ED-45E3-B344-AC90F2A494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00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133350</xdr:rowOff>
    </xdr:to>
    <xdr:pic>
      <xdr:nvPicPr>
        <xdr:cNvPr id="735" name="Picture@5C\QPendientes@" descr="@5C\QPendientes@">
          <a:extLst>
            <a:ext uri="{FF2B5EF4-FFF2-40B4-BE49-F238E27FC236}">
              <a16:creationId xmlns:a16="http://schemas.microsoft.com/office/drawing/2014/main" id="{BD420EA7-C026-451D-9BB5-9088BB5910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19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133350</xdr:rowOff>
    </xdr:to>
    <xdr:pic>
      <xdr:nvPicPr>
        <xdr:cNvPr id="736" name="Picture@5C\QPendientes@" descr="@5C\QPendientes@">
          <a:extLst>
            <a:ext uri="{FF2B5EF4-FFF2-40B4-BE49-F238E27FC236}">
              <a16:creationId xmlns:a16="http://schemas.microsoft.com/office/drawing/2014/main" id="{15F26DFE-E16A-414D-9C27-5436DF3CD7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37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133350</xdr:rowOff>
    </xdr:to>
    <xdr:pic>
      <xdr:nvPicPr>
        <xdr:cNvPr id="737" name="Picture@5C\QPendientes@" descr="@5C\QPendientes@">
          <a:extLst>
            <a:ext uri="{FF2B5EF4-FFF2-40B4-BE49-F238E27FC236}">
              <a16:creationId xmlns:a16="http://schemas.microsoft.com/office/drawing/2014/main" id="{194F7319-4BF4-4EAB-B3B0-21076B258A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55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133350</xdr:rowOff>
    </xdr:to>
    <xdr:pic>
      <xdr:nvPicPr>
        <xdr:cNvPr id="738" name="Picture@5C\QPendientes@" descr="@5C\QPendientes@">
          <a:extLst>
            <a:ext uri="{FF2B5EF4-FFF2-40B4-BE49-F238E27FC236}">
              <a16:creationId xmlns:a16="http://schemas.microsoft.com/office/drawing/2014/main" id="{7CA8FEA5-B32B-4BE5-A172-623F9E880E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73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133350</xdr:rowOff>
    </xdr:to>
    <xdr:pic>
      <xdr:nvPicPr>
        <xdr:cNvPr id="739" name="Picture@5C\QPendientes@" descr="@5C\QPendientes@">
          <a:extLst>
            <a:ext uri="{FF2B5EF4-FFF2-40B4-BE49-F238E27FC236}">
              <a16:creationId xmlns:a16="http://schemas.microsoft.com/office/drawing/2014/main" id="{19684B17-27AF-4340-ACF8-BD7859FA15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92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133350</xdr:rowOff>
    </xdr:to>
    <xdr:pic>
      <xdr:nvPicPr>
        <xdr:cNvPr id="740" name="Picture@5C\QPendientes@" descr="@5C\QPendientes@">
          <a:extLst>
            <a:ext uri="{FF2B5EF4-FFF2-40B4-BE49-F238E27FC236}">
              <a16:creationId xmlns:a16="http://schemas.microsoft.com/office/drawing/2014/main" id="{E4EEE519-4B68-4F96-A708-62DC416AE3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10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133350</xdr:rowOff>
    </xdr:to>
    <xdr:pic>
      <xdr:nvPicPr>
        <xdr:cNvPr id="741" name="Picture@5C\QPendientes@" descr="@5C\QPendientes@">
          <a:extLst>
            <a:ext uri="{FF2B5EF4-FFF2-40B4-BE49-F238E27FC236}">
              <a16:creationId xmlns:a16="http://schemas.microsoft.com/office/drawing/2014/main" id="{94205FC9-55F8-4486-9CDD-3C3FA3FB85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133350</xdr:rowOff>
    </xdr:to>
    <xdr:pic>
      <xdr:nvPicPr>
        <xdr:cNvPr id="742" name="Picture@5C\QPendientes@" descr="@5C\QPendientes@">
          <a:extLst>
            <a:ext uri="{FF2B5EF4-FFF2-40B4-BE49-F238E27FC236}">
              <a16:creationId xmlns:a16="http://schemas.microsoft.com/office/drawing/2014/main" id="{E482A0A0-26EB-4539-80F4-B2840158A7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47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133350</xdr:rowOff>
    </xdr:to>
    <xdr:pic>
      <xdr:nvPicPr>
        <xdr:cNvPr id="743" name="Picture@5C\QPendientes@" descr="@5C\QPendientes@">
          <a:extLst>
            <a:ext uri="{FF2B5EF4-FFF2-40B4-BE49-F238E27FC236}">
              <a16:creationId xmlns:a16="http://schemas.microsoft.com/office/drawing/2014/main" id="{5FD4540A-DCC3-45E2-8D5E-D5079FB57D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65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133350</xdr:rowOff>
    </xdr:to>
    <xdr:pic>
      <xdr:nvPicPr>
        <xdr:cNvPr id="744" name="Picture@5C\QPendientes@" descr="@5C\QPendientes@">
          <a:extLst>
            <a:ext uri="{FF2B5EF4-FFF2-40B4-BE49-F238E27FC236}">
              <a16:creationId xmlns:a16="http://schemas.microsoft.com/office/drawing/2014/main" id="{3B66AD10-C20E-4FE3-BEFA-E38B012BB6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83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133350</xdr:rowOff>
    </xdr:to>
    <xdr:pic>
      <xdr:nvPicPr>
        <xdr:cNvPr id="745" name="Picture@5C\QPendientes@" descr="@5C\QPendientes@">
          <a:extLst>
            <a:ext uri="{FF2B5EF4-FFF2-40B4-BE49-F238E27FC236}">
              <a16:creationId xmlns:a16="http://schemas.microsoft.com/office/drawing/2014/main" id="{73971D26-56FC-4518-B728-3BD57469DD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01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133350</xdr:rowOff>
    </xdr:to>
    <xdr:pic>
      <xdr:nvPicPr>
        <xdr:cNvPr id="746" name="Picture@5C\QPendientes@" descr="@5C\QPendientes@">
          <a:extLst>
            <a:ext uri="{FF2B5EF4-FFF2-40B4-BE49-F238E27FC236}">
              <a16:creationId xmlns:a16="http://schemas.microsoft.com/office/drawing/2014/main" id="{E4E8E3A9-239A-4481-9691-3A457CD1E4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20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133350</xdr:rowOff>
    </xdr:to>
    <xdr:pic>
      <xdr:nvPicPr>
        <xdr:cNvPr id="747" name="Picture@5C\QPendientes@" descr="@5C\QPendientes@">
          <a:extLst>
            <a:ext uri="{FF2B5EF4-FFF2-40B4-BE49-F238E27FC236}">
              <a16:creationId xmlns:a16="http://schemas.microsoft.com/office/drawing/2014/main" id="{3ED937D5-89E5-40B9-9184-CA8E08821E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38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133350</xdr:rowOff>
    </xdr:to>
    <xdr:pic>
      <xdr:nvPicPr>
        <xdr:cNvPr id="748" name="Picture@5C\QPendientes@" descr="@5C\QPendientes@">
          <a:extLst>
            <a:ext uri="{FF2B5EF4-FFF2-40B4-BE49-F238E27FC236}">
              <a16:creationId xmlns:a16="http://schemas.microsoft.com/office/drawing/2014/main" id="{3A363D03-2628-4559-B635-61634D7F18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56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133350</xdr:rowOff>
    </xdr:to>
    <xdr:pic>
      <xdr:nvPicPr>
        <xdr:cNvPr id="749" name="Picture@5C\QPendientes@" descr="@5C\QPendientes@">
          <a:extLst>
            <a:ext uri="{FF2B5EF4-FFF2-40B4-BE49-F238E27FC236}">
              <a16:creationId xmlns:a16="http://schemas.microsoft.com/office/drawing/2014/main" id="{5475D125-F3FC-4DF0-B680-070ACBD753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75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133350</xdr:rowOff>
    </xdr:to>
    <xdr:pic>
      <xdr:nvPicPr>
        <xdr:cNvPr id="750" name="Picture@5C\QPendientes@" descr="@5C\QPendientes@">
          <a:extLst>
            <a:ext uri="{FF2B5EF4-FFF2-40B4-BE49-F238E27FC236}">
              <a16:creationId xmlns:a16="http://schemas.microsoft.com/office/drawing/2014/main" id="{34814288-F3E7-4C2A-80DB-3679328CBF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93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133350</xdr:rowOff>
    </xdr:to>
    <xdr:pic>
      <xdr:nvPicPr>
        <xdr:cNvPr id="751" name="Picture@5C\QPendientes@" descr="@5C\QPendientes@">
          <a:extLst>
            <a:ext uri="{FF2B5EF4-FFF2-40B4-BE49-F238E27FC236}">
              <a16:creationId xmlns:a16="http://schemas.microsoft.com/office/drawing/2014/main" id="{8BB3497E-0F30-43BF-AEED-F7D1B3CBCD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1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133350</xdr:rowOff>
    </xdr:to>
    <xdr:pic>
      <xdr:nvPicPr>
        <xdr:cNvPr id="752" name="Picture@5C\QPendientes@" descr="@5C\QPendientes@">
          <a:extLst>
            <a:ext uri="{FF2B5EF4-FFF2-40B4-BE49-F238E27FC236}">
              <a16:creationId xmlns:a16="http://schemas.microsoft.com/office/drawing/2014/main" id="{5DE13F19-BFE7-48A3-8370-0396C4F280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29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133350</xdr:rowOff>
    </xdr:to>
    <xdr:pic>
      <xdr:nvPicPr>
        <xdr:cNvPr id="753" name="Picture@5C\QPendientes@" descr="@5C\QPendientes@">
          <a:extLst>
            <a:ext uri="{FF2B5EF4-FFF2-40B4-BE49-F238E27FC236}">
              <a16:creationId xmlns:a16="http://schemas.microsoft.com/office/drawing/2014/main" id="{A68F65AD-0B52-465D-BF17-0D42465F49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48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133350</xdr:rowOff>
    </xdr:to>
    <xdr:pic>
      <xdr:nvPicPr>
        <xdr:cNvPr id="754" name="Picture@5C\QPendientes@" descr="@5C\QPendientes@">
          <a:extLst>
            <a:ext uri="{FF2B5EF4-FFF2-40B4-BE49-F238E27FC236}">
              <a16:creationId xmlns:a16="http://schemas.microsoft.com/office/drawing/2014/main" id="{E261DBEE-1026-4521-AC8E-738646CF38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66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133350</xdr:rowOff>
    </xdr:to>
    <xdr:pic>
      <xdr:nvPicPr>
        <xdr:cNvPr id="755" name="Picture@5C\QPendientes@" descr="@5C\QPendientes@">
          <a:extLst>
            <a:ext uri="{FF2B5EF4-FFF2-40B4-BE49-F238E27FC236}">
              <a16:creationId xmlns:a16="http://schemas.microsoft.com/office/drawing/2014/main" id="{876357CE-3B3A-43B4-93A0-55BFE9BEE9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84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133350</xdr:rowOff>
    </xdr:to>
    <xdr:pic>
      <xdr:nvPicPr>
        <xdr:cNvPr id="756" name="Picture@5C\QPendientes@" descr="@5C\QPendientes@">
          <a:extLst>
            <a:ext uri="{FF2B5EF4-FFF2-40B4-BE49-F238E27FC236}">
              <a16:creationId xmlns:a16="http://schemas.microsoft.com/office/drawing/2014/main" id="{383B2C76-76B7-4A13-8DF6-2AF23D6EB9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03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133350</xdr:rowOff>
    </xdr:to>
    <xdr:pic>
      <xdr:nvPicPr>
        <xdr:cNvPr id="757" name="Picture@5C\QPendientes@" descr="@5C\QPendientes@">
          <a:extLst>
            <a:ext uri="{FF2B5EF4-FFF2-40B4-BE49-F238E27FC236}">
              <a16:creationId xmlns:a16="http://schemas.microsoft.com/office/drawing/2014/main" id="{357FD3D2-289B-4B39-8AFF-5C1A3E1A7D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21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133350</xdr:rowOff>
    </xdr:to>
    <xdr:pic>
      <xdr:nvPicPr>
        <xdr:cNvPr id="758" name="Picture@5C\QPendientes@" descr="@5C\QPendientes@">
          <a:extLst>
            <a:ext uri="{FF2B5EF4-FFF2-40B4-BE49-F238E27FC236}">
              <a16:creationId xmlns:a16="http://schemas.microsoft.com/office/drawing/2014/main" id="{62626A46-7AD9-45F1-949F-D3254B80AB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39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133350</xdr:rowOff>
    </xdr:to>
    <xdr:pic>
      <xdr:nvPicPr>
        <xdr:cNvPr id="759" name="Picture@5C\QPendientes@" descr="@5C\QPendientes@">
          <a:extLst>
            <a:ext uri="{FF2B5EF4-FFF2-40B4-BE49-F238E27FC236}">
              <a16:creationId xmlns:a16="http://schemas.microsoft.com/office/drawing/2014/main" id="{8D68A254-C3A3-4A2D-900B-58F621F5AF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57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133350</xdr:rowOff>
    </xdr:to>
    <xdr:pic>
      <xdr:nvPicPr>
        <xdr:cNvPr id="760" name="Picture@5C\QPendientes@" descr="@5C\QPendientes@">
          <a:extLst>
            <a:ext uri="{FF2B5EF4-FFF2-40B4-BE49-F238E27FC236}">
              <a16:creationId xmlns:a16="http://schemas.microsoft.com/office/drawing/2014/main" id="{E03B2147-16BC-4F80-B0D8-AADCC30E5A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76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133350</xdr:rowOff>
    </xdr:to>
    <xdr:pic>
      <xdr:nvPicPr>
        <xdr:cNvPr id="761" name="Picture@5C\QPendientes@" descr="@5C\QPendientes@">
          <a:extLst>
            <a:ext uri="{FF2B5EF4-FFF2-40B4-BE49-F238E27FC236}">
              <a16:creationId xmlns:a16="http://schemas.microsoft.com/office/drawing/2014/main" id="{BB352167-245F-4818-9904-5ED3F6F8FF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4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133350</xdr:rowOff>
    </xdr:to>
    <xdr:pic>
      <xdr:nvPicPr>
        <xdr:cNvPr id="762" name="Picture@5C\QPendientes@" descr="@5C\QPendientes@">
          <a:extLst>
            <a:ext uri="{FF2B5EF4-FFF2-40B4-BE49-F238E27FC236}">
              <a16:creationId xmlns:a16="http://schemas.microsoft.com/office/drawing/2014/main" id="{82AC7BC5-CA46-4C93-81C6-0F453C58EC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12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133350</xdr:rowOff>
    </xdr:to>
    <xdr:pic>
      <xdr:nvPicPr>
        <xdr:cNvPr id="763" name="Picture@5C\QPendientes@" descr="@5C\QPendientes@">
          <a:extLst>
            <a:ext uri="{FF2B5EF4-FFF2-40B4-BE49-F238E27FC236}">
              <a16:creationId xmlns:a16="http://schemas.microsoft.com/office/drawing/2014/main" id="{B6A6484D-292E-4F74-A903-3280D981BB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31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133350</xdr:rowOff>
    </xdr:to>
    <xdr:pic>
      <xdr:nvPicPr>
        <xdr:cNvPr id="764" name="Picture@5C\QPendientes@" descr="@5C\QPendientes@">
          <a:extLst>
            <a:ext uri="{FF2B5EF4-FFF2-40B4-BE49-F238E27FC236}">
              <a16:creationId xmlns:a16="http://schemas.microsoft.com/office/drawing/2014/main" id="{51C19862-228F-4493-A70C-BBB88829D5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49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133350</xdr:rowOff>
    </xdr:to>
    <xdr:pic>
      <xdr:nvPicPr>
        <xdr:cNvPr id="765" name="Picture@5C\QPendientes@" descr="@5C\QPendientes@">
          <a:extLst>
            <a:ext uri="{FF2B5EF4-FFF2-40B4-BE49-F238E27FC236}">
              <a16:creationId xmlns:a16="http://schemas.microsoft.com/office/drawing/2014/main" id="{63C4CE68-D568-43F9-B8DE-C9983D7892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67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133350</xdr:rowOff>
    </xdr:to>
    <xdr:pic>
      <xdr:nvPicPr>
        <xdr:cNvPr id="766" name="Picture@5C\QPendientes@" descr="@5C\QPendientes@">
          <a:extLst>
            <a:ext uri="{FF2B5EF4-FFF2-40B4-BE49-F238E27FC236}">
              <a16:creationId xmlns:a16="http://schemas.microsoft.com/office/drawing/2014/main" id="{D6C2F9AB-F060-427D-BA61-BA7F8E573E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86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133350</xdr:rowOff>
    </xdr:to>
    <xdr:pic>
      <xdr:nvPicPr>
        <xdr:cNvPr id="1517" name="Picture@5C\QPendientes@" descr="@5C\QPendientes@">
          <a:extLst>
            <a:ext uri="{FF2B5EF4-FFF2-40B4-BE49-F238E27FC236}">
              <a16:creationId xmlns:a16="http://schemas.microsoft.com/office/drawing/2014/main" id="{E6E15580-1E1A-40F3-B21B-0A0680ADF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04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133350</xdr:rowOff>
    </xdr:to>
    <xdr:pic>
      <xdr:nvPicPr>
        <xdr:cNvPr id="1518" name="Picture@5C\QPendientes@" descr="@5C\QPendientes@">
          <a:extLst>
            <a:ext uri="{FF2B5EF4-FFF2-40B4-BE49-F238E27FC236}">
              <a16:creationId xmlns:a16="http://schemas.microsoft.com/office/drawing/2014/main" id="{C293D0D5-6AA5-49B0-A082-549B6A3764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22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133350</xdr:rowOff>
    </xdr:to>
    <xdr:pic>
      <xdr:nvPicPr>
        <xdr:cNvPr id="1519" name="Picture@5C\QPendientes@" descr="@5C\QPendientes@">
          <a:extLst>
            <a:ext uri="{FF2B5EF4-FFF2-40B4-BE49-F238E27FC236}">
              <a16:creationId xmlns:a16="http://schemas.microsoft.com/office/drawing/2014/main" id="{3181E8E6-3492-4344-B42D-AC33689C69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40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133350</xdr:rowOff>
    </xdr:to>
    <xdr:pic>
      <xdr:nvPicPr>
        <xdr:cNvPr id="1520" name="Picture@5C\QPendientes@" descr="@5C\QPendientes@">
          <a:extLst>
            <a:ext uri="{FF2B5EF4-FFF2-40B4-BE49-F238E27FC236}">
              <a16:creationId xmlns:a16="http://schemas.microsoft.com/office/drawing/2014/main" id="{8EA750DD-3942-4E7B-A9AD-D25A935BFF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59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133350</xdr:rowOff>
    </xdr:to>
    <xdr:pic>
      <xdr:nvPicPr>
        <xdr:cNvPr id="1521" name="Picture@5C\QPendientes@" descr="@5C\QPendientes@">
          <a:extLst>
            <a:ext uri="{FF2B5EF4-FFF2-40B4-BE49-F238E27FC236}">
              <a16:creationId xmlns:a16="http://schemas.microsoft.com/office/drawing/2014/main" id="{0661CA11-0B96-44E1-8DCA-5A79C0F8EB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7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133350</xdr:rowOff>
    </xdr:to>
    <xdr:pic>
      <xdr:nvPicPr>
        <xdr:cNvPr id="1522" name="Picture@5C\QPendientes@" descr="@5C\QPendientes@">
          <a:extLst>
            <a:ext uri="{FF2B5EF4-FFF2-40B4-BE49-F238E27FC236}">
              <a16:creationId xmlns:a16="http://schemas.microsoft.com/office/drawing/2014/main" id="{04561201-D608-4E83-ADA6-691BDB8B10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95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133350</xdr:rowOff>
    </xdr:to>
    <xdr:pic>
      <xdr:nvPicPr>
        <xdr:cNvPr id="1523" name="Picture@5C\QPendientes@" descr="@5C\QPendientes@">
          <a:extLst>
            <a:ext uri="{FF2B5EF4-FFF2-40B4-BE49-F238E27FC236}">
              <a16:creationId xmlns:a16="http://schemas.microsoft.com/office/drawing/2014/main" id="{D5BBCFD3-B8AF-4185-BB2A-B6ED5BCFAE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14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133350</xdr:rowOff>
    </xdr:to>
    <xdr:pic>
      <xdr:nvPicPr>
        <xdr:cNvPr id="1524" name="Picture@5C\QPendientes@" descr="@5C\QPendientes@">
          <a:extLst>
            <a:ext uri="{FF2B5EF4-FFF2-40B4-BE49-F238E27FC236}">
              <a16:creationId xmlns:a16="http://schemas.microsoft.com/office/drawing/2014/main" id="{25D86549-2800-4888-A8C0-460FC39915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32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133350</xdr:rowOff>
    </xdr:to>
    <xdr:pic>
      <xdr:nvPicPr>
        <xdr:cNvPr id="1525" name="Picture@5C\QPendientes@" descr="@5C\QPendientes@">
          <a:extLst>
            <a:ext uri="{FF2B5EF4-FFF2-40B4-BE49-F238E27FC236}">
              <a16:creationId xmlns:a16="http://schemas.microsoft.com/office/drawing/2014/main" id="{FCBBA53C-F0B9-4664-9EE9-35C663ECDB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50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133350</xdr:rowOff>
    </xdr:to>
    <xdr:pic>
      <xdr:nvPicPr>
        <xdr:cNvPr id="1526" name="Picture@5C\QPendientes@" descr="@5C\QPendientes@">
          <a:extLst>
            <a:ext uri="{FF2B5EF4-FFF2-40B4-BE49-F238E27FC236}">
              <a16:creationId xmlns:a16="http://schemas.microsoft.com/office/drawing/2014/main" id="{27EEB37C-E767-4782-8B1B-57A4F7554C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68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133350</xdr:rowOff>
    </xdr:to>
    <xdr:pic>
      <xdr:nvPicPr>
        <xdr:cNvPr id="1527" name="Picture@5C\QPendientes@" descr="@5C\QPendientes@">
          <a:extLst>
            <a:ext uri="{FF2B5EF4-FFF2-40B4-BE49-F238E27FC236}">
              <a16:creationId xmlns:a16="http://schemas.microsoft.com/office/drawing/2014/main" id="{A2BDBD2A-1EFE-45E9-B205-6BD53A9D91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87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133350</xdr:rowOff>
    </xdr:to>
    <xdr:pic>
      <xdr:nvPicPr>
        <xdr:cNvPr id="1528" name="Picture@5C\QPendientes@" descr="@5C\QPendientes@">
          <a:extLst>
            <a:ext uri="{FF2B5EF4-FFF2-40B4-BE49-F238E27FC236}">
              <a16:creationId xmlns:a16="http://schemas.microsoft.com/office/drawing/2014/main" id="{12501754-E047-4D46-9E16-4B83700332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05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133350</xdr:rowOff>
    </xdr:to>
    <xdr:pic>
      <xdr:nvPicPr>
        <xdr:cNvPr id="1529" name="Picture@5C\QPendientes@" descr="@5C\QPendientes@">
          <a:extLst>
            <a:ext uri="{FF2B5EF4-FFF2-40B4-BE49-F238E27FC236}">
              <a16:creationId xmlns:a16="http://schemas.microsoft.com/office/drawing/2014/main" id="{81EC2C4F-D533-42EF-8BF9-4DDAC9C6C2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23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133350</xdr:rowOff>
    </xdr:to>
    <xdr:pic>
      <xdr:nvPicPr>
        <xdr:cNvPr id="1530" name="Picture@5C\QPendientes@" descr="@5C\QPendientes@">
          <a:extLst>
            <a:ext uri="{FF2B5EF4-FFF2-40B4-BE49-F238E27FC236}">
              <a16:creationId xmlns:a16="http://schemas.microsoft.com/office/drawing/2014/main" id="{660288D6-3638-4FEB-AA8B-1C71BC15D5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42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133350</xdr:rowOff>
    </xdr:to>
    <xdr:pic>
      <xdr:nvPicPr>
        <xdr:cNvPr id="1531" name="Picture@5C\QPendientes@" descr="@5C\QPendientes@">
          <a:extLst>
            <a:ext uri="{FF2B5EF4-FFF2-40B4-BE49-F238E27FC236}">
              <a16:creationId xmlns:a16="http://schemas.microsoft.com/office/drawing/2014/main" id="{67996FAA-8A64-4852-A366-39AA55DB8A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0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133350</xdr:rowOff>
    </xdr:to>
    <xdr:pic>
      <xdr:nvPicPr>
        <xdr:cNvPr id="1532" name="Picture@5C\QPendientes@" descr="@5C\QPendientes@">
          <a:extLst>
            <a:ext uri="{FF2B5EF4-FFF2-40B4-BE49-F238E27FC236}">
              <a16:creationId xmlns:a16="http://schemas.microsoft.com/office/drawing/2014/main" id="{50D7138B-7978-4224-B557-66E829C6E1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78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133350</xdr:rowOff>
    </xdr:to>
    <xdr:pic>
      <xdr:nvPicPr>
        <xdr:cNvPr id="1533" name="Picture@5C\QPendientes@" descr="@5C\QPendientes@">
          <a:extLst>
            <a:ext uri="{FF2B5EF4-FFF2-40B4-BE49-F238E27FC236}">
              <a16:creationId xmlns:a16="http://schemas.microsoft.com/office/drawing/2014/main" id="{90F49B37-B057-4DA1-BB23-33AE502F06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96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133350</xdr:rowOff>
    </xdr:to>
    <xdr:pic>
      <xdr:nvPicPr>
        <xdr:cNvPr id="1534" name="Picture@5C\QPendientes@" descr="@5C\QPendientes@">
          <a:extLst>
            <a:ext uri="{FF2B5EF4-FFF2-40B4-BE49-F238E27FC236}">
              <a16:creationId xmlns:a16="http://schemas.microsoft.com/office/drawing/2014/main" id="{599BCAFA-7771-418B-985A-130A86364A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15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133350</xdr:rowOff>
    </xdr:to>
    <xdr:pic>
      <xdr:nvPicPr>
        <xdr:cNvPr id="1535" name="Picture@5C\QPendientes@" descr="@5C\QPendientes@">
          <a:extLst>
            <a:ext uri="{FF2B5EF4-FFF2-40B4-BE49-F238E27FC236}">
              <a16:creationId xmlns:a16="http://schemas.microsoft.com/office/drawing/2014/main" id="{4A6B6ED2-F725-4F93-B8F2-61F6872CC8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33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133350</xdr:rowOff>
    </xdr:to>
    <xdr:pic>
      <xdr:nvPicPr>
        <xdr:cNvPr id="1536" name="Picture@5C\QPendientes@" descr="@5C\QPendientes@">
          <a:extLst>
            <a:ext uri="{FF2B5EF4-FFF2-40B4-BE49-F238E27FC236}">
              <a16:creationId xmlns:a16="http://schemas.microsoft.com/office/drawing/2014/main" id="{F138992C-8CDE-4307-BBA2-756AE3EBA4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51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133350</xdr:rowOff>
    </xdr:to>
    <xdr:pic>
      <xdr:nvPicPr>
        <xdr:cNvPr id="1537" name="Picture@5C\QPendientes@" descr="@5C\QPendientes@">
          <a:extLst>
            <a:ext uri="{FF2B5EF4-FFF2-40B4-BE49-F238E27FC236}">
              <a16:creationId xmlns:a16="http://schemas.microsoft.com/office/drawing/2014/main" id="{FA472B44-A749-4CE9-BF8C-BFFD22DDF5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70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133350</xdr:rowOff>
    </xdr:to>
    <xdr:pic>
      <xdr:nvPicPr>
        <xdr:cNvPr id="1538" name="Picture@5C\QPendientes@" descr="@5C\QPendientes@">
          <a:extLst>
            <a:ext uri="{FF2B5EF4-FFF2-40B4-BE49-F238E27FC236}">
              <a16:creationId xmlns:a16="http://schemas.microsoft.com/office/drawing/2014/main" id="{8D7F3C5D-D182-4D18-A961-2676275B56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88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133350</xdr:rowOff>
    </xdr:to>
    <xdr:pic>
      <xdr:nvPicPr>
        <xdr:cNvPr id="1539" name="Picture@5C\QPendientes@" descr="@5C\QPendientes@">
          <a:extLst>
            <a:ext uri="{FF2B5EF4-FFF2-40B4-BE49-F238E27FC236}">
              <a16:creationId xmlns:a16="http://schemas.microsoft.com/office/drawing/2014/main" id="{B5D69539-92AD-4EDE-8E43-496302AC59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06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133350</xdr:rowOff>
    </xdr:to>
    <xdr:pic>
      <xdr:nvPicPr>
        <xdr:cNvPr id="1540" name="Picture@5C\QPendientes@" descr="@5C\QPendientes@">
          <a:extLst>
            <a:ext uri="{FF2B5EF4-FFF2-40B4-BE49-F238E27FC236}">
              <a16:creationId xmlns:a16="http://schemas.microsoft.com/office/drawing/2014/main" id="{CEC663E7-59BD-4834-9D0A-ED3E549471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24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133350</xdr:rowOff>
    </xdr:to>
    <xdr:pic>
      <xdr:nvPicPr>
        <xdr:cNvPr id="1541" name="Picture@5C\QPendientes@" descr="@5C\QPendientes@">
          <a:extLst>
            <a:ext uri="{FF2B5EF4-FFF2-40B4-BE49-F238E27FC236}">
              <a16:creationId xmlns:a16="http://schemas.microsoft.com/office/drawing/2014/main" id="{32EC4BFA-BA98-4B94-9762-6A245DF2DB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3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133350</xdr:rowOff>
    </xdr:to>
    <xdr:pic>
      <xdr:nvPicPr>
        <xdr:cNvPr id="1542" name="Picture@5C\QPendientes@" descr="@5C\QPendientes@">
          <a:extLst>
            <a:ext uri="{FF2B5EF4-FFF2-40B4-BE49-F238E27FC236}">
              <a16:creationId xmlns:a16="http://schemas.microsoft.com/office/drawing/2014/main" id="{5BBF0192-FD08-43E6-BDD6-031078B7A4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61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133350</xdr:rowOff>
    </xdr:to>
    <xdr:pic>
      <xdr:nvPicPr>
        <xdr:cNvPr id="1543" name="Picture@5C\QPendientes@" descr="@5C\QPendientes@">
          <a:extLst>
            <a:ext uri="{FF2B5EF4-FFF2-40B4-BE49-F238E27FC236}">
              <a16:creationId xmlns:a16="http://schemas.microsoft.com/office/drawing/2014/main" id="{5954A234-F010-419C-BAC6-CC07A7AD5A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79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133350</xdr:rowOff>
    </xdr:to>
    <xdr:pic>
      <xdr:nvPicPr>
        <xdr:cNvPr id="1544" name="Picture@5C\QPendientes@" descr="@5C\QPendientes@">
          <a:extLst>
            <a:ext uri="{FF2B5EF4-FFF2-40B4-BE49-F238E27FC236}">
              <a16:creationId xmlns:a16="http://schemas.microsoft.com/office/drawing/2014/main" id="{026FD4BA-E18C-4E06-A516-E2E7B89C7A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98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133350</xdr:rowOff>
    </xdr:to>
    <xdr:pic>
      <xdr:nvPicPr>
        <xdr:cNvPr id="1545" name="Picture@5C\QPendientes@" descr="@5C\QPendientes@">
          <a:extLst>
            <a:ext uri="{FF2B5EF4-FFF2-40B4-BE49-F238E27FC236}">
              <a16:creationId xmlns:a16="http://schemas.microsoft.com/office/drawing/2014/main" id="{BF2CACDC-0281-4D76-A09A-A5CA967A76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16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133350</xdr:rowOff>
    </xdr:to>
    <xdr:pic>
      <xdr:nvPicPr>
        <xdr:cNvPr id="1546" name="Picture@5C\QPendientes@" descr="@5C\QPendientes@">
          <a:extLst>
            <a:ext uri="{FF2B5EF4-FFF2-40B4-BE49-F238E27FC236}">
              <a16:creationId xmlns:a16="http://schemas.microsoft.com/office/drawing/2014/main" id="{B58A81AC-F393-4978-83EC-1989A7149D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34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133350</xdr:rowOff>
    </xdr:to>
    <xdr:pic>
      <xdr:nvPicPr>
        <xdr:cNvPr id="1547" name="Picture@5C\QPendientes@" descr="@5C\QPendientes@">
          <a:extLst>
            <a:ext uri="{FF2B5EF4-FFF2-40B4-BE49-F238E27FC236}">
              <a16:creationId xmlns:a16="http://schemas.microsoft.com/office/drawing/2014/main" id="{A4795802-4EB0-40EA-A868-EA8B913761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52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133350</xdr:rowOff>
    </xdr:to>
    <xdr:pic>
      <xdr:nvPicPr>
        <xdr:cNvPr id="1548" name="Picture@5C\QPendientes@" descr="@5C\QPendientes@">
          <a:extLst>
            <a:ext uri="{FF2B5EF4-FFF2-40B4-BE49-F238E27FC236}">
              <a16:creationId xmlns:a16="http://schemas.microsoft.com/office/drawing/2014/main" id="{E2378D0D-2099-4813-87A0-E512E309F5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71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133350</xdr:rowOff>
    </xdr:to>
    <xdr:pic>
      <xdr:nvPicPr>
        <xdr:cNvPr id="1549" name="Picture@5C\QPendientes@" descr="@5C\QPendientes@">
          <a:extLst>
            <a:ext uri="{FF2B5EF4-FFF2-40B4-BE49-F238E27FC236}">
              <a16:creationId xmlns:a16="http://schemas.microsoft.com/office/drawing/2014/main" id="{DAA8DCED-EB2C-4BCB-80B5-5D99E28625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89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133350</xdr:rowOff>
    </xdr:to>
    <xdr:pic>
      <xdr:nvPicPr>
        <xdr:cNvPr id="1550" name="Picture@5C\QPendientes@" descr="@5C\QPendientes@">
          <a:extLst>
            <a:ext uri="{FF2B5EF4-FFF2-40B4-BE49-F238E27FC236}">
              <a16:creationId xmlns:a16="http://schemas.microsoft.com/office/drawing/2014/main" id="{9C25BEE8-1047-4A37-9FA3-DF9ED4E992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07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133350</xdr:rowOff>
    </xdr:to>
    <xdr:pic>
      <xdr:nvPicPr>
        <xdr:cNvPr id="1551" name="Picture@5C\QPendientes@" descr="@5C\QPendientes@">
          <a:extLst>
            <a:ext uri="{FF2B5EF4-FFF2-40B4-BE49-F238E27FC236}">
              <a16:creationId xmlns:a16="http://schemas.microsoft.com/office/drawing/2014/main" id="{0C626575-6FEB-4890-82B2-85CE47E2DA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6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133350</xdr:rowOff>
    </xdr:to>
    <xdr:pic>
      <xdr:nvPicPr>
        <xdr:cNvPr id="1552" name="Picture@5C\QPendientes@" descr="@5C\QPendientes@">
          <a:extLst>
            <a:ext uri="{FF2B5EF4-FFF2-40B4-BE49-F238E27FC236}">
              <a16:creationId xmlns:a16="http://schemas.microsoft.com/office/drawing/2014/main" id="{5F1B3B0E-F84E-41C2-8EB2-E11C38312B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44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133350</xdr:rowOff>
    </xdr:to>
    <xdr:pic>
      <xdr:nvPicPr>
        <xdr:cNvPr id="1553" name="Picture@5C\QPendientes@" descr="@5C\QPendientes@">
          <a:extLst>
            <a:ext uri="{FF2B5EF4-FFF2-40B4-BE49-F238E27FC236}">
              <a16:creationId xmlns:a16="http://schemas.microsoft.com/office/drawing/2014/main" id="{A41B5855-C4C9-413B-BE86-A63916AB8E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62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133350</xdr:rowOff>
    </xdr:to>
    <xdr:pic>
      <xdr:nvPicPr>
        <xdr:cNvPr id="1554" name="Picture@5C\QPendientes@" descr="@5C\QPendientes@">
          <a:extLst>
            <a:ext uri="{FF2B5EF4-FFF2-40B4-BE49-F238E27FC236}">
              <a16:creationId xmlns:a16="http://schemas.microsoft.com/office/drawing/2014/main" id="{E1771671-0A26-4A91-BCE2-16772964FC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80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133350</xdr:rowOff>
    </xdr:to>
    <xdr:pic>
      <xdr:nvPicPr>
        <xdr:cNvPr id="1555" name="Picture@5C\QPendientes@" descr="@5C\QPendientes@">
          <a:extLst>
            <a:ext uri="{FF2B5EF4-FFF2-40B4-BE49-F238E27FC236}">
              <a16:creationId xmlns:a16="http://schemas.microsoft.com/office/drawing/2014/main" id="{F1132CFE-FE3B-40CC-A44B-F7F2D7F66E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99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133350</xdr:rowOff>
    </xdr:to>
    <xdr:pic>
      <xdr:nvPicPr>
        <xdr:cNvPr id="1556" name="Picture@5C\QPendientes@" descr="@5C\QPendientes@">
          <a:extLst>
            <a:ext uri="{FF2B5EF4-FFF2-40B4-BE49-F238E27FC236}">
              <a16:creationId xmlns:a16="http://schemas.microsoft.com/office/drawing/2014/main" id="{B6D358D9-E08B-4550-8D44-89A37375C2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17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133350</xdr:rowOff>
    </xdr:to>
    <xdr:pic>
      <xdr:nvPicPr>
        <xdr:cNvPr id="1557" name="Picture@5C\QPendientes@" descr="@5C\QPendientes@">
          <a:extLst>
            <a:ext uri="{FF2B5EF4-FFF2-40B4-BE49-F238E27FC236}">
              <a16:creationId xmlns:a16="http://schemas.microsoft.com/office/drawing/2014/main" id="{C984EC2A-DEE7-4CFB-AA90-82E95D9B14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35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133350</xdr:rowOff>
    </xdr:to>
    <xdr:pic>
      <xdr:nvPicPr>
        <xdr:cNvPr id="1558" name="Picture@5C\QPendientes@" descr="@5C\QPendientes@">
          <a:extLst>
            <a:ext uri="{FF2B5EF4-FFF2-40B4-BE49-F238E27FC236}">
              <a16:creationId xmlns:a16="http://schemas.microsoft.com/office/drawing/2014/main" id="{70B9996A-0A07-44C5-B376-B1CA514378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54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133350</xdr:rowOff>
    </xdr:to>
    <xdr:pic>
      <xdr:nvPicPr>
        <xdr:cNvPr id="1559" name="Picture@5C\QPendientes@" descr="@5C\QPendientes@">
          <a:extLst>
            <a:ext uri="{FF2B5EF4-FFF2-40B4-BE49-F238E27FC236}">
              <a16:creationId xmlns:a16="http://schemas.microsoft.com/office/drawing/2014/main" id="{1DBAE4B4-2E41-4E6C-AD9E-E0983EECBF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72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133350</xdr:rowOff>
    </xdr:to>
    <xdr:pic>
      <xdr:nvPicPr>
        <xdr:cNvPr id="1560" name="Picture@5C\QPendientes@" descr="@5C\QPendientes@">
          <a:extLst>
            <a:ext uri="{FF2B5EF4-FFF2-40B4-BE49-F238E27FC236}">
              <a16:creationId xmlns:a16="http://schemas.microsoft.com/office/drawing/2014/main" id="{A4612928-A01D-4660-9E22-244FF79E8E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90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133350</xdr:rowOff>
    </xdr:to>
    <xdr:pic>
      <xdr:nvPicPr>
        <xdr:cNvPr id="1561" name="Picture@5C\QPendientes@" descr="@5C\QPendientes@">
          <a:extLst>
            <a:ext uri="{FF2B5EF4-FFF2-40B4-BE49-F238E27FC236}">
              <a16:creationId xmlns:a16="http://schemas.microsoft.com/office/drawing/2014/main" id="{95F2C2C3-B969-4F9A-AF0A-48A8D73C36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8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133350</xdr:rowOff>
    </xdr:to>
    <xdr:pic>
      <xdr:nvPicPr>
        <xdr:cNvPr id="1562" name="Picture@5C\QPendientes@" descr="@5C\QPendientes@">
          <a:extLst>
            <a:ext uri="{FF2B5EF4-FFF2-40B4-BE49-F238E27FC236}">
              <a16:creationId xmlns:a16="http://schemas.microsoft.com/office/drawing/2014/main" id="{7D0813BC-410C-4A9B-9A43-1C0DE03742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27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133350</xdr:rowOff>
    </xdr:to>
    <xdr:pic>
      <xdr:nvPicPr>
        <xdr:cNvPr id="1563" name="Picture@5C\QPendientes@" descr="@5C\QPendientes@">
          <a:extLst>
            <a:ext uri="{FF2B5EF4-FFF2-40B4-BE49-F238E27FC236}">
              <a16:creationId xmlns:a16="http://schemas.microsoft.com/office/drawing/2014/main" id="{47644F7D-8E63-4C5C-AE7A-BE94BA1B52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45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133350</xdr:rowOff>
    </xdr:to>
    <xdr:pic>
      <xdr:nvPicPr>
        <xdr:cNvPr id="1564" name="Picture@5C\QPendientes@" descr="@5C\QPendientes@">
          <a:extLst>
            <a:ext uri="{FF2B5EF4-FFF2-40B4-BE49-F238E27FC236}">
              <a16:creationId xmlns:a16="http://schemas.microsoft.com/office/drawing/2014/main" id="{5345E2A2-A473-4576-BAE5-534D65ADED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63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133350</xdr:rowOff>
    </xdr:to>
    <xdr:pic>
      <xdr:nvPicPr>
        <xdr:cNvPr id="1565" name="Picture@5C\QPendientes@" descr="@5C\QPendientes@">
          <a:extLst>
            <a:ext uri="{FF2B5EF4-FFF2-40B4-BE49-F238E27FC236}">
              <a16:creationId xmlns:a16="http://schemas.microsoft.com/office/drawing/2014/main" id="{D49C45CB-FAD4-4087-B185-DA8ECF24BF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82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133350</xdr:rowOff>
    </xdr:to>
    <xdr:pic>
      <xdr:nvPicPr>
        <xdr:cNvPr id="1566" name="Picture@5C\QPendientes@" descr="@5C\QPendientes@">
          <a:extLst>
            <a:ext uri="{FF2B5EF4-FFF2-40B4-BE49-F238E27FC236}">
              <a16:creationId xmlns:a16="http://schemas.microsoft.com/office/drawing/2014/main" id="{70732915-46D3-4977-8FC2-73B4215A84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00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133350</xdr:rowOff>
    </xdr:to>
    <xdr:pic>
      <xdr:nvPicPr>
        <xdr:cNvPr id="1567" name="Picture@5C\QPendientes@" descr="@5C\QPendientes@">
          <a:extLst>
            <a:ext uri="{FF2B5EF4-FFF2-40B4-BE49-F238E27FC236}">
              <a16:creationId xmlns:a16="http://schemas.microsoft.com/office/drawing/2014/main" id="{324EC4BA-9BD6-4996-A723-9F1E4BC5AF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18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133350</xdr:rowOff>
    </xdr:to>
    <xdr:pic>
      <xdr:nvPicPr>
        <xdr:cNvPr id="1568" name="Picture@5C\QPendientes@" descr="@5C\QPendientes@">
          <a:extLst>
            <a:ext uri="{FF2B5EF4-FFF2-40B4-BE49-F238E27FC236}">
              <a16:creationId xmlns:a16="http://schemas.microsoft.com/office/drawing/2014/main" id="{5E859599-5AE2-47E2-81D1-9BC2F73E11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36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133350</xdr:rowOff>
    </xdr:to>
    <xdr:pic>
      <xdr:nvPicPr>
        <xdr:cNvPr id="1569" name="Picture@5C\QPendientes@" descr="@5C\QPendientes@">
          <a:extLst>
            <a:ext uri="{FF2B5EF4-FFF2-40B4-BE49-F238E27FC236}">
              <a16:creationId xmlns:a16="http://schemas.microsoft.com/office/drawing/2014/main" id="{B6A7FC4E-3B96-429A-9EC2-2114E744C4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55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133350</xdr:rowOff>
    </xdr:to>
    <xdr:pic>
      <xdr:nvPicPr>
        <xdr:cNvPr id="1570" name="Picture@5C\QPendientes@" descr="@5C\QPendientes@">
          <a:extLst>
            <a:ext uri="{FF2B5EF4-FFF2-40B4-BE49-F238E27FC236}">
              <a16:creationId xmlns:a16="http://schemas.microsoft.com/office/drawing/2014/main" id="{B13801A9-A42D-48E1-8EB7-44534A34E6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73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133350</xdr:rowOff>
    </xdr:to>
    <xdr:pic>
      <xdr:nvPicPr>
        <xdr:cNvPr id="1571" name="Picture@5C\QPendientes@" descr="@5C\QPendientes@">
          <a:extLst>
            <a:ext uri="{FF2B5EF4-FFF2-40B4-BE49-F238E27FC236}">
              <a16:creationId xmlns:a16="http://schemas.microsoft.com/office/drawing/2014/main" id="{F9388AB8-8447-45AD-A3DE-5D5F429F53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1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133350</xdr:rowOff>
    </xdr:to>
    <xdr:pic>
      <xdr:nvPicPr>
        <xdr:cNvPr id="1572" name="Picture@5C\QPendientes@" descr="@5C\QPendientes@">
          <a:extLst>
            <a:ext uri="{FF2B5EF4-FFF2-40B4-BE49-F238E27FC236}">
              <a16:creationId xmlns:a16="http://schemas.microsoft.com/office/drawing/2014/main" id="{4F7033BA-0A1B-4B1A-B690-70BF71F13D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10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133350</xdr:rowOff>
    </xdr:to>
    <xdr:pic>
      <xdr:nvPicPr>
        <xdr:cNvPr id="1573" name="Picture@5C\QPendientes@" descr="@5C\QPendientes@">
          <a:extLst>
            <a:ext uri="{FF2B5EF4-FFF2-40B4-BE49-F238E27FC236}">
              <a16:creationId xmlns:a16="http://schemas.microsoft.com/office/drawing/2014/main" id="{4C564AEF-7D9A-44D6-8B82-E848CA9DBA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28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133350</xdr:rowOff>
    </xdr:to>
    <xdr:pic>
      <xdr:nvPicPr>
        <xdr:cNvPr id="1574" name="Picture@5C\QPendientes@" descr="@5C\QPendientes@">
          <a:extLst>
            <a:ext uri="{FF2B5EF4-FFF2-40B4-BE49-F238E27FC236}">
              <a16:creationId xmlns:a16="http://schemas.microsoft.com/office/drawing/2014/main" id="{AAF026DC-BE93-446C-AD8A-32F52879AE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46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133350</xdr:rowOff>
    </xdr:to>
    <xdr:pic>
      <xdr:nvPicPr>
        <xdr:cNvPr id="1575" name="Picture@5C\QPendientes@" descr="@5C\QPendientes@">
          <a:extLst>
            <a:ext uri="{FF2B5EF4-FFF2-40B4-BE49-F238E27FC236}">
              <a16:creationId xmlns:a16="http://schemas.microsoft.com/office/drawing/2014/main" id="{E31B2F2B-DFF6-41FB-B81D-472D1131B3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64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133350</xdr:rowOff>
    </xdr:to>
    <xdr:pic>
      <xdr:nvPicPr>
        <xdr:cNvPr id="1576" name="Picture@5C\QPendientes@" descr="@5C\QPendientes@">
          <a:extLst>
            <a:ext uri="{FF2B5EF4-FFF2-40B4-BE49-F238E27FC236}">
              <a16:creationId xmlns:a16="http://schemas.microsoft.com/office/drawing/2014/main" id="{F9C1E171-8B77-4FD1-BBEF-35125A6901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83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133350</xdr:rowOff>
    </xdr:to>
    <xdr:pic>
      <xdr:nvPicPr>
        <xdr:cNvPr id="1577" name="Picture@5C\QPendientes@" descr="@5C\QPendientes@">
          <a:extLst>
            <a:ext uri="{FF2B5EF4-FFF2-40B4-BE49-F238E27FC236}">
              <a16:creationId xmlns:a16="http://schemas.microsoft.com/office/drawing/2014/main" id="{09054FC0-85F4-4C2E-AE24-55F736C18E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01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133350</xdr:rowOff>
    </xdr:to>
    <xdr:pic>
      <xdr:nvPicPr>
        <xdr:cNvPr id="1578" name="Picture@5C\QPendientes@" descr="@5C\QPendientes@">
          <a:extLst>
            <a:ext uri="{FF2B5EF4-FFF2-40B4-BE49-F238E27FC236}">
              <a16:creationId xmlns:a16="http://schemas.microsoft.com/office/drawing/2014/main" id="{7D51B239-E3AC-4ECF-B4BB-8B8A2437A7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19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133350</xdr:rowOff>
    </xdr:to>
    <xdr:pic>
      <xdr:nvPicPr>
        <xdr:cNvPr id="1579" name="Picture@5C\QPendientes@" descr="@5C\QPendientes@">
          <a:extLst>
            <a:ext uri="{FF2B5EF4-FFF2-40B4-BE49-F238E27FC236}">
              <a16:creationId xmlns:a16="http://schemas.microsoft.com/office/drawing/2014/main" id="{0DD8203D-754E-4CD9-B5FE-C392038433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38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133350</xdr:rowOff>
    </xdr:to>
    <xdr:pic>
      <xdr:nvPicPr>
        <xdr:cNvPr id="1580" name="Picture@5C\QPendientes@" descr="@5C\QPendientes@">
          <a:extLst>
            <a:ext uri="{FF2B5EF4-FFF2-40B4-BE49-F238E27FC236}">
              <a16:creationId xmlns:a16="http://schemas.microsoft.com/office/drawing/2014/main" id="{D1FC1D25-1401-472C-A978-FE0E705FA2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56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133350</xdr:rowOff>
    </xdr:to>
    <xdr:pic>
      <xdr:nvPicPr>
        <xdr:cNvPr id="1581" name="Picture@5C\QPendientes@" descr="@5C\QPendientes@">
          <a:extLst>
            <a:ext uri="{FF2B5EF4-FFF2-40B4-BE49-F238E27FC236}">
              <a16:creationId xmlns:a16="http://schemas.microsoft.com/office/drawing/2014/main" id="{738B1A2C-7979-4C0E-A31D-7194AE6D2A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4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133350</xdr:rowOff>
    </xdr:to>
    <xdr:pic>
      <xdr:nvPicPr>
        <xdr:cNvPr id="1582" name="Picture@5C\QPendientes@" descr="@5C\QPendientes@">
          <a:extLst>
            <a:ext uri="{FF2B5EF4-FFF2-40B4-BE49-F238E27FC236}">
              <a16:creationId xmlns:a16="http://schemas.microsoft.com/office/drawing/2014/main" id="{393A7C89-79DE-4069-A3AC-1644617267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93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133350</xdr:rowOff>
    </xdr:to>
    <xdr:pic>
      <xdr:nvPicPr>
        <xdr:cNvPr id="1583" name="Picture@5C\QPendientes@" descr="@5C\QPendientes@">
          <a:extLst>
            <a:ext uri="{FF2B5EF4-FFF2-40B4-BE49-F238E27FC236}">
              <a16:creationId xmlns:a16="http://schemas.microsoft.com/office/drawing/2014/main" id="{09E75CB6-1A20-4136-8650-ECBA646388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11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133350</xdr:rowOff>
    </xdr:to>
    <xdr:pic>
      <xdr:nvPicPr>
        <xdr:cNvPr id="1584" name="Picture@5C\QPendientes@" descr="@5C\QPendientes@">
          <a:extLst>
            <a:ext uri="{FF2B5EF4-FFF2-40B4-BE49-F238E27FC236}">
              <a16:creationId xmlns:a16="http://schemas.microsoft.com/office/drawing/2014/main" id="{7C6E48C0-AA74-41DE-9804-B3DBC8963B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29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133350</xdr:rowOff>
    </xdr:to>
    <xdr:pic>
      <xdr:nvPicPr>
        <xdr:cNvPr id="1585" name="Picture@5C\QPendientes@" descr="@5C\QPendientes@">
          <a:extLst>
            <a:ext uri="{FF2B5EF4-FFF2-40B4-BE49-F238E27FC236}">
              <a16:creationId xmlns:a16="http://schemas.microsoft.com/office/drawing/2014/main" id="{55DBC14C-4CBF-48DA-B370-5370772FCD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47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133350</xdr:rowOff>
    </xdr:to>
    <xdr:pic>
      <xdr:nvPicPr>
        <xdr:cNvPr id="1586" name="Picture@5C\QPendientes@" descr="@5C\QPendientes@">
          <a:extLst>
            <a:ext uri="{FF2B5EF4-FFF2-40B4-BE49-F238E27FC236}">
              <a16:creationId xmlns:a16="http://schemas.microsoft.com/office/drawing/2014/main" id="{E17F4909-9DB1-480B-98E3-AB4348EAD8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66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133350</xdr:rowOff>
    </xdr:to>
    <xdr:pic>
      <xdr:nvPicPr>
        <xdr:cNvPr id="1587" name="Picture@5C\QPendientes@" descr="@5C\QPendientes@">
          <a:extLst>
            <a:ext uri="{FF2B5EF4-FFF2-40B4-BE49-F238E27FC236}">
              <a16:creationId xmlns:a16="http://schemas.microsoft.com/office/drawing/2014/main" id="{69B6C5EA-9B03-473F-A391-53D8BB2ADD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84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133350</xdr:rowOff>
    </xdr:to>
    <xdr:pic>
      <xdr:nvPicPr>
        <xdr:cNvPr id="1588" name="Picture@5C\QPendientes@" descr="@5C\QPendientes@">
          <a:extLst>
            <a:ext uri="{FF2B5EF4-FFF2-40B4-BE49-F238E27FC236}">
              <a16:creationId xmlns:a16="http://schemas.microsoft.com/office/drawing/2014/main" id="{ED2A9F29-E7D1-4E9E-8A86-E4E47EB72F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02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133350</xdr:rowOff>
    </xdr:to>
    <xdr:pic>
      <xdr:nvPicPr>
        <xdr:cNvPr id="1589" name="Picture@5C\QPendientes@" descr="@5C\QPendientes@">
          <a:extLst>
            <a:ext uri="{FF2B5EF4-FFF2-40B4-BE49-F238E27FC236}">
              <a16:creationId xmlns:a16="http://schemas.microsoft.com/office/drawing/2014/main" id="{0F6DA257-DE20-4381-AA3C-C20738D060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21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133350</xdr:rowOff>
    </xdr:to>
    <xdr:pic>
      <xdr:nvPicPr>
        <xdr:cNvPr id="1590" name="Picture@5C\QPendientes@" descr="@5C\QPendientes@">
          <a:extLst>
            <a:ext uri="{FF2B5EF4-FFF2-40B4-BE49-F238E27FC236}">
              <a16:creationId xmlns:a16="http://schemas.microsoft.com/office/drawing/2014/main" id="{5E330513-4436-4B58-906E-FA303EB515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39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133350</xdr:rowOff>
    </xdr:to>
    <xdr:pic>
      <xdr:nvPicPr>
        <xdr:cNvPr id="1591" name="Picture@5C\QPendientes@" descr="@5C\QPendientes@">
          <a:extLst>
            <a:ext uri="{FF2B5EF4-FFF2-40B4-BE49-F238E27FC236}">
              <a16:creationId xmlns:a16="http://schemas.microsoft.com/office/drawing/2014/main" id="{F379BCE9-DB0E-46AA-94D0-CB2771D2D4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133350</xdr:rowOff>
    </xdr:to>
    <xdr:pic>
      <xdr:nvPicPr>
        <xdr:cNvPr id="1592" name="Picture@5C\QPendientes@" descr="@5C\QPendientes@">
          <a:extLst>
            <a:ext uri="{FF2B5EF4-FFF2-40B4-BE49-F238E27FC236}">
              <a16:creationId xmlns:a16="http://schemas.microsoft.com/office/drawing/2014/main" id="{021A2998-4C0C-4160-811C-24DEC23E95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75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133350</xdr:rowOff>
    </xdr:to>
    <xdr:pic>
      <xdr:nvPicPr>
        <xdr:cNvPr id="1593" name="Picture@5C\QPendientes@" descr="@5C\QPendientes@">
          <a:extLst>
            <a:ext uri="{FF2B5EF4-FFF2-40B4-BE49-F238E27FC236}">
              <a16:creationId xmlns:a16="http://schemas.microsoft.com/office/drawing/2014/main" id="{AFB1EAE8-219B-413B-9E12-D457DBE503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94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133350</xdr:rowOff>
    </xdr:to>
    <xdr:pic>
      <xdr:nvPicPr>
        <xdr:cNvPr id="1594" name="Picture@5C\QPendientes@" descr="@5C\QPendientes@">
          <a:extLst>
            <a:ext uri="{FF2B5EF4-FFF2-40B4-BE49-F238E27FC236}">
              <a16:creationId xmlns:a16="http://schemas.microsoft.com/office/drawing/2014/main" id="{1775E2B5-D06F-4034-B3A9-DFD826DE43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12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133350</xdr:rowOff>
    </xdr:to>
    <xdr:pic>
      <xdr:nvPicPr>
        <xdr:cNvPr id="1595" name="Picture@5C\QPendientes@" descr="@5C\QPendientes@">
          <a:extLst>
            <a:ext uri="{FF2B5EF4-FFF2-40B4-BE49-F238E27FC236}">
              <a16:creationId xmlns:a16="http://schemas.microsoft.com/office/drawing/2014/main" id="{1F11ADD4-F7DF-4BFC-AE3B-34B9E11E56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30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133350</xdr:rowOff>
    </xdr:to>
    <xdr:pic>
      <xdr:nvPicPr>
        <xdr:cNvPr id="1596" name="Picture@5C\QPendientes@" descr="@5C\QPendientes@">
          <a:extLst>
            <a:ext uri="{FF2B5EF4-FFF2-40B4-BE49-F238E27FC236}">
              <a16:creationId xmlns:a16="http://schemas.microsoft.com/office/drawing/2014/main" id="{1B83FBE0-BBEF-43A1-80B0-AD20E527F8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49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133350</xdr:rowOff>
    </xdr:to>
    <xdr:pic>
      <xdr:nvPicPr>
        <xdr:cNvPr id="1597" name="Picture@5C\QPendientes@" descr="@5C\QPendientes@">
          <a:extLst>
            <a:ext uri="{FF2B5EF4-FFF2-40B4-BE49-F238E27FC236}">
              <a16:creationId xmlns:a16="http://schemas.microsoft.com/office/drawing/2014/main" id="{9EFCB752-FA71-4E8E-93E4-5D4ADB57D6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67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133350</xdr:rowOff>
    </xdr:to>
    <xdr:pic>
      <xdr:nvPicPr>
        <xdr:cNvPr id="1598" name="Picture@5C\QPendientes@" descr="@5C\QPendientes@">
          <a:extLst>
            <a:ext uri="{FF2B5EF4-FFF2-40B4-BE49-F238E27FC236}">
              <a16:creationId xmlns:a16="http://schemas.microsoft.com/office/drawing/2014/main" id="{97D90EA7-E9E2-4EA9-837E-4A167DFCA9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85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133350</xdr:rowOff>
    </xdr:to>
    <xdr:pic>
      <xdr:nvPicPr>
        <xdr:cNvPr id="1599" name="Picture@5C\QPendientes@" descr="@5C\QPendientes@">
          <a:extLst>
            <a:ext uri="{FF2B5EF4-FFF2-40B4-BE49-F238E27FC236}">
              <a16:creationId xmlns:a16="http://schemas.microsoft.com/office/drawing/2014/main" id="{8376FCCE-E03E-4BCF-B767-BABD39B818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03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133350</xdr:rowOff>
    </xdr:to>
    <xdr:pic>
      <xdr:nvPicPr>
        <xdr:cNvPr id="1600" name="Picture@5C\QPendientes@" descr="@5C\QPendientes@">
          <a:extLst>
            <a:ext uri="{FF2B5EF4-FFF2-40B4-BE49-F238E27FC236}">
              <a16:creationId xmlns:a16="http://schemas.microsoft.com/office/drawing/2014/main" id="{7D249AA6-EF01-4CEF-B9C5-54BF2A3FD5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22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133350</xdr:rowOff>
    </xdr:to>
    <xdr:pic>
      <xdr:nvPicPr>
        <xdr:cNvPr id="1601" name="Picture@5C\QPendientes@" descr="@5C\QPendientes@">
          <a:extLst>
            <a:ext uri="{FF2B5EF4-FFF2-40B4-BE49-F238E27FC236}">
              <a16:creationId xmlns:a16="http://schemas.microsoft.com/office/drawing/2014/main" id="{2F221493-D726-4081-A1FA-FFB8A54B48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0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133350</xdr:rowOff>
    </xdr:to>
    <xdr:pic>
      <xdr:nvPicPr>
        <xdr:cNvPr id="1602" name="Picture@5C\QPendientes@" descr="@5C\QPendientes@">
          <a:extLst>
            <a:ext uri="{FF2B5EF4-FFF2-40B4-BE49-F238E27FC236}">
              <a16:creationId xmlns:a16="http://schemas.microsoft.com/office/drawing/2014/main" id="{A2B627ED-C44C-4F50-A1E1-7042B5046A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58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133350</xdr:rowOff>
    </xdr:to>
    <xdr:pic>
      <xdr:nvPicPr>
        <xdr:cNvPr id="1603" name="Picture@5C\QPendientes@" descr="@5C\QPendientes@">
          <a:extLst>
            <a:ext uri="{FF2B5EF4-FFF2-40B4-BE49-F238E27FC236}">
              <a16:creationId xmlns:a16="http://schemas.microsoft.com/office/drawing/2014/main" id="{E70F39A1-414B-4AD4-998B-D3D6DBE67B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77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133350</xdr:rowOff>
    </xdr:to>
    <xdr:pic>
      <xdr:nvPicPr>
        <xdr:cNvPr id="1604" name="Picture@5C\QPendientes@" descr="@5C\QPendientes@">
          <a:extLst>
            <a:ext uri="{FF2B5EF4-FFF2-40B4-BE49-F238E27FC236}">
              <a16:creationId xmlns:a16="http://schemas.microsoft.com/office/drawing/2014/main" id="{8FA44897-C640-464B-84F7-046B6555FA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95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133350</xdr:rowOff>
    </xdr:to>
    <xdr:pic>
      <xdr:nvPicPr>
        <xdr:cNvPr id="1605" name="Picture@5C\QPendientes@" descr="@5C\QPendientes@">
          <a:extLst>
            <a:ext uri="{FF2B5EF4-FFF2-40B4-BE49-F238E27FC236}">
              <a16:creationId xmlns:a16="http://schemas.microsoft.com/office/drawing/2014/main" id="{F9EB3479-4805-47BD-89AF-AEE9112EF4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13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133350</xdr:rowOff>
    </xdr:to>
    <xdr:pic>
      <xdr:nvPicPr>
        <xdr:cNvPr id="1606" name="Picture@5C\QPendientes@" descr="@5C\QPendientes@">
          <a:extLst>
            <a:ext uri="{FF2B5EF4-FFF2-40B4-BE49-F238E27FC236}">
              <a16:creationId xmlns:a16="http://schemas.microsoft.com/office/drawing/2014/main" id="{2E41875E-3022-4C0F-92AD-66BF19E1B2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31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133350</xdr:rowOff>
    </xdr:to>
    <xdr:pic>
      <xdr:nvPicPr>
        <xdr:cNvPr id="1607" name="Picture@5C\QPendientes@" descr="@5C\QPendientes@">
          <a:extLst>
            <a:ext uri="{FF2B5EF4-FFF2-40B4-BE49-F238E27FC236}">
              <a16:creationId xmlns:a16="http://schemas.microsoft.com/office/drawing/2014/main" id="{A666311D-4061-4CE9-861B-929074CD76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50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133350</xdr:rowOff>
    </xdr:to>
    <xdr:pic>
      <xdr:nvPicPr>
        <xdr:cNvPr id="1608" name="Picture@5C\QPendientes@" descr="@5C\QPendientes@">
          <a:extLst>
            <a:ext uri="{FF2B5EF4-FFF2-40B4-BE49-F238E27FC236}">
              <a16:creationId xmlns:a16="http://schemas.microsoft.com/office/drawing/2014/main" id="{CEA4D3FE-E698-476F-8F66-C935263F7D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68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133350</xdr:rowOff>
    </xdr:to>
    <xdr:pic>
      <xdr:nvPicPr>
        <xdr:cNvPr id="1609" name="Picture@5C\QPendientes@" descr="@5C\QPendientes@">
          <a:extLst>
            <a:ext uri="{FF2B5EF4-FFF2-40B4-BE49-F238E27FC236}">
              <a16:creationId xmlns:a16="http://schemas.microsoft.com/office/drawing/2014/main" id="{5B5AAAD2-D611-4CBD-B860-FC70A21CDA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86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133350</xdr:rowOff>
    </xdr:to>
    <xdr:pic>
      <xdr:nvPicPr>
        <xdr:cNvPr id="1610" name="Picture@5C\QPendientes@" descr="@5C\QPendientes@">
          <a:extLst>
            <a:ext uri="{FF2B5EF4-FFF2-40B4-BE49-F238E27FC236}">
              <a16:creationId xmlns:a16="http://schemas.microsoft.com/office/drawing/2014/main" id="{D9F2C697-E555-4A10-B96B-76CAFF8089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05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133350</xdr:rowOff>
    </xdr:to>
    <xdr:pic>
      <xdr:nvPicPr>
        <xdr:cNvPr id="1611" name="Picture@5C\QPendientes@" descr="@5C\QPendientes@">
          <a:extLst>
            <a:ext uri="{FF2B5EF4-FFF2-40B4-BE49-F238E27FC236}">
              <a16:creationId xmlns:a16="http://schemas.microsoft.com/office/drawing/2014/main" id="{53C8BCFE-D3D5-4A08-A9BB-BD03E6822F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23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133350</xdr:rowOff>
    </xdr:to>
    <xdr:pic>
      <xdr:nvPicPr>
        <xdr:cNvPr id="1612" name="Picture@5C\QPendientes@" descr="@5C\QPendientes@">
          <a:extLst>
            <a:ext uri="{FF2B5EF4-FFF2-40B4-BE49-F238E27FC236}">
              <a16:creationId xmlns:a16="http://schemas.microsoft.com/office/drawing/2014/main" id="{62B77519-F6E0-41CA-9788-A65525BB3A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41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133350</xdr:rowOff>
    </xdr:to>
    <xdr:pic>
      <xdr:nvPicPr>
        <xdr:cNvPr id="1613" name="Picture@5C\QPendientes@" descr="@5C\QPendientes@">
          <a:extLst>
            <a:ext uri="{FF2B5EF4-FFF2-40B4-BE49-F238E27FC236}">
              <a16:creationId xmlns:a16="http://schemas.microsoft.com/office/drawing/2014/main" id="{5A374B55-F18E-48EF-9AD3-AC24EC937C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59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133350</xdr:rowOff>
    </xdr:to>
    <xdr:pic>
      <xdr:nvPicPr>
        <xdr:cNvPr id="1614" name="Picture@5C\QPendientes@" descr="@5C\QPendientes@">
          <a:extLst>
            <a:ext uri="{FF2B5EF4-FFF2-40B4-BE49-F238E27FC236}">
              <a16:creationId xmlns:a16="http://schemas.microsoft.com/office/drawing/2014/main" id="{18E248AA-6B6F-4BA1-A79A-739ADB6100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78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133350</xdr:rowOff>
    </xdr:to>
    <xdr:pic>
      <xdr:nvPicPr>
        <xdr:cNvPr id="1615" name="Picture@5C\QPendientes@" descr="@5C\QPendientes@">
          <a:extLst>
            <a:ext uri="{FF2B5EF4-FFF2-40B4-BE49-F238E27FC236}">
              <a16:creationId xmlns:a16="http://schemas.microsoft.com/office/drawing/2014/main" id="{273F00A2-2224-48CF-A13B-3FE590084E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96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133350</xdr:rowOff>
    </xdr:to>
    <xdr:pic>
      <xdr:nvPicPr>
        <xdr:cNvPr id="1616" name="Picture@5C\QPendientes@" descr="@5C\QPendientes@">
          <a:extLst>
            <a:ext uri="{FF2B5EF4-FFF2-40B4-BE49-F238E27FC236}">
              <a16:creationId xmlns:a16="http://schemas.microsoft.com/office/drawing/2014/main" id="{2325FA88-8F88-4DC4-903E-6C41640BFC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14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133350</xdr:rowOff>
    </xdr:to>
    <xdr:pic>
      <xdr:nvPicPr>
        <xdr:cNvPr id="1617" name="Picture@5C\QPendientes@" descr="@5C\QPendientes@">
          <a:extLst>
            <a:ext uri="{FF2B5EF4-FFF2-40B4-BE49-F238E27FC236}">
              <a16:creationId xmlns:a16="http://schemas.microsoft.com/office/drawing/2014/main" id="{3EB0F18D-E050-47A0-8F6B-13DD16F8DB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33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133350</xdr:rowOff>
    </xdr:to>
    <xdr:pic>
      <xdr:nvPicPr>
        <xdr:cNvPr id="1618" name="Picture@5C\QPendientes@" descr="@5C\QPendientes@">
          <a:extLst>
            <a:ext uri="{FF2B5EF4-FFF2-40B4-BE49-F238E27FC236}">
              <a16:creationId xmlns:a16="http://schemas.microsoft.com/office/drawing/2014/main" id="{5695D140-FC14-4398-A4D1-348F88ACEE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51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133350</xdr:rowOff>
    </xdr:to>
    <xdr:pic>
      <xdr:nvPicPr>
        <xdr:cNvPr id="1619" name="Picture@5C\QPendientes@" descr="@5C\QPendientes@">
          <a:extLst>
            <a:ext uri="{FF2B5EF4-FFF2-40B4-BE49-F238E27FC236}">
              <a16:creationId xmlns:a16="http://schemas.microsoft.com/office/drawing/2014/main" id="{3D17306A-72BE-4BFA-BB6F-7A4B33E0D1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69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133350</xdr:rowOff>
    </xdr:to>
    <xdr:pic>
      <xdr:nvPicPr>
        <xdr:cNvPr id="1620" name="Picture@5C\QPendientes@" descr="@5C\QPendientes@">
          <a:extLst>
            <a:ext uri="{FF2B5EF4-FFF2-40B4-BE49-F238E27FC236}">
              <a16:creationId xmlns:a16="http://schemas.microsoft.com/office/drawing/2014/main" id="{3E6BF21B-60B6-4B03-9533-0860E9D525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87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133350</xdr:rowOff>
    </xdr:to>
    <xdr:pic>
      <xdr:nvPicPr>
        <xdr:cNvPr id="1621" name="Picture@5C\QPendientes@" descr="@5C\QPendientes@">
          <a:extLst>
            <a:ext uri="{FF2B5EF4-FFF2-40B4-BE49-F238E27FC236}">
              <a16:creationId xmlns:a16="http://schemas.microsoft.com/office/drawing/2014/main" id="{8578A784-3F83-4F23-AA74-6D2AF7C2F7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06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133350</xdr:rowOff>
    </xdr:to>
    <xdr:pic>
      <xdr:nvPicPr>
        <xdr:cNvPr id="1622" name="Picture@5C\QPendientes@" descr="@5C\QPendientes@">
          <a:extLst>
            <a:ext uri="{FF2B5EF4-FFF2-40B4-BE49-F238E27FC236}">
              <a16:creationId xmlns:a16="http://schemas.microsoft.com/office/drawing/2014/main" id="{0D1F9298-FF0B-4BC3-8F78-90C6BB7184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24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133350</xdr:rowOff>
    </xdr:to>
    <xdr:pic>
      <xdr:nvPicPr>
        <xdr:cNvPr id="1623" name="Picture@5C\QPendientes@" descr="@5C\QPendientes@">
          <a:extLst>
            <a:ext uri="{FF2B5EF4-FFF2-40B4-BE49-F238E27FC236}">
              <a16:creationId xmlns:a16="http://schemas.microsoft.com/office/drawing/2014/main" id="{4252A77E-3561-4F2E-83B7-B5EB07EBE0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42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133350</xdr:rowOff>
    </xdr:to>
    <xdr:pic>
      <xdr:nvPicPr>
        <xdr:cNvPr id="1624" name="Picture@5C\QPendientes@" descr="@5C\QPendientes@">
          <a:extLst>
            <a:ext uri="{FF2B5EF4-FFF2-40B4-BE49-F238E27FC236}">
              <a16:creationId xmlns:a16="http://schemas.microsoft.com/office/drawing/2014/main" id="{56765E61-5140-44CF-988A-326ADE573D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61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133350</xdr:rowOff>
    </xdr:to>
    <xdr:pic>
      <xdr:nvPicPr>
        <xdr:cNvPr id="1625" name="Picture@5C\QPendientes@" descr="@5C\QPendientes@">
          <a:extLst>
            <a:ext uri="{FF2B5EF4-FFF2-40B4-BE49-F238E27FC236}">
              <a16:creationId xmlns:a16="http://schemas.microsoft.com/office/drawing/2014/main" id="{2CEB4A29-F5E7-4A94-B07E-E469147496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79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133350</xdr:rowOff>
    </xdr:to>
    <xdr:pic>
      <xdr:nvPicPr>
        <xdr:cNvPr id="1626" name="Picture@5C\QPendientes@" descr="@5C\QPendientes@">
          <a:extLst>
            <a:ext uri="{FF2B5EF4-FFF2-40B4-BE49-F238E27FC236}">
              <a16:creationId xmlns:a16="http://schemas.microsoft.com/office/drawing/2014/main" id="{BB514DFC-5CD5-40D0-A61B-55B42E2A39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97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133350</xdr:rowOff>
    </xdr:to>
    <xdr:pic>
      <xdr:nvPicPr>
        <xdr:cNvPr id="1627" name="Picture@5C\QPendientes@" descr="@5C\QPendientes@">
          <a:extLst>
            <a:ext uri="{FF2B5EF4-FFF2-40B4-BE49-F238E27FC236}">
              <a16:creationId xmlns:a16="http://schemas.microsoft.com/office/drawing/2014/main" id="{71BDCD95-3CF2-42F2-8DB0-C9B26EA315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15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133350</xdr:rowOff>
    </xdr:to>
    <xdr:pic>
      <xdr:nvPicPr>
        <xdr:cNvPr id="1628" name="Picture@5C\QPendientes@" descr="@5C\QPendientes@">
          <a:extLst>
            <a:ext uri="{FF2B5EF4-FFF2-40B4-BE49-F238E27FC236}">
              <a16:creationId xmlns:a16="http://schemas.microsoft.com/office/drawing/2014/main" id="{8ACA366C-B5E7-437D-A7B6-E028449D2E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34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133350</xdr:rowOff>
    </xdr:to>
    <xdr:pic>
      <xdr:nvPicPr>
        <xdr:cNvPr id="1629" name="Picture@5C\QPendientes@" descr="@5C\QPendientes@">
          <a:extLst>
            <a:ext uri="{FF2B5EF4-FFF2-40B4-BE49-F238E27FC236}">
              <a16:creationId xmlns:a16="http://schemas.microsoft.com/office/drawing/2014/main" id="{67F354AF-5974-4C8A-A0EE-278C5E1618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52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133350</xdr:rowOff>
    </xdr:to>
    <xdr:pic>
      <xdr:nvPicPr>
        <xdr:cNvPr id="1630" name="Picture@5C\QPendientes@" descr="@5C\QPendientes@">
          <a:extLst>
            <a:ext uri="{FF2B5EF4-FFF2-40B4-BE49-F238E27FC236}">
              <a16:creationId xmlns:a16="http://schemas.microsoft.com/office/drawing/2014/main" id="{AF6D11D8-02A6-413D-9E3A-0B7D101A99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70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133350</xdr:rowOff>
    </xdr:to>
    <xdr:pic>
      <xdr:nvPicPr>
        <xdr:cNvPr id="1631" name="Picture@5C\QPendientes@" descr="@5C\QPendientes@">
          <a:extLst>
            <a:ext uri="{FF2B5EF4-FFF2-40B4-BE49-F238E27FC236}">
              <a16:creationId xmlns:a16="http://schemas.microsoft.com/office/drawing/2014/main" id="{61FAF6EF-2DE9-46FA-AD8F-651D73EE67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89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133350</xdr:rowOff>
    </xdr:to>
    <xdr:pic>
      <xdr:nvPicPr>
        <xdr:cNvPr id="1632" name="Picture@5C\QPendientes@" descr="@5C\QPendientes@">
          <a:extLst>
            <a:ext uri="{FF2B5EF4-FFF2-40B4-BE49-F238E27FC236}">
              <a16:creationId xmlns:a16="http://schemas.microsoft.com/office/drawing/2014/main" id="{72689A38-7862-4315-AF1D-701001A10C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07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133350</xdr:rowOff>
    </xdr:to>
    <xdr:pic>
      <xdr:nvPicPr>
        <xdr:cNvPr id="1633" name="Picture@5C\QPendientes@" descr="@5C\QPendientes@">
          <a:extLst>
            <a:ext uri="{FF2B5EF4-FFF2-40B4-BE49-F238E27FC236}">
              <a16:creationId xmlns:a16="http://schemas.microsoft.com/office/drawing/2014/main" id="{CD53E5AC-7B32-4BFA-9FE2-133ED0D28D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25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133350</xdr:rowOff>
    </xdr:to>
    <xdr:pic>
      <xdr:nvPicPr>
        <xdr:cNvPr id="1634" name="Picture@5C\QPendientes@" descr="@5C\QPendientes@">
          <a:extLst>
            <a:ext uri="{FF2B5EF4-FFF2-40B4-BE49-F238E27FC236}">
              <a16:creationId xmlns:a16="http://schemas.microsoft.com/office/drawing/2014/main" id="{1258E191-2FC0-4B72-B7F5-213171D267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43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133350</xdr:rowOff>
    </xdr:to>
    <xdr:pic>
      <xdr:nvPicPr>
        <xdr:cNvPr id="1635" name="Picture@5C\QPendientes@" descr="@5C\QPendientes@">
          <a:extLst>
            <a:ext uri="{FF2B5EF4-FFF2-40B4-BE49-F238E27FC236}">
              <a16:creationId xmlns:a16="http://schemas.microsoft.com/office/drawing/2014/main" id="{0367243B-45E8-48DB-A772-69FD9D6217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62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133350</xdr:rowOff>
    </xdr:to>
    <xdr:pic>
      <xdr:nvPicPr>
        <xdr:cNvPr id="1636" name="Picture@5C\QPendientes@" descr="@5C\QPendientes@">
          <a:extLst>
            <a:ext uri="{FF2B5EF4-FFF2-40B4-BE49-F238E27FC236}">
              <a16:creationId xmlns:a16="http://schemas.microsoft.com/office/drawing/2014/main" id="{2145D5AA-BC45-4117-AECE-0B704BAF42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80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133350</xdr:rowOff>
    </xdr:to>
    <xdr:pic>
      <xdr:nvPicPr>
        <xdr:cNvPr id="1637" name="Picture@5C\QPendientes@" descr="@5C\QPendientes@">
          <a:extLst>
            <a:ext uri="{FF2B5EF4-FFF2-40B4-BE49-F238E27FC236}">
              <a16:creationId xmlns:a16="http://schemas.microsoft.com/office/drawing/2014/main" id="{FC9EA71E-1EB0-436E-8824-17DFAB0E41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98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133350</xdr:rowOff>
    </xdr:to>
    <xdr:pic>
      <xdr:nvPicPr>
        <xdr:cNvPr id="1638" name="Picture@5C\QPendientes@" descr="@5C\QPendientes@">
          <a:extLst>
            <a:ext uri="{FF2B5EF4-FFF2-40B4-BE49-F238E27FC236}">
              <a16:creationId xmlns:a16="http://schemas.microsoft.com/office/drawing/2014/main" id="{994F93EF-FC8D-4113-B869-6663B2A5D6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17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133350</xdr:rowOff>
    </xdr:to>
    <xdr:pic>
      <xdr:nvPicPr>
        <xdr:cNvPr id="1639" name="Picture@5C\QPendientes@" descr="@5C\QPendientes@">
          <a:extLst>
            <a:ext uri="{FF2B5EF4-FFF2-40B4-BE49-F238E27FC236}">
              <a16:creationId xmlns:a16="http://schemas.microsoft.com/office/drawing/2014/main" id="{4B9ED71B-DD74-487D-823E-4C8FCC82A4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35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133350</xdr:rowOff>
    </xdr:to>
    <xdr:pic>
      <xdr:nvPicPr>
        <xdr:cNvPr id="1640" name="Picture@5C\QPendientes@" descr="@5C\QPendientes@">
          <a:extLst>
            <a:ext uri="{FF2B5EF4-FFF2-40B4-BE49-F238E27FC236}">
              <a16:creationId xmlns:a16="http://schemas.microsoft.com/office/drawing/2014/main" id="{D3209004-AE58-498C-8876-F85376CED9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53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133350</xdr:rowOff>
    </xdr:to>
    <xdr:pic>
      <xdr:nvPicPr>
        <xdr:cNvPr id="1641" name="Picture@5C\QPendientes@" descr="@5C\QPendientes@">
          <a:extLst>
            <a:ext uri="{FF2B5EF4-FFF2-40B4-BE49-F238E27FC236}">
              <a16:creationId xmlns:a16="http://schemas.microsoft.com/office/drawing/2014/main" id="{A9506ED4-7C49-40C4-9014-F27FE438AB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72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133350</xdr:rowOff>
    </xdr:to>
    <xdr:pic>
      <xdr:nvPicPr>
        <xdr:cNvPr id="1642" name="Picture@5C\QPendientes@" descr="@5C\QPendientes@">
          <a:extLst>
            <a:ext uri="{FF2B5EF4-FFF2-40B4-BE49-F238E27FC236}">
              <a16:creationId xmlns:a16="http://schemas.microsoft.com/office/drawing/2014/main" id="{5DDE258A-856E-47E3-9105-C7161A8D75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90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133350</xdr:rowOff>
    </xdr:to>
    <xdr:pic>
      <xdr:nvPicPr>
        <xdr:cNvPr id="1643" name="Picture@5C\QPendientes@" descr="@5C\QPendientes@">
          <a:extLst>
            <a:ext uri="{FF2B5EF4-FFF2-40B4-BE49-F238E27FC236}">
              <a16:creationId xmlns:a16="http://schemas.microsoft.com/office/drawing/2014/main" id="{84AF28F6-C18C-4035-9B36-E5C05FB99E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08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133350</xdr:rowOff>
    </xdr:to>
    <xdr:pic>
      <xdr:nvPicPr>
        <xdr:cNvPr id="1644" name="Picture@5C\QPendientes@" descr="@5C\QPendientes@">
          <a:extLst>
            <a:ext uri="{FF2B5EF4-FFF2-40B4-BE49-F238E27FC236}">
              <a16:creationId xmlns:a16="http://schemas.microsoft.com/office/drawing/2014/main" id="{D532B02A-4B3F-485B-AEF5-4660EDFD08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26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133350</xdr:rowOff>
    </xdr:to>
    <xdr:pic>
      <xdr:nvPicPr>
        <xdr:cNvPr id="1645" name="Picture@5C\QPendientes@" descr="@5C\QPendientes@">
          <a:extLst>
            <a:ext uri="{FF2B5EF4-FFF2-40B4-BE49-F238E27FC236}">
              <a16:creationId xmlns:a16="http://schemas.microsoft.com/office/drawing/2014/main" id="{E78BAB3C-A104-42CD-A5E0-4A5C190B36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45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133350</xdr:rowOff>
    </xdr:to>
    <xdr:pic>
      <xdr:nvPicPr>
        <xdr:cNvPr id="1646" name="Picture@5C\QPendientes@" descr="@5C\QPendientes@">
          <a:extLst>
            <a:ext uri="{FF2B5EF4-FFF2-40B4-BE49-F238E27FC236}">
              <a16:creationId xmlns:a16="http://schemas.microsoft.com/office/drawing/2014/main" id="{8432B703-473B-4B01-AE9F-D7B382E3AC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63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133350</xdr:rowOff>
    </xdr:to>
    <xdr:pic>
      <xdr:nvPicPr>
        <xdr:cNvPr id="1647" name="Picture@5C\QPendientes@" descr="@5C\QPendientes@">
          <a:extLst>
            <a:ext uri="{FF2B5EF4-FFF2-40B4-BE49-F238E27FC236}">
              <a16:creationId xmlns:a16="http://schemas.microsoft.com/office/drawing/2014/main" id="{A5747291-5357-4ED8-9984-68E3428CD0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81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133350</xdr:rowOff>
    </xdr:to>
    <xdr:pic>
      <xdr:nvPicPr>
        <xdr:cNvPr id="1648" name="Picture@5C\QPendientes@" descr="@5C\QPendientes@">
          <a:extLst>
            <a:ext uri="{FF2B5EF4-FFF2-40B4-BE49-F238E27FC236}">
              <a16:creationId xmlns:a16="http://schemas.microsoft.com/office/drawing/2014/main" id="{61B7FD29-AE05-49E6-B2B8-C2EE31CB24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00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133350</xdr:rowOff>
    </xdr:to>
    <xdr:pic>
      <xdr:nvPicPr>
        <xdr:cNvPr id="1649" name="Picture@5C\QPendientes@" descr="@5C\QPendientes@">
          <a:extLst>
            <a:ext uri="{FF2B5EF4-FFF2-40B4-BE49-F238E27FC236}">
              <a16:creationId xmlns:a16="http://schemas.microsoft.com/office/drawing/2014/main" id="{703C5B22-D36B-46D8-BBC3-627F68E914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18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133350</xdr:rowOff>
    </xdr:to>
    <xdr:pic>
      <xdr:nvPicPr>
        <xdr:cNvPr id="1650" name="Picture@5C\QPendientes@" descr="@5C\QPendientes@">
          <a:extLst>
            <a:ext uri="{FF2B5EF4-FFF2-40B4-BE49-F238E27FC236}">
              <a16:creationId xmlns:a16="http://schemas.microsoft.com/office/drawing/2014/main" id="{F8EA6C95-6E82-46BC-AA74-4930DD280A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36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133350</xdr:rowOff>
    </xdr:to>
    <xdr:pic>
      <xdr:nvPicPr>
        <xdr:cNvPr id="1651" name="Picture@5C\QPendientes@" descr="@5C\QPendientes@">
          <a:extLst>
            <a:ext uri="{FF2B5EF4-FFF2-40B4-BE49-F238E27FC236}">
              <a16:creationId xmlns:a16="http://schemas.microsoft.com/office/drawing/2014/main" id="{B2FCC899-9D05-4CDD-B6E5-F83A5C011B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54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133350</xdr:rowOff>
    </xdr:to>
    <xdr:pic>
      <xdr:nvPicPr>
        <xdr:cNvPr id="1652" name="Picture@5C\QPendientes@" descr="@5C\QPendientes@">
          <a:extLst>
            <a:ext uri="{FF2B5EF4-FFF2-40B4-BE49-F238E27FC236}">
              <a16:creationId xmlns:a16="http://schemas.microsoft.com/office/drawing/2014/main" id="{4921224E-BB5F-429D-8B9F-F646592FE6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73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133350</xdr:rowOff>
    </xdr:to>
    <xdr:pic>
      <xdr:nvPicPr>
        <xdr:cNvPr id="1653" name="Picture@5C\QPendientes@" descr="@5C\QPendientes@">
          <a:extLst>
            <a:ext uri="{FF2B5EF4-FFF2-40B4-BE49-F238E27FC236}">
              <a16:creationId xmlns:a16="http://schemas.microsoft.com/office/drawing/2014/main" id="{80FE19F3-86DD-431C-B596-781D8E9088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91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133350</xdr:rowOff>
    </xdr:to>
    <xdr:pic>
      <xdr:nvPicPr>
        <xdr:cNvPr id="1654" name="Picture@5C\QPendientes@" descr="@5C\QPendientes@">
          <a:extLst>
            <a:ext uri="{FF2B5EF4-FFF2-40B4-BE49-F238E27FC236}">
              <a16:creationId xmlns:a16="http://schemas.microsoft.com/office/drawing/2014/main" id="{7516A0F9-0AE7-434E-BF9F-F3D05D1E6E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09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133350</xdr:rowOff>
    </xdr:to>
    <xdr:pic>
      <xdr:nvPicPr>
        <xdr:cNvPr id="1655" name="Picture@5C\QPendientes@" descr="@5C\QPendientes@">
          <a:extLst>
            <a:ext uri="{FF2B5EF4-FFF2-40B4-BE49-F238E27FC236}">
              <a16:creationId xmlns:a16="http://schemas.microsoft.com/office/drawing/2014/main" id="{8EE0030A-3E4E-415B-94AE-7C9BBA86B3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28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133350</xdr:rowOff>
    </xdr:to>
    <xdr:pic>
      <xdr:nvPicPr>
        <xdr:cNvPr id="1656" name="Picture@5C\QPendientes@" descr="@5C\QPendientes@">
          <a:extLst>
            <a:ext uri="{FF2B5EF4-FFF2-40B4-BE49-F238E27FC236}">
              <a16:creationId xmlns:a16="http://schemas.microsoft.com/office/drawing/2014/main" id="{7D708CB3-A4D5-419C-9271-1B02388163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46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133350</xdr:rowOff>
    </xdr:to>
    <xdr:pic>
      <xdr:nvPicPr>
        <xdr:cNvPr id="1657" name="Picture@5C\QPendientes@" descr="@5C\QPendientes@">
          <a:extLst>
            <a:ext uri="{FF2B5EF4-FFF2-40B4-BE49-F238E27FC236}">
              <a16:creationId xmlns:a16="http://schemas.microsoft.com/office/drawing/2014/main" id="{E4E0E904-5248-4DDC-9591-A3908B5EAC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64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133350</xdr:rowOff>
    </xdr:to>
    <xdr:pic>
      <xdr:nvPicPr>
        <xdr:cNvPr id="1658" name="Picture@5C\QPendientes@" descr="@5C\QPendientes@">
          <a:extLst>
            <a:ext uri="{FF2B5EF4-FFF2-40B4-BE49-F238E27FC236}">
              <a16:creationId xmlns:a16="http://schemas.microsoft.com/office/drawing/2014/main" id="{36F4D6F8-0985-4D6A-BE07-4AAD6E9975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82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133350</xdr:rowOff>
    </xdr:to>
    <xdr:pic>
      <xdr:nvPicPr>
        <xdr:cNvPr id="1659" name="Picture@5C\QPendientes@" descr="@5C\QPendientes@">
          <a:extLst>
            <a:ext uri="{FF2B5EF4-FFF2-40B4-BE49-F238E27FC236}">
              <a16:creationId xmlns:a16="http://schemas.microsoft.com/office/drawing/2014/main" id="{0200C760-1A01-4B31-9E72-5932DC3B95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01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133350</xdr:rowOff>
    </xdr:to>
    <xdr:pic>
      <xdr:nvPicPr>
        <xdr:cNvPr id="1660" name="Picture@5C\QPendientes@" descr="@5C\QPendientes@">
          <a:extLst>
            <a:ext uri="{FF2B5EF4-FFF2-40B4-BE49-F238E27FC236}">
              <a16:creationId xmlns:a16="http://schemas.microsoft.com/office/drawing/2014/main" id="{04F1E76F-FB83-4D91-972C-35B959F611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19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133350</xdr:rowOff>
    </xdr:to>
    <xdr:pic>
      <xdr:nvPicPr>
        <xdr:cNvPr id="1661" name="Picture@5C\QPendientes@" descr="@5C\QPendientes@">
          <a:extLst>
            <a:ext uri="{FF2B5EF4-FFF2-40B4-BE49-F238E27FC236}">
              <a16:creationId xmlns:a16="http://schemas.microsoft.com/office/drawing/2014/main" id="{A8F7849E-7B42-4E93-8592-8BDACED341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37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133350</xdr:rowOff>
    </xdr:to>
    <xdr:pic>
      <xdr:nvPicPr>
        <xdr:cNvPr id="1662" name="Picture@5C\QPendientes@" descr="@5C\QPendientes@">
          <a:extLst>
            <a:ext uri="{FF2B5EF4-FFF2-40B4-BE49-F238E27FC236}">
              <a16:creationId xmlns:a16="http://schemas.microsoft.com/office/drawing/2014/main" id="{D6035646-CCA0-4617-B6A3-B52E8C9B0B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56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133350</xdr:rowOff>
    </xdr:to>
    <xdr:pic>
      <xdr:nvPicPr>
        <xdr:cNvPr id="1663" name="Picture@5C\QPendientes@" descr="@5C\QPendientes@">
          <a:extLst>
            <a:ext uri="{FF2B5EF4-FFF2-40B4-BE49-F238E27FC236}">
              <a16:creationId xmlns:a16="http://schemas.microsoft.com/office/drawing/2014/main" id="{57C30351-497E-4439-9DE1-8B88CEBDE5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74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133350</xdr:rowOff>
    </xdr:to>
    <xdr:pic>
      <xdr:nvPicPr>
        <xdr:cNvPr id="1664" name="Picture@5C\QPendientes@" descr="@5C\QPendientes@">
          <a:extLst>
            <a:ext uri="{FF2B5EF4-FFF2-40B4-BE49-F238E27FC236}">
              <a16:creationId xmlns:a16="http://schemas.microsoft.com/office/drawing/2014/main" id="{8FD7BBE3-CB99-4EDF-8E19-94EE27C50B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92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133350</xdr:rowOff>
    </xdr:to>
    <xdr:pic>
      <xdr:nvPicPr>
        <xdr:cNvPr id="1665" name="Picture@5C\QPendientes@" descr="@5C\QPendientes@">
          <a:extLst>
            <a:ext uri="{FF2B5EF4-FFF2-40B4-BE49-F238E27FC236}">
              <a16:creationId xmlns:a16="http://schemas.microsoft.com/office/drawing/2014/main" id="{141783C4-4291-4474-A9DA-E1C0217A19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10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133350</xdr:rowOff>
    </xdr:to>
    <xdr:pic>
      <xdr:nvPicPr>
        <xdr:cNvPr id="1666" name="Picture@5C\QPendientes@" descr="@5C\QPendientes@">
          <a:extLst>
            <a:ext uri="{FF2B5EF4-FFF2-40B4-BE49-F238E27FC236}">
              <a16:creationId xmlns:a16="http://schemas.microsoft.com/office/drawing/2014/main" id="{88030D93-9A2D-4ED7-A3FB-F4EC4B5CA5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29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133350</xdr:rowOff>
    </xdr:to>
    <xdr:pic>
      <xdr:nvPicPr>
        <xdr:cNvPr id="1667" name="Picture@5C\QPendientes@" descr="@5C\QPendientes@">
          <a:extLst>
            <a:ext uri="{FF2B5EF4-FFF2-40B4-BE49-F238E27FC236}">
              <a16:creationId xmlns:a16="http://schemas.microsoft.com/office/drawing/2014/main" id="{29DF29A5-52EB-409D-BA13-DB723B70A3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47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133350</xdr:rowOff>
    </xdr:to>
    <xdr:pic>
      <xdr:nvPicPr>
        <xdr:cNvPr id="1668" name="Picture@5C\QPendientes@" descr="@5C\QPendientes@">
          <a:extLst>
            <a:ext uri="{FF2B5EF4-FFF2-40B4-BE49-F238E27FC236}">
              <a16:creationId xmlns:a16="http://schemas.microsoft.com/office/drawing/2014/main" id="{8428E98D-7E58-4A5D-ADA8-F215F2889C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65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133350</xdr:rowOff>
    </xdr:to>
    <xdr:pic>
      <xdr:nvPicPr>
        <xdr:cNvPr id="1669" name="Picture@5C\QPendientes@" descr="@5C\QPendientes@">
          <a:extLst>
            <a:ext uri="{FF2B5EF4-FFF2-40B4-BE49-F238E27FC236}">
              <a16:creationId xmlns:a16="http://schemas.microsoft.com/office/drawing/2014/main" id="{E5BE9D76-9178-4E0B-A16C-8FE721CA43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84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133350</xdr:rowOff>
    </xdr:to>
    <xdr:pic>
      <xdr:nvPicPr>
        <xdr:cNvPr id="1670" name="Picture@5C\QPendientes@" descr="@5C\QPendientes@">
          <a:extLst>
            <a:ext uri="{FF2B5EF4-FFF2-40B4-BE49-F238E27FC236}">
              <a16:creationId xmlns:a16="http://schemas.microsoft.com/office/drawing/2014/main" id="{EAB848B2-C03F-4D18-A311-FD2A9022D0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02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133350</xdr:rowOff>
    </xdr:to>
    <xdr:pic>
      <xdr:nvPicPr>
        <xdr:cNvPr id="1671" name="Picture@5C\QPendientes@" descr="@5C\QPendientes@">
          <a:extLst>
            <a:ext uri="{FF2B5EF4-FFF2-40B4-BE49-F238E27FC236}">
              <a16:creationId xmlns:a16="http://schemas.microsoft.com/office/drawing/2014/main" id="{5F67C1FA-CAF5-43D3-B6B5-E1B2AF7475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20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133350</xdr:rowOff>
    </xdr:to>
    <xdr:pic>
      <xdr:nvPicPr>
        <xdr:cNvPr id="1672" name="Picture@5C\QPendientes@" descr="@5C\QPendientes@">
          <a:extLst>
            <a:ext uri="{FF2B5EF4-FFF2-40B4-BE49-F238E27FC236}">
              <a16:creationId xmlns:a16="http://schemas.microsoft.com/office/drawing/2014/main" id="{0C4E0C99-FCE2-4955-9287-AC2559483F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38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133350</xdr:rowOff>
    </xdr:to>
    <xdr:pic>
      <xdr:nvPicPr>
        <xdr:cNvPr id="1673" name="Picture@5C\QPendientes@" descr="@5C\QPendientes@">
          <a:extLst>
            <a:ext uri="{FF2B5EF4-FFF2-40B4-BE49-F238E27FC236}">
              <a16:creationId xmlns:a16="http://schemas.microsoft.com/office/drawing/2014/main" id="{CDB0B3CE-2594-4D39-ADBF-4985C27730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57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133350</xdr:rowOff>
    </xdr:to>
    <xdr:pic>
      <xdr:nvPicPr>
        <xdr:cNvPr id="1674" name="Picture@5C\QPendientes@" descr="@5C\QPendientes@">
          <a:extLst>
            <a:ext uri="{FF2B5EF4-FFF2-40B4-BE49-F238E27FC236}">
              <a16:creationId xmlns:a16="http://schemas.microsoft.com/office/drawing/2014/main" id="{C68CEC25-7E26-4DAC-9973-A0CE6A0C90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75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133350</xdr:rowOff>
    </xdr:to>
    <xdr:pic>
      <xdr:nvPicPr>
        <xdr:cNvPr id="1675" name="Picture@5C\QPendientes@" descr="@5C\QPendientes@">
          <a:extLst>
            <a:ext uri="{FF2B5EF4-FFF2-40B4-BE49-F238E27FC236}">
              <a16:creationId xmlns:a16="http://schemas.microsoft.com/office/drawing/2014/main" id="{CF424E97-7F25-4647-B3B4-37D5F6421A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93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133350</xdr:rowOff>
    </xdr:to>
    <xdr:pic>
      <xdr:nvPicPr>
        <xdr:cNvPr id="1676" name="Picture@5C\QPendientes@" descr="@5C\QPendientes@">
          <a:extLst>
            <a:ext uri="{FF2B5EF4-FFF2-40B4-BE49-F238E27FC236}">
              <a16:creationId xmlns:a16="http://schemas.microsoft.com/office/drawing/2014/main" id="{1DFA0120-169C-47C1-BD53-05C6528E7B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12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133350</xdr:rowOff>
    </xdr:to>
    <xdr:pic>
      <xdr:nvPicPr>
        <xdr:cNvPr id="1677" name="Picture@5C\QPendientes@" descr="@5C\QPendientes@">
          <a:extLst>
            <a:ext uri="{FF2B5EF4-FFF2-40B4-BE49-F238E27FC236}">
              <a16:creationId xmlns:a16="http://schemas.microsoft.com/office/drawing/2014/main" id="{694BF872-50AD-42CA-9D5D-9EAE55FB88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30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133350</xdr:rowOff>
    </xdr:to>
    <xdr:pic>
      <xdr:nvPicPr>
        <xdr:cNvPr id="1678" name="Picture@5C\QPendientes@" descr="@5C\QPendientes@">
          <a:extLst>
            <a:ext uri="{FF2B5EF4-FFF2-40B4-BE49-F238E27FC236}">
              <a16:creationId xmlns:a16="http://schemas.microsoft.com/office/drawing/2014/main" id="{1FC12AF7-FA3C-4CD8-BCB3-1CFB30FE88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48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133350</xdr:rowOff>
    </xdr:to>
    <xdr:pic>
      <xdr:nvPicPr>
        <xdr:cNvPr id="1679" name="Picture@5C\QPendientes@" descr="@5C\QPendientes@">
          <a:extLst>
            <a:ext uri="{FF2B5EF4-FFF2-40B4-BE49-F238E27FC236}">
              <a16:creationId xmlns:a16="http://schemas.microsoft.com/office/drawing/2014/main" id="{CC50F408-A4F3-4201-BAED-4AEF76D3A2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66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133350</xdr:rowOff>
    </xdr:to>
    <xdr:pic>
      <xdr:nvPicPr>
        <xdr:cNvPr id="1680" name="Picture@5C\QPendientes@" descr="@5C\QPendientes@">
          <a:extLst>
            <a:ext uri="{FF2B5EF4-FFF2-40B4-BE49-F238E27FC236}">
              <a16:creationId xmlns:a16="http://schemas.microsoft.com/office/drawing/2014/main" id="{8D6B9FCC-3C45-4D52-ADA3-E195AD9340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85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133350</xdr:rowOff>
    </xdr:to>
    <xdr:pic>
      <xdr:nvPicPr>
        <xdr:cNvPr id="1681" name="Picture@5C\QPendientes@" descr="@5C\QPendientes@">
          <a:extLst>
            <a:ext uri="{FF2B5EF4-FFF2-40B4-BE49-F238E27FC236}">
              <a16:creationId xmlns:a16="http://schemas.microsoft.com/office/drawing/2014/main" id="{7D779D03-D418-4893-894E-EEDE396ABE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03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133350</xdr:rowOff>
    </xdr:to>
    <xdr:pic>
      <xdr:nvPicPr>
        <xdr:cNvPr id="1682" name="Picture@5C\QPendientes@" descr="@5C\QPendientes@">
          <a:extLst>
            <a:ext uri="{FF2B5EF4-FFF2-40B4-BE49-F238E27FC236}">
              <a16:creationId xmlns:a16="http://schemas.microsoft.com/office/drawing/2014/main" id="{6ADADB8E-C69C-4ABD-928B-E4E5A7D75F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21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133350</xdr:rowOff>
    </xdr:to>
    <xdr:pic>
      <xdr:nvPicPr>
        <xdr:cNvPr id="1683" name="Picture@5C\QPendientes@" descr="@5C\QPendientes@">
          <a:extLst>
            <a:ext uri="{FF2B5EF4-FFF2-40B4-BE49-F238E27FC236}">
              <a16:creationId xmlns:a16="http://schemas.microsoft.com/office/drawing/2014/main" id="{F752DA0A-2758-4BA3-A33C-E4C7812031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40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133350</xdr:rowOff>
    </xdr:to>
    <xdr:pic>
      <xdr:nvPicPr>
        <xdr:cNvPr id="1684" name="Picture@5C\QPendientes@" descr="@5C\QPendientes@">
          <a:extLst>
            <a:ext uri="{FF2B5EF4-FFF2-40B4-BE49-F238E27FC236}">
              <a16:creationId xmlns:a16="http://schemas.microsoft.com/office/drawing/2014/main" id="{646B323A-FEC2-45BB-BE18-5E6D6BABC8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58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133350</xdr:rowOff>
    </xdr:to>
    <xdr:pic>
      <xdr:nvPicPr>
        <xdr:cNvPr id="1685" name="Picture@5C\QPendientes@" descr="@5C\QPendientes@">
          <a:extLst>
            <a:ext uri="{FF2B5EF4-FFF2-40B4-BE49-F238E27FC236}">
              <a16:creationId xmlns:a16="http://schemas.microsoft.com/office/drawing/2014/main" id="{F5B4D011-EE35-497D-BBA7-3B20AA843D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76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133350</xdr:rowOff>
    </xdr:to>
    <xdr:pic>
      <xdr:nvPicPr>
        <xdr:cNvPr id="1686" name="Picture@5C\QPendientes@" descr="@5C\QPendientes@">
          <a:extLst>
            <a:ext uri="{FF2B5EF4-FFF2-40B4-BE49-F238E27FC236}">
              <a16:creationId xmlns:a16="http://schemas.microsoft.com/office/drawing/2014/main" id="{A5CD9A49-BDCF-4EC9-8954-71861F1D0C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94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133350</xdr:rowOff>
    </xdr:to>
    <xdr:pic>
      <xdr:nvPicPr>
        <xdr:cNvPr id="1687" name="Picture@5C\QPendientes@" descr="@5C\QPendientes@">
          <a:extLst>
            <a:ext uri="{FF2B5EF4-FFF2-40B4-BE49-F238E27FC236}">
              <a16:creationId xmlns:a16="http://schemas.microsoft.com/office/drawing/2014/main" id="{D4970BD7-7CB6-4FEC-8C72-D13782A983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13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133350</xdr:rowOff>
    </xdr:to>
    <xdr:pic>
      <xdr:nvPicPr>
        <xdr:cNvPr id="1688" name="Picture@5C\QPendientes@" descr="@5C\QPendientes@">
          <a:extLst>
            <a:ext uri="{FF2B5EF4-FFF2-40B4-BE49-F238E27FC236}">
              <a16:creationId xmlns:a16="http://schemas.microsoft.com/office/drawing/2014/main" id="{D1E21779-DED7-4AC7-92BE-6FF83E710E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31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133350</xdr:rowOff>
    </xdr:to>
    <xdr:pic>
      <xdr:nvPicPr>
        <xdr:cNvPr id="1689" name="Picture@5C\QPendientes@" descr="@5C\QPendientes@">
          <a:extLst>
            <a:ext uri="{FF2B5EF4-FFF2-40B4-BE49-F238E27FC236}">
              <a16:creationId xmlns:a16="http://schemas.microsoft.com/office/drawing/2014/main" id="{71754F49-4099-4CA9-98A3-B1EF15919C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49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133350</xdr:rowOff>
    </xdr:to>
    <xdr:pic>
      <xdr:nvPicPr>
        <xdr:cNvPr id="1690" name="Picture@5C\QPendientes@" descr="@5C\QPendientes@">
          <a:extLst>
            <a:ext uri="{FF2B5EF4-FFF2-40B4-BE49-F238E27FC236}">
              <a16:creationId xmlns:a16="http://schemas.microsoft.com/office/drawing/2014/main" id="{B8B34EBB-10E2-4CEC-9565-292E817ACC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68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133350</xdr:rowOff>
    </xdr:to>
    <xdr:pic>
      <xdr:nvPicPr>
        <xdr:cNvPr id="1691" name="Picture@5C\QPendientes@" descr="@5C\QPendientes@">
          <a:extLst>
            <a:ext uri="{FF2B5EF4-FFF2-40B4-BE49-F238E27FC236}">
              <a16:creationId xmlns:a16="http://schemas.microsoft.com/office/drawing/2014/main" id="{688432E6-7F8B-498D-913C-41C44F2078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133350</xdr:rowOff>
    </xdr:to>
    <xdr:pic>
      <xdr:nvPicPr>
        <xdr:cNvPr id="1692" name="Picture@5C\QPendientes@" descr="@5C\QPendientes@">
          <a:extLst>
            <a:ext uri="{FF2B5EF4-FFF2-40B4-BE49-F238E27FC236}">
              <a16:creationId xmlns:a16="http://schemas.microsoft.com/office/drawing/2014/main" id="{9169210B-F25F-475C-BB25-E8920F1F35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04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133350</xdr:rowOff>
    </xdr:to>
    <xdr:pic>
      <xdr:nvPicPr>
        <xdr:cNvPr id="1693" name="Picture@5C\QPendientes@" descr="@5C\QPendientes@">
          <a:extLst>
            <a:ext uri="{FF2B5EF4-FFF2-40B4-BE49-F238E27FC236}">
              <a16:creationId xmlns:a16="http://schemas.microsoft.com/office/drawing/2014/main" id="{3FCF2D89-2683-4C91-8CA5-5891D9B9F1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22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133350</xdr:rowOff>
    </xdr:to>
    <xdr:pic>
      <xdr:nvPicPr>
        <xdr:cNvPr id="1694" name="Picture@5C\QPendientes@" descr="@5C\QPendientes@">
          <a:extLst>
            <a:ext uri="{FF2B5EF4-FFF2-40B4-BE49-F238E27FC236}">
              <a16:creationId xmlns:a16="http://schemas.microsoft.com/office/drawing/2014/main" id="{B43F157A-DAF0-4395-86F1-ABBF2A1887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41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133350</xdr:rowOff>
    </xdr:to>
    <xdr:pic>
      <xdr:nvPicPr>
        <xdr:cNvPr id="1695" name="Picture@5C\QPendientes@" descr="@5C\QPendientes@">
          <a:extLst>
            <a:ext uri="{FF2B5EF4-FFF2-40B4-BE49-F238E27FC236}">
              <a16:creationId xmlns:a16="http://schemas.microsoft.com/office/drawing/2014/main" id="{68645900-551C-4216-A8C3-9E657B9C23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59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133350</xdr:rowOff>
    </xdr:to>
    <xdr:pic>
      <xdr:nvPicPr>
        <xdr:cNvPr id="1696" name="Picture@5C\QPendientes@" descr="@5C\QPendientes@">
          <a:extLst>
            <a:ext uri="{FF2B5EF4-FFF2-40B4-BE49-F238E27FC236}">
              <a16:creationId xmlns:a16="http://schemas.microsoft.com/office/drawing/2014/main" id="{AD81C309-135F-4487-B96A-46B85A8621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77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133350</xdr:rowOff>
    </xdr:to>
    <xdr:pic>
      <xdr:nvPicPr>
        <xdr:cNvPr id="1697" name="Picture@5C\QPendientes@" descr="@5C\QPendientes@">
          <a:extLst>
            <a:ext uri="{FF2B5EF4-FFF2-40B4-BE49-F238E27FC236}">
              <a16:creationId xmlns:a16="http://schemas.microsoft.com/office/drawing/2014/main" id="{A5AD746C-8308-4D4E-8818-6DD81BDC83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96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133350</xdr:rowOff>
    </xdr:to>
    <xdr:pic>
      <xdr:nvPicPr>
        <xdr:cNvPr id="1698" name="Picture@5C\QPendientes@" descr="@5C\QPendientes@">
          <a:extLst>
            <a:ext uri="{FF2B5EF4-FFF2-40B4-BE49-F238E27FC236}">
              <a16:creationId xmlns:a16="http://schemas.microsoft.com/office/drawing/2014/main" id="{639622C5-2791-480F-AB5D-AAA625A3A9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14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133350</xdr:rowOff>
    </xdr:to>
    <xdr:pic>
      <xdr:nvPicPr>
        <xdr:cNvPr id="1699" name="Picture@5C\QPendientes@" descr="@5C\QPendientes@">
          <a:extLst>
            <a:ext uri="{FF2B5EF4-FFF2-40B4-BE49-F238E27FC236}">
              <a16:creationId xmlns:a16="http://schemas.microsoft.com/office/drawing/2014/main" id="{87A8466A-FA34-404A-A65B-BE59D83EFB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32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133350</xdr:rowOff>
    </xdr:to>
    <xdr:pic>
      <xdr:nvPicPr>
        <xdr:cNvPr id="1700" name="Picture@5C\QPendientes@" descr="@5C\QPendientes@">
          <a:extLst>
            <a:ext uri="{FF2B5EF4-FFF2-40B4-BE49-F238E27FC236}">
              <a16:creationId xmlns:a16="http://schemas.microsoft.com/office/drawing/2014/main" id="{9A7A15A8-D7E8-45EA-B096-3AA7653D53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50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133350</xdr:rowOff>
    </xdr:to>
    <xdr:pic>
      <xdr:nvPicPr>
        <xdr:cNvPr id="1701" name="Picture@5C\QPendientes@" descr="@5C\QPendientes@">
          <a:extLst>
            <a:ext uri="{FF2B5EF4-FFF2-40B4-BE49-F238E27FC236}">
              <a16:creationId xmlns:a16="http://schemas.microsoft.com/office/drawing/2014/main" id="{9867EB0E-1411-41C5-B065-7EC3BA67C4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69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133350</xdr:rowOff>
    </xdr:to>
    <xdr:pic>
      <xdr:nvPicPr>
        <xdr:cNvPr id="1702" name="Picture@5C\QPendientes@" descr="@5C\QPendientes@">
          <a:extLst>
            <a:ext uri="{FF2B5EF4-FFF2-40B4-BE49-F238E27FC236}">
              <a16:creationId xmlns:a16="http://schemas.microsoft.com/office/drawing/2014/main" id="{397F9608-73E8-4959-A227-DC15A8F3C3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87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171450</xdr:colOff>
      <xdr:row>312</xdr:row>
      <xdr:rowOff>133350</xdr:rowOff>
    </xdr:to>
    <xdr:pic>
      <xdr:nvPicPr>
        <xdr:cNvPr id="1703" name="Picture@5C\QPendientes@" descr="@5C\QPendientes@">
          <a:extLst>
            <a:ext uri="{FF2B5EF4-FFF2-40B4-BE49-F238E27FC236}">
              <a16:creationId xmlns:a16="http://schemas.microsoft.com/office/drawing/2014/main" id="{67F5302D-B487-4E86-AB32-AFFB317D93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05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133350</xdr:rowOff>
    </xdr:to>
    <xdr:pic>
      <xdr:nvPicPr>
        <xdr:cNvPr id="1704" name="Picture@5C\QPendientes@" descr="@5C\QPendientes@">
          <a:extLst>
            <a:ext uri="{FF2B5EF4-FFF2-40B4-BE49-F238E27FC236}">
              <a16:creationId xmlns:a16="http://schemas.microsoft.com/office/drawing/2014/main" id="{AC3AB368-0EF4-405A-8C1D-DB5CF7D3D0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24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</xdr:row>
      <xdr:rowOff>0</xdr:rowOff>
    </xdr:from>
    <xdr:to>
      <xdr:col>0</xdr:col>
      <xdr:colOff>171450</xdr:colOff>
      <xdr:row>314</xdr:row>
      <xdr:rowOff>133350</xdr:rowOff>
    </xdr:to>
    <xdr:pic>
      <xdr:nvPicPr>
        <xdr:cNvPr id="1705" name="Picture@5C\QPendientes@" descr="@5C\QPendientes@">
          <a:extLst>
            <a:ext uri="{FF2B5EF4-FFF2-40B4-BE49-F238E27FC236}">
              <a16:creationId xmlns:a16="http://schemas.microsoft.com/office/drawing/2014/main" id="{D9A912AC-E227-4879-B7D9-1710505412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42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133350</xdr:rowOff>
    </xdr:to>
    <xdr:pic>
      <xdr:nvPicPr>
        <xdr:cNvPr id="1706" name="Picture@5C\QPendientes@" descr="@5C\QPendientes@">
          <a:extLst>
            <a:ext uri="{FF2B5EF4-FFF2-40B4-BE49-F238E27FC236}">
              <a16:creationId xmlns:a16="http://schemas.microsoft.com/office/drawing/2014/main" id="{D01E64BF-22AE-4983-9775-6158074FEB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60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133350</xdr:rowOff>
    </xdr:to>
    <xdr:pic>
      <xdr:nvPicPr>
        <xdr:cNvPr id="1707" name="Picture@5C\QPendientes@" descr="@5C\QPendientes@">
          <a:extLst>
            <a:ext uri="{FF2B5EF4-FFF2-40B4-BE49-F238E27FC236}">
              <a16:creationId xmlns:a16="http://schemas.microsoft.com/office/drawing/2014/main" id="{069711E0-B531-4294-947B-33DC93AB04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79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133350</xdr:rowOff>
    </xdr:to>
    <xdr:pic>
      <xdr:nvPicPr>
        <xdr:cNvPr id="1708" name="Picture@5C\QPendientes@" descr="@5C\QPendientes@">
          <a:extLst>
            <a:ext uri="{FF2B5EF4-FFF2-40B4-BE49-F238E27FC236}">
              <a16:creationId xmlns:a16="http://schemas.microsoft.com/office/drawing/2014/main" id="{7E57E955-715A-4821-A486-397DCD8BBE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97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133350</xdr:rowOff>
    </xdr:to>
    <xdr:pic>
      <xdr:nvPicPr>
        <xdr:cNvPr id="1709" name="Picture@5C\QPendientes@" descr="@5C\QPendientes@">
          <a:extLst>
            <a:ext uri="{FF2B5EF4-FFF2-40B4-BE49-F238E27FC236}">
              <a16:creationId xmlns:a16="http://schemas.microsoft.com/office/drawing/2014/main" id="{EE2B5000-0EF7-4ADB-A5A5-1B210BFCDF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15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171450</xdr:colOff>
      <xdr:row>319</xdr:row>
      <xdr:rowOff>133350</xdr:rowOff>
    </xdr:to>
    <xdr:pic>
      <xdr:nvPicPr>
        <xdr:cNvPr id="1710" name="Picture@5C\QPendientes@" descr="@5C\QPendientes@">
          <a:extLst>
            <a:ext uri="{FF2B5EF4-FFF2-40B4-BE49-F238E27FC236}">
              <a16:creationId xmlns:a16="http://schemas.microsoft.com/office/drawing/2014/main" id="{A629BDBA-6924-4AFE-A468-A284E2169A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33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133350</xdr:rowOff>
    </xdr:to>
    <xdr:pic>
      <xdr:nvPicPr>
        <xdr:cNvPr id="1711" name="Picture@5C\QPendientes@" descr="@5C\QPendientes@">
          <a:extLst>
            <a:ext uri="{FF2B5EF4-FFF2-40B4-BE49-F238E27FC236}">
              <a16:creationId xmlns:a16="http://schemas.microsoft.com/office/drawing/2014/main" id="{5175459D-5168-4870-B8EA-D965A81B70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52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133350</xdr:rowOff>
    </xdr:to>
    <xdr:pic>
      <xdr:nvPicPr>
        <xdr:cNvPr id="1712" name="Picture@5C\QPendientes@" descr="@5C\QPendientes@">
          <a:extLst>
            <a:ext uri="{FF2B5EF4-FFF2-40B4-BE49-F238E27FC236}">
              <a16:creationId xmlns:a16="http://schemas.microsoft.com/office/drawing/2014/main" id="{8EC23CAB-CFFB-49E9-BEE2-76E5B59C4D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70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171450</xdr:colOff>
      <xdr:row>322</xdr:row>
      <xdr:rowOff>133350</xdr:rowOff>
    </xdr:to>
    <xdr:pic>
      <xdr:nvPicPr>
        <xdr:cNvPr id="1713" name="Picture@5C\QPendientes@" descr="@5C\QPendientes@">
          <a:extLst>
            <a:ext uri="{FF2B5EF4-FFF2-40B4-BE49-F238E27FC236}">
              <a16:creationId xmlns:a16="http://schemas.microsoft.com/office/drawing/2014/main" id="{FD10AC20-C25A-4EB4-97D4-118C44F69F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88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171450</xdr:colOff>
      <xdr:row>323</xdr:row>
      <xdr:rowOff>133350</xdr:rowOff>
    </xdr:to>
    <xdr:pic>
      <xdr:nvPicPr>
        <xdr:cNvPr id="1714" name="Picture@5C\QPendientes@" descr="@5C\QPendientes@">
          <a:extLst>
            <a:ext uri="{FF2B5EF4-FFF2-40B4-BE49-F238E27FC236}">
              <a16:creationId xmlns:a16="http://schemas.microsoft.com/office/drawing/2014/main" id="{7148CE4A-334A-441C-ABB6-33EF902A0A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07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133350</xdr:rowOff>
    </xdr:to>
    <xdr:pic>
      <xdr:nvPicPr>
        <xdr:cNvPr id="1715" name="Picture@5C\QPendientes@" descr="@5C\QPendientes@">
          <a:extLst>
            <a:ext uri="{FF2B5EF4-FFF2-40B4-BE49-F238E27FC236}">
              <a16:creationId xmlns:a16="http://schemas.microsoft.com/office/drawing/2014/main" id="{DCE79D1B-6798-47FE-A5D0-F9927B122B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25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</xdr:row>
      <xdr:rowOff>0</xdr:rowOff>
    </xdr:from>
    <xdr:to>
      <xdr:col>0</xdr:col>
      <xdr:colOff>171450</xdr:colOff>
      <xdr:row>325</xdr:row>
      <xdr:rowOff>133350</xdr:rowOff>
    </xdr:to>
    <xdr:pic>
      <xdr:nvPicPr>
        <xdr:cNvPr id="1716" name="Picture@5C\QPendientes@" descr="@5C\QPendientes@">
          <a:extLst>
            <a:ext uri="{FF2B5EF4-FFF2-40B4-BE49-F238E27FC236}">
              <a16:creationId xmlns:a16="http://schemas.microsoft.com/office/drawing/2014/main" id="{4351EBD9-E1A8-47F7-B751-29E84C3096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43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</xdr:row>
      <xdr:rowOff>0</xdr:rowOff>
    </xdr:from>
    <xdr:to>
      <xdr:col>0</xdr:col>
      <xdr:colOff>171450</xdr:colOff>
      <xdr:row>326</xdr:row>
      <xdr:rowOff>133350</xdr:rowOff>
    </xdr:to>
    <xdr:pic>
      <xdr:nvPicPr>
        <xdr:cNvPr id="1717" name="Picture@5C\QPendientes@" descr="@5C\QPendientes@">
          <a:extLst>
            <a:ext uri="{FF2B5EF4-FFF2-40B4-BE49-F238E27FC236}">
              <a16:creationId xmlns:a16="http://schemas.microsoft.com/office/drawing/2014/main" id="{5AB44C75-ABF4-4110-A4A0-97F62B28C0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61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</xdr:row>
      <xdr:rowOff>0</xdr:rowOff>
    </xdr:from>
    <xdr:to>
      <xdr:col>0</xdr:col>
      <xdr:colOff>171450</xdr:colOff>
      <xdr:row>327</xdr:row>
      <xdr:rowOff>133350</xdr:rowOff>
    </xdr:to>
    <xdr:pic>
      <xdr:nvPicPr>
        <xdr:cNvPr id="1718" name="Picture@5C\QPendientes@" descr="@5C\QPendientes@">
          <a:extLst>
            <a:ext uri="{FF2B5EF4-FFF2-40B4-BE49-F238E27FC236}">
              <a16:creationId xmlns:a16="http://schemas.microsoft.com/office/drawing/2014/main" id="{EEDBB1FD-2A64-4B9A-87D1-A1E72F8364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80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</xdr:row>
      <xdr:rowOff>0</xdr:rowOff>
    </xdr:from>
    <xdr:to>
      <xdr:col>0</xdr:col>
      <xdr:colOff>171450</xdr:colOff>
      <xdr:row>328</xdr:row>
      <xdr:rowOff>133350</xdr:rowOff>
    </xdr:to>
    <xdr:pic>
      <xdr:nvPicPr>
        <xdr:cNvPr id="1719" name="Picture@5C\QPendientes@" descr="@5C\QPendientes@">
          <a:extLst>
            <a:ext uri="{FF2B5EF4-FFF2-40B4-BE49-F238E27FC236}">
              <a16:creationId xmlns:a16="http://schemas.microsoft.com/office/drawing/2014/main" id="{F2444FC6-E54C-4124-A0A6-930A5C9A33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98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</xdr:row>
      <xdr:rowOff>0</xdr:rowOff>
    </xdr:from>
    <xdr:to>
      <xdr:col>0</xdr:col>
      <xdr:colOff>171450</xdr:colOff>
      <xdr:row>329</xdr:row>
      <xdr:rowOff>133350</xdr:rowOff>
    </xdr:to>
    <xdr:pic>
      <xdr:nvPicPr>
        <xdr:cNvPr id="1720" name="Picture@5C\QPendientes@" descr="@5C\QPendientes@">
          <a:extLst>
            <a:ext uri="{FF2B5EF4-FFF2-40B4-BE49-F238E27FC236}">
              <a16:creationId xmlns:a16="http://schemas.microsoft.com/office/drawing/2014/main" id="{8079398A-338F-4D75-ADA3-83B9B6D052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16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</xdr:row>
      <xdr:rowOff>0</xdr:rowOff>
    </xdr:from>
    <xdr:to>
      <xdr:col>0</xdr:col>
      <xdr:colOff>171450</xdr:colOff>
      <xdr:row>330</xdr:row>
      <xdr:rowOff>133350</xdr:rowOff>
    </xdr:to>
    <xdr:pic>
      <xdr:nvPicPr>
        <xdr:cNvPr id="1721" name="Picture@5C\QPendientes@" descr="@5C\QPendientes@">
          <a:extLst>
            <a:ext uri="{FF2B5EF4-FFF2-40B4-BE49-F238E27FC236}">
              <a16:creationId xmlns:a16="http://schemas.microsoft.com/office/drawing/2014/main" id="{6ACD0EF0-CE1E-49B9-A4C2-66F0D5BFD8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35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</xdr:row>
      <xdr:rowOff>0</xdr:rowOff>
    </xdr:from>
    <xdr:to>
      <xdr:col>0</xdr:col>
      <xdr:colOff>171450</xdr:colOff>
      <xdr:row>331</xdr:row>
      <xdr:rowOff>133350</xdr:rowOff>
    </xdr:to>
    <xdr:pic>
      <xdr:nvPicPr>
        <xdr:cNvPr id="1722" name="Picture@5C\QPendientes@" descr="@5C\QPendientes@">
          <a:extLst>
            <a:ext uri="{FF2B5EF4-FFF2-40B4-BE49-F238E27FC236}">
              <a16:creationId xmlns:a16="http://schemas.microsoft.com/office/drawing/2014/main" id="{F1A0EF7B-3137-4717-9351-83A63C2EF4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53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</xdr:row>
      <xdr:rowOff>0</xdr:rowOff>
    </xdr:from>
    <xdr:to>
      <xdr:col>0</xdr:col>
      <xdr:colOff>171450</xdr:colOff>
      <xdr:row>332</xdr:row>
      <xdr:rowOff>133350</xdr:rowOff>
    </xdr:to>
    <xdr:pic>
      <xdr:nvPicPr>
        <xdr:cNvPr id="1723" name="Picture@5C\QPendientes@" descr="@5C\QPendientes@">
          <a:extLst>
            <a:ext uri="{FF2B5EF4-FFF2-40B4-BE49-F238E27FC236}">
              <a16:creationId xmlns:a16="http://schemas.microsoft.com/office/drawing/2014/main" id="{681EB809-8BC0-4ADA-A78D-0B98AFCF94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71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</xdr:row>
      <xdr:rowOff>0</xdr:rowOff>
    </xdr:from>
    <xdr:to>
      <xdr:col>0</xdr:col>
      <xdr:colOff>171450</xdr:colOff>
      <xdr:row>333</xdr:row>
      <xdr:rowOff>133350</xdr:rowOff>
    </xdr:to>
    <xdr:pic>
      <xdr:nvPicPr>
        <xdr:cNvPr id="1724" name="Picture@5C\QPendientes@" descr="@5C\QPendientes@">
          <a:extLst>
            <a:ext uri="{FF2B5EF4-FFF2-40B4-BE49-F238E27FC236}">
              <a16:creationId xmlns:a16="http://schemas.microsoft.com/office/drawing/2014/main" id="{66801491-AA36-4181-866D-ED34FAB575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89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</xdr:row>
      <xdr:rowOff>0</xdr:rowOff>
    </xdr:from>
    <xdr:to>
      <xdr:col>0</xdr:col>
      <xdr:colOff>171450</xdr:colOff>
      <xdr:row>334</xdr:row>
      <xdr:rowOff>133350</xdr:rowOff>
    </xdr:to>
    <xdr:pic>
      <xdr:nvPicPr>
        <xdr:cNvPr id="1725" name="Picture@5C\QPendientes@" descr="@5C\QPendientes@">
          <a:extLst>
            <a:ext uri="{FF2B5EF4-FFF2-40B4-BE49-F238E27FC236}">
              <a16:creationId xmlns:a16="http://schemas.microsoft.com/office/drawing/2014/main" id="{F8AA524F-B05B-4C2D-A0EE-74C41F69D2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08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</xdr:row>
      <xdr:rowOff>0</xdr:rowOff>
    </xdr:from>
    <xdr:to>
      <xdr:col>0</xdr:col>
      <xdr:colOff>171450</xdr:colOff>
      <xdr:row>335</xdr:row>
      <xdr:rowOff>133350</xdr:rowOff>
    </xdr:to>
    <xdr:pic>
      <xdr:nvPicPr>
        <xdr:cNvPr id="1726" name="Picture@5C\QPendientes@" descr="@5C\QPendientes@">
          <a:extLst>
            <a:ext uri="{FF2B5EF4-FFF2-40B4-BE49-F238E27FC236}">
              <a16:creationId xmlns:a16="http://schemas.microsoft.com/office/drawing/2014/main" id="{AD7D43A5-9687-4AA6-9C8C-9B6ADDDF98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26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</xdr:row>
      <xdr:rowOff>0</xdr:rowOff>
    </xdr:from>
    <xdr:to>
      <xdr:col>0</xdr:col>
      <xdr:colOff>171450</xdr:colOff>
      <xdr:row>336</xdr:row>
      <xdr:rowOff>133350</xdr:rowOff>
    </xdr:to>
    <xdr:pic>
      <xdr:nvPicPr>
        <xdr:cNvPr id="1727" name="Picture@5C\QPendientes@" descr="@5C\QPendientes@">
          <a:extLst>
            <a:ext uri="{FF2B5EF4-FFF2-40B4-BE49-F238E27FC236}">
              <a16:creationId xmlns:a16="http://schemas.microsoft.com/office/drawing/2014/main" id="{6E090AEE-62CD-486A-AA2B-39820149FA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44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</xdr:row>
      <xdr:rowOff>0</xdr:rowOff>
    </xdr:from>
    <xdr:to>
      <xdr:col>0</xdr:col>
      <xdr:colOff>171450</xdr:colOff>
      <xdr:row>337</xdr:row>
      <xdr:rowOff>133350</xdr:rowOff>
    </xdr:to>
    <xdr:pic>
      <xdr:nvPicPr>
        <xdr:cNvPr id="1728" name="Picture@5C\QPendientes@" descr="@5C\QPendientes@">
          <a:extLst>
            <a:ext uri="{FF2B5EF4-FFF2-40B4-BE49-F238E27FC236}">
              <a16:creationId xmlns:a16="http://schemas.microsoft.com/office/drawing/2014/main" id="{A22D58AA-3B67-4BB3-BF23-D8A2FB22B7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63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</xdr:row>
      <xdr:rowOff>0</xdr:rowOff>
    </xdr:from>
    <xdr:to>
      <xdr:col>0</xdr:col>
      <xdr:colOff>171450</xdr:colOff>
      <xdr:row>338</xdr:row>
      <xdr:rowOff>133350</xdr:rowOff>
    </xdr:to>
    <xdr:pic>
      <xdr:nvPicPr>
        <xdr:cNvPr id="1729" name="Picture@5C\QPendientes@" descr="@5C\QPendientes@">
          <a:extLst>
            <a:ext uri="{FF2B5EF4-FFF2-40B4-BE49-F238E27FC236}">
              <a16:creationId xmlns:a16="http://schemas.microsoft.com/office/drawing/2014/main" id="{AF59EE9D-CAEB-4203-B350-EED40DA7C2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81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</xdr:row>
      <xdr:rowOff>0</xdr:rowOff>
    </xdr:from>
    <xdr:to>
      <xdr:col>0</xdr:col>
      <xdr:colOff>171450</xdr:colOff>
      <xdr:row>339</xdr:row>
      <xdr:rowOff>133350</xdr:rowOff>
    </xdr:to>
    <xdr:pic>
      <xdr:nvPicPr>
        <xdr:cNvPr id="1730" name="Picture@5C\QPendientes@" descr="@5C\QPendientes@">
          <a:extLst>
            <a:ext uri="{FF2B5EF4-FFF2-40B4-BE49-F238E27FC236}">
              <a16:creationId xmlns:a16="http://schemas.microsoft.com/office/drawing/2014/main" id="{484024C5-9D43-432B-B53C-CC3A455628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99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</xdr:row>
      <xdr:rowOff>0</xdr:rowOff>
    </xdr:from>
    <xdr:to>
      <xdr:col>0</xdr:col>
      <xdr:colOff>171450</xdr:colOff>
      <xdr:row>340</xdr:row>
      <xdr:rowOff>133350</xdr:rowOff>
    </xdr:to>
    <xdr:pic>
      <xdr:nvPicPr>
        <xdr:cNvPr id="1731" name="Picture@5C\QPendientes@" descr="@5C\QPendientes@">
          <a:extLst>
            <a:ext uri="{FF2B5EF4-FFF2-40B4-BE49-F238E27FC236}">
              <a16:creationId xmlns:a16="http://schemas.microsoft.com/office/drawing/2014/main" id="{4485E440-C205-4B28-A70B-8DCDB135DA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17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</xdr:row>
      <xdr:rowOff>0</xdr:rowOff>
    </xdr:from>
    <xdr:to>
      <xdr:col>0</xdr:col>
      <xdr:colOff>171450</xdr:colOff>
      <xdr:row>341</xdr:row>
      <xdr:rowOff>133350</xdr:rowOff>
    </xdr:to>
    <xdr:pic>
      <xdr:nvPicPr>
        <xdr:cNvPr id="1732" name="Picture@5C\QPendientes@" descr="@5C\QPendientes@">
          <a:extLst>
            <a:ext uri="{FF2B5EF4-FFF2-40B4-BE49-F238E27FC236}">
              <a16:creationId xmlns:a16="http://schemas.microsoft.com/office/drawing/2014/main" id="{852A99DE-6FE1-460D-B5BD-5BD208F6F4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36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</xdr:row>
      <xdr:rowOff>0</xdr:rowOff>
    </xdr:from>
    <xdr:to>
      <xdr:col>0</xdr:col>
      <xdr:colOff>171450</xdr:colOff>
      <xdr:row>342</xdr:row>
      <xdr:rowOff>133350</xdr:rowOff>
    </xdr:to>
    <xdr:pic>
      <xdr:nvPicPr>
        <xdr:cNvPr id="1733" name="Picture@5C\QPendientes@" descr="@5C\QPendientes@">
          <a:extLst>
            <a:ext uri="{FF2B5EF4-FFF2-40B4-BE49-F238E27FC236}">
              <a16:creationId xmlns:a16="http://schemas.microsoft.com/office/drawing/2014/main" id="{CA8D8EEF-A947-4827-AE76-E719D1078B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54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</xdr:row>
      <xdr:rowOff>0</xdr:rowOff>
    </xdr:from>
    <xdr:to>
      <xdr:col>0</xdr:col>
      <xdr:colOff>171450</xdr:colOff>
      <xdr:row>343</xdr:row>
      <xdr:rowOff>133350</xdr:rowOff>
    </xdr:to>
    <xdr:pic>
      <xdr:nvPicPr>
        <xdr:cNvPr id="1734" name="Picture@5C\QPendientes@" descr="@5C\QPendientes@">
          <a:extLst>
            <a:ext uri="{FF2B5EF4-FFF2-40B4-BE49-F238E27FC236}">
              <a16:creationId xmlns:a16="http://schemas.microsoft.com/office/drawing/2014/main" id="{A88D30FB-9EFC-4F42-A118-819350E644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72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</xdr:row>
      <xdr:rowOff>0</xdr:rowOff>
    </xdr:from>
    <xdr:to>
      <xdr:col>0</xdr:col>
      <xdr:colOff>171450</xdr:colOff>
      <xdr:row>344</xdr:row>
      <xdr:rowOff>133350</xdr:rowOff>
    </xdr:to>
    <xdr:pic>
      <xdr:nvPicPr>
        <xdr:cNvPr id="1735" name="Picture@5C\QPendientes@" descr="@5C\QPendientes@">
          <a:extLst>
            <a:ext uri="{FF2B5EF4-FFF2-40B4-BE49-F238E27FC236}">
              <a16:creationId xmlns:a16="http://schemas.microsoft.com/office/drawing/2014/main" id="{3B7D0E28-9EF7-4ED4-BF7A-B469EBB93D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91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</xdr:row>
      <xdr:rowOff>0</xdr:rowOff>
    </xdr:from>
    <xdr:to>
      <xdr:col>0</xdr:col>
      <xdr:colOff>171450</xdr:colOff>
      <xdr:row>345</xdr:row>
      <xdr:rowOff>133350</xdr:rowOff>
    </xdr:to>
    <xdr:pic>
      <xdr:nvPicPr>
        <xdr:cNvPr id="1736" name="Picture@5C\QPendientes@" descr="@5C\QPendientes@">
          <a:extLst>
            <a:ext uri="{FF2B5EF4-FFF2-40B4-BE49-F238E27FC236}">
              <a16:creationId xmlns:a16="http://schemas.microsoft.com/office/drawing/2014/main" id="{71307AB7-EF97-47FF-817C-782439DD8F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09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</xdr:row>
      <xdr:rowOff>0</xdr:rowOff>
    </xdr:from>
    <xdr:to>
      <xdr:col>0</xdr:col>
      <xdr:colOff>171450</xdr:colOff>
      <xdr:row>346</xdr:row>
      <xdr:rowOff>133350</xdr:rowOff>
    </xdr:to>
    <xdr:pic>
      <xdr:nvPicPr>
        <xdr:cNvPr id="1737" name="Picture@5C\QPendientes@" descr="@5C\QPendientes@">
          <a:extLst>
            <a:ext uri="{FF2B5EF4-FFF2-40B4-BE49-F238E27FC236}">
              <a16:creationId xmlns:a16="http://schemas.microsoft.com/office/drawing/2014/main" id="{53B66ABC-2981-412F-ADFC-70E1522D14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27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</xdr:row>
      <xdr:rowOff>0</xdr:rowOff>
    </xdr:from>
    <xdr:to>
      <xdr:col>0</xdr:col>
      <xdr:colOff>171450</xdr:colOff>
      <xdr:row>347</xdr:row>
      <xdr:rowOff>133350</xdr:rowOff>
    </xdr:to>
    <xdr:pic>
      <xdr:nvPicPr>
        <xdr:cNvPr id="1738" name="Picture@5C\QPendientes@" descr="@5C\QPendientes@">
          <a:extLst>
            <a:ext uri="{FF2B5EF4-FFF2-40B4-BE49-F238E27FC236}">
              <a16:creationId xmlns:a16="http://schemas.microsoft.com/office/drawing/2014/main" id="{8E5CD0D6-23FE-4260-B1A4-28AE175312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45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</xdr:row>
      <xdr:rowOff>0</xdr:rowOff>
    </xdr:from>
    <xdr:to>
      <xdr:col>0</xdr:col>
      <xdr:colOff>171450</xdr:colOff>
      <xdr:row>348</xdr:row>
      <xdr:rowOff>133350</xdr:rowOff>
    </xdr:to>
    <xdr:pic>
      <xdr:nvPicPr>
        <xdr:cNvPr id="1739" name="Picture@5C\QPendientes@" descr="@5C\QPendientes@">
          <a:extLst>
            <a:ext uri="{FF2B5EF4-FFF2-40B4-BE49-F238E27FC236}">
              <a16:creationId xmlns:a16="http://schemas.microsoft.com/office/drawing/2014/main" id="{78F007B7-38E6-433A-B2E4-FB87DB3CB9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64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</xdr:row>
      <xdr:rowOff>0</xdr:rowOff>
    </xdr:from>
    <xdr:to>
      <xdr:col>0</xdr:col>
      <xdr:colOff>171450</xdr:colOff>
      <xdr:row>349</xdr:row>
      <xdr:rowOff>133350</xdr:rowOff>
    </xdr:to>
    <xdr:pic>
      <xdr:nvPicPr>
        <xdr:cNvPr id="1740" name="Picture@5C\QPendientes@" descr="@5C\QPendientes@">
          <a:extLst>
            <a:ext uri="{FF2B5EF4-FFF2-40B4-BE49-F238E27FC236}">
              <a16:creationId xmlns:a16="http://schemas.microsoft.com/office/drawing/2014/main" id="{5C7315CE-A569-44ED-B5AC-F66532C092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82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</xdr:row>
      <xdr:rowOff>0</xdr:rowOff>
    </xdr:from>
    <xdr:to>
      <xdr:col>0</xdr:col>
      <xdr:colOff>171450</xdr:colOff>
      <xdr:row>350</xdr:row>
      <xdr:rowOff>133350</xdr:rowOff>
    </xdr:to>
    <xdr:pic>
      <xdr:nvPicPr>
        <xdr:cNvPr id="1741" name="Picture@5C\QPendientes@" descr="@5C\QPendientes@">
          <a:extLst>
            <a:ext uri="{FF2B5EF4-FFF2-40B4-BE49-F238E27FC236}">
              <a16:creationId xmlns:a16="http://schemas.microsoft.com/office/drawing/2014/main" id="{0FEA00FE-4D33-41BD-A75A-F2BA94A412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00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</xdr:row>
      <xdr:rowOff>0</xdr:rowOff>
    </xdr:from>
    <xdr:to>
      <xdr:col>0</xdr:col>
      <xdr:colOff>171450</xdr:colOff>
      <xdr:row>351</xdr:row>
      <xdr:rowOff>133350</xdr:rowOff>
    </xdr:to>
    <xdr:pic>
      <xdr:nvPicPr>
        <xdr:cNvPr id="1742" name="Picture@5C\QPendientes@" descr="@5C\QPendientes@">
          <a:extLst>
            <a:ext uri="{FF2B5EF4-FFF2-40B4-BE49-F238E27FC236}">
              <a16:creationId xmlns:a16="http://schemas.microsoft.com/office/drawing/2014/main" id="{607EFCF4-9033-4739-BB1D-2648C1BCA7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19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</xdr:row>
      <xdr:rowOff>0</xdr:rowOff>
    </xdr:from>
    <xdr:to>
      <xdr:col>0</xdr:col>
      <xdr:colOff>171450</xdr:colOff>
      <xdr:row>352</xdr:row>
      <xdr:rowOff>133350</xdr:rowOff>
    </xdr:to>
    <xdr:pic>
      <xdr:nvPicPr>
        <xdr:cNvPr id="1743" name="Picture@5C\QPendientes@" descr="@5C\QPendientes@">
          <a:extLst>
            <a:ext uri="{FF2B5EF4-FFF2-40B4-BE49-F238E27FC236}">
              <a16:creationId xmlns:a16="http://schemas.microsoft.com/office/drawing/2014/main" id="{45AC07A8-2CB5-4903-B3D9-D046DF1773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37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</xdr:row>
      <xdr:rowOff>0</xdr:rowOff>
    </xdr:from>
    <xdr:to>
      <xdr:col>0</xdr:col>
      <xdr:colOff>171450</xdr:colOff>
      <xdr:row>353</xdr:row>
      <xdr:rowOff>133350</xdr:rowOff>
    </xdr:to>
    <xdr:pic>
      <xdr:nvPicPr>
        <xdr:cNvPr id="1744" name="Picture@5C\QPendientes@" descr="@5C\QPendientes@">
          <a:extLst>
            <a:ext uri="{FF2B5EF4-FFF2-40B4-BE49-F238E27FC236}">
              <a16:creationId xmlns:a16="http://schemas.microsoft.com/office/drawing/2014/main" id="{465647EC-AA22-4BAB-BC37-FCA3EF4261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55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</xdr:row>
      <xdr:rowOff>0</xdr:rowOff>
    </xdr:from>
    <xdr:to>
      <xdr:col>0</xdr:col>
      <xdr:colOff>171450</xdr:colOff>
      <xdr:row>354</xdr:row>
      <xdr:rowOff>133350</xdr:rowOff>
    </xdr:to>
    <xdr:pic>
      <xdr:nvPicPr>
        <xdr:cNvPr id="1745" name="Picture@5C\QPendientes@" descr="@5C\QPendientes@">
          <a:extLst>
            <a:ext uri="{FF2B5EF4-FFF2-40B4-BE49-F238E27FC236}">
              <a16:creationId xmlns:a16="http://schemas.microsoft.com/office/drawing/2014/main" id="{EA5D17EE-B19D-4BAB-92DF-09EDD2B7AA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73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</xdr:row>
      <xdr:rowOff>0</xdr:rowOff>
    </xdr:from>
    <xdr:to>
      <xdr:col>0</xdr:col>
      <xdr:colOff>171450</xdr:colOff>
      <xdr:row>355</xdr:row>
      <xdr:rowOff>133350</xdr:rowOff>
    </xdr:to>
    <xdr:pic>
      <xdr:nvPicPr>
        <xdr:cNvPr id="1746" name="Picture@5C\QPendientes@" descr="@5C\QPendientes@">
          <a:extLst>
            <a:ext uri="{FF2B5EF4-FFF2-40B4-BE49-F238E27FC236}">
              <a16:creationId xmlns:a16="http://schemas.microsoft.com/office/drawing/2014/main" id="{5C1D82C7-8599-4B09-A92E-A6533414CC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92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</xdr:row>
      <xdr:rowOff>0</xdr:rowOff>
    </xdr:from>
    <xdr:to>
      <xdr:col>0</xdr:col>
      <xdr:colOff>171450</xdr:colOff>
      <xdr:row>356</xdr:row>
      <xdr:rowOff>133350</xdr:rowOff>
    </xdr:to>
    <xdr:pic>
      <xdr:nvPicPr>
        <xdr:cNvPr id="1747" name="Picture@5C\QPendientes@" descr="@5C\QPendientes@">
          <a:extLst>
            <a:ext uri="{FF2B5EF4-FFF2-40B4-BE49-F238E27FC236}">
              <a16:creationId xmlns:a16="http://schemas.microsoft.com/office/drawing/2014/main" id="{8DE18CC3-332E-4CAE-A461-25E808AA13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10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</xdr:row>
      <xdr:rowOff>0</xdr:rowOff>
    </xdr:from>
    <xdr:to>
      <xdr:col>0</xdr:col>
      <xdr:colOff>171450</xdr:colOff>
      <xdr:row>357</xdr:row>
      <xdr:rowOff>133350</xdr:rowOff>
    </xdr:to>
    <xdr:pic>
      <xdr:nvPicPr>
        <xdr:cNvPr id="1748" name="Picture@5C\QPendientes@" descr="@5C\QPendientes@">
          <a:extLst>
            <a:ext uri="{FF2B5EF4-FFF2-40B4-BE49-F238E27FC236}">
              <a16:creationId xmlns:a16="http://schemas.microsoft.com/office/drawing/2014/main" id="{FF774139-728B-4755-A566-299F4C424D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28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</xdr:row>
      <xdr:rowOff>0</xdr:rowOff>
    </xdr:from>
    <xdr:to>
      <xdr:col>0</xdr:col>
      <xdr:colOff>171450</xdr:colOff>
      <xdr:row>358</xdr:row>
      <xdr:rowOff>133350</xdr:rowOff>
    </xdr:to>
    <xdr:pic>
      <xdr:nvPicPr>
        <xdr:cNvPr id="1749" name="Picture@5C\QPendientes@" descr="@5C\QPendientes@">
          <a:extLst>
            <a:ext uri="{FF2B5EF4-FFF2-40B4-BE49-F238E27FC236}">
              <a16:creationId xmlns:a16="http://schemas.microsoft.com/office/drawing/2014/main" id="{A97E380D-39C6-4897-808B-451DC0D7D3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47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</xdr:row>
      <xdr:rowOff>0</xdr:rowOff>
    </xdr:from>
    <xdr:to>
      <xdr:col>0</xdr:col>
      <xdr:colOff>171450</xdr:colOff>
      <xdr:row>359</xdr:row>
      <xdr:rowOff>133350</xdr:rowOff>
    </xdr:to>
    <xdr:pic>
      <xdr:nvPicPr>
        <xdr:cNvPr id="1750" name="Picture@5C\QPendientes@" descr="@5C\QPendientes@">
          <a:extLst>
            <a:ext uri="{FF2B5EF4-FFF2-40B4-BE49-F238E27FC236}">
              <a16:creationId xmlns:a16="http://schemas.microsoft.com/office/drawing/2014/main" id="{6B03DFD5-1A56-43DF-9549-51B0606571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65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</xdr:row>
      <xdr:rowOff>0</xdr:rowOff>
    </xdr:from>
    <xdr:to>
      <xdr:col>0</xdr:col>
      <xdr:colOff>171450</xdr:colOff>
      <xdr:row>360</xdr:row>
      <xdr:rowOff>133350</xdr:rowOff>
    </xdr:to>
    <xdr:pic>
      <xdr:nvPicPr>
        <xdr:cNvPr id="1751" name="Picture@5C\QPendientes@" descr="@5C\QPendientes@">
          <a:extLst>
            <a:ext uri="{FF2B5EF4-FFF2-40B4-BE49-F238E27FC236}">
              <a16:creationId xmlns:a16="http://schemas.microsoft.com/office/drawing/2014/main" id="{8B09D03C-AC3F-4DD0-8E87-14633E6E1E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83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</xdr:row>
      <xdr:rowOff>0</xdr:rowOff>
    </xdr:from>
    <xdr:to>
      <xdr:col>0</xdr:col>
      <xdr:colOff>171450</xdr:colOff>
      <xdr:row>361</xdr:row>
      <xdr:rowOff>133350</xdr:rowOff>
    </xdr:to>
    <xdr:pic>
      <xdr:nvPicPr>
        <xdr:cNvPr id="1752" name="Picture@5C\QPendientes@" descr="@5C\QPendientes@">
          <a:extLst>
            <a:ext uri="{FF2B5EF4-FFF2-40B4-BE49-F238E27FC236}">
              <a16:creationId xmlns:a16="http://schemas.microsoft.com/office/drawing/2014/main" id="{7E9AF2D4-5D43-4678-82D3-F6E238BC12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01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</xdr:row>
      <xdr:rowOff>0</xdr:rowOff>
    </xdr:from>
    <xdr:to>
      <xdr:col>0</xdr:col>
      <xdr:colOff>171450</xdr:colOff>
      <xdr:row>362</xdr:row>
      <xdr:rowOff>133350</xdr:rowOff>
    </xdr:to>
    <xdr:pic>
      <xdr:nvPicPr>
        <xdr:cNvPr id="1753" name="Picture@5C\QPendientes@" descr="@5C\QPendientes@">
          <a:extLst>
            <a:ext uri="{FF2B5EF4-FFF2-40B4-BE49-F238E27FC236}">
              <a16:creationId xmlns:a16="http://schemas.microsoft.com/office/drawing/2014/main" id="{8EEAA0F0-EBE7-4EC8-9CF6-03B9437752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20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</xdr:row>
      <xdr:rowOff>0</xdr:rowOff>
    </xdr:from>
    <xdr:to>
      <xdr:col>0</xdr:col>
      <xdr:colOff>171450</xdr:colOff>
      <xdr:row>363</xdr:row>
      <xdr:rowOff>133350</xdr:rowOff>
    </xdr:to>
    <xdr:pic>
      <xdr:nvPicPr>
        <xdr:cNvPr id="1754" name="Picture@5C\QPendientes@" descr="@5C\QPendientes@">
          <a:extLst>
            <a:ext uri="{FF2B5EF4-FFF2-40B4-BE49-F238E27FC236}">
              <a16:creationId xmlns:a16="http://schemas.microsoft.com/office/drawing/2014/main" id="{514A9BC4-051E-445E-B419-9D023AF630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38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</xdr:row>
      <xdr:rowOff>0</xdr:rowOff>
    </xdr:from>
    <xdr:to>
      <xdr:col>0</xdr:col>
      <xdr:colOff>171450</xdr:colOff>
      <xdr:row>364</xdr:row>
      <xdr:rowOff>133350</xdr:rowOff>
    </xdr:to>
    <xdr:pic>
      <xdr:nvPicPr>
        <xdr:cNvPr id="1755" name="Picture@5C\QPendientes@" descr="@5C\QPendientes@">
          <a:extLst>
            <a:ext uri="{FF2B5EF4-FFF2-40B4-BE49-F238E27FC236}">
              <a16:creationId xmlns:a16="http://schemas.microsoft.com/office/drawing/2014/main" id="{97447525-1BC7-4DBF-BD11-87DDB54152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56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</xdr:row>
      <xdr:rowOff>0</xdr:rowOff>
    </xdr:from>
    <xdr:to>
      <xdr:col>0</xdr:col>
      <xdr:colOff>171450</xdr:colOff>
      <xdr:row>365</xdr:row>
      <xdr:rowOff>133350</xdr:rowOff>
    </xdr:to>
    <xdr:pic>
      <xdr:nvPicPr>
        <xdr:cNvPr id="1756" name="Picture@5C\QPendientes@" descr="@5C\QPendientes@">
          <a:extLst>
            <a:ext uri="{FF2B5EF4-FFF2-40B4-BE49-F238E27FC236}">
              <a16:creationId xmlns:a16="http://schemas.microsoft.com/office/drawing/2014/main" id="{03FFBDE7-0F7C-47B5-BF33-A49392113E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75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</xdr:row>
      <xdr:rowOff>0</xdr:rowOff>
    </xdr:from>
    <xdr:to>
      <xdr:col>0</xdr:col>
      <xdr:colOff>171450</xdr:colOff>
      <xdr:row>366</xdr:row>
      <xdr:rowOff>133350</xdr:rowOff>
    </xdr:to>
    <xdr:pic>
      <xdr:nvPicPr>
        <xdr:cNvPr id="1757" name="Picture@5C\QPendientes@" descr="@5C\QPendientes@">
          <a:extLst>
            <a:ext uri="{FF2B5EF4-FFF2-40B4-BE49-F238E27FC236}">
              <a16:creationId xmlns:a16="http://schemas.microsoft.com/office/drawing/2014/main" id="{C2FFAB47-63B8-4D2D-BC20-0B99E4C349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93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</xdr:row>
      <xdr:rowOff>0</xdr:rowOff>
    </xdr:from>
    <xdr:to>
      <xdr:col>0</xdr:col>
      <xdr:colOff>171450</xdr:colOff>
      <xdr:row>367</xdr:row>
      <xdr:rowOff>133350</xdr:rowOff>
    </xdr:to>
    <xdr:pic>
      <xdr:nvPicPr>
        <xdr:cNvPr id="1758" name="Picture@5C\QPendientes@" descr="@5C\QPendientes@">
          <a:extLst>
            <a:ext uri="{FF2B5EF4-FFF2-40B4-BE49-F238E27FC236}">
              <a16:creationId xmlns:a16="http://schemas.microsoft.com/office/drawing/2014/main" id="{6BCE56D8-D2A6-4FB0-A2D0-637DB080AC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11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</xdr:row>
      <xdr:rowOff>0</xdr:rowOff>
    </xdr:from>
    <xdr:to>
      <xdr:col>0</xdr:col>
      <xdr:colOff>171450</xdr:colOff>
      <xdr:row>368</xdr:row>
      <xdr:rowOff>133350</xdr:rowOff>
    </xdr:to>
    <xdr:pic>
      <xdr:nvPicPr>
        <xdr:cNvPr id="1759" name="Picture@5C\QPendientes@" descr="@5C\QPendientes@">
          <a:extLst>
            <a:ext uri="{FF2B5EF4-FFF2-40B4-BE49-F238E27FC236}">
              <a16:creationId xmlns:a16="http://schemas.microsoft.com/office/drawing/2014/main" id="{56A13BC4-11F3-45AE-B281-6D9A644F8E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29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</xdr:row>
      <xdr:rowOff>0</xdr:rowOff>
    </xdr:from>
    <xdr:to>
      <xdr:col>0</xdr:col>
      <xdr:colOff>171450</xdr:colOff>
      <xdr:row>369</xdr:row>
      <xdr:rowOff>133350</xdr:rowOff>
    </xdr:to>
    <xdr:pic>
      <xdr:nvPicPr>
        <xdr:cNvPr id="1760" name="Picture@5C\QPendientes@" descr="@5C\QPendientes@">
          <a:extLst>
            <a:ext uri="{FF2B5EF4-FFF2-40B4-BE49-F238E27FC236}">
              <a16:creationId xmlns:a16="http://schemas.microsoft.com/office/drawing/2014/main" id="{A92135A9-6BEA-4555-B6C2-0D2BDCF110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48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</xdr:row>
      <xdr:rowOff>0</xdr:rowOff>
    </xdr:from>
    <xdr:to>
      <xdr:col>0</xdr:col>
      <xdr:colOff>171450</xdr:colOff>
      <xdr:row>370</xdr:row>
      <xdr:rowOff>133350</xdr:rowOff>
    </xdr:to>
    <xdr:pic>
      <xdr:nvPicPr>
        <xdr:cNvPr id="1761" name="Picture@5C\QPendientes@" descr="@5C\QPendientes@">
          <a:extLst>
            <a:ext uri="{FF2B5EF4-FFF2-40B4-BE49-F238E27FC236}">
              <a16:creationId xmlns:a16="http://schemas.microsoft.com/office/drawing/2014/main" id="{C5158005-2439-4B66-8810-B95CEEA2D6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66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</xdr:row>
      <xdr:rowOff>0</xdr:rowOff>
    </xdr:from>
    <xdr:to>
      <xdr:col>0</xdr:col>
      <xdr:colOff>171450</xdr:colOff>
      <xdr:row>371</xdr:row>
      <xdr:rowOff>133350</xdr:rowOff>
    </xdr:to>
    <xdr:pic>
      <xdr:nvPicPr>
        <xdr:cNvPr id="1762" name="Picture@5C\QPendientes@" descr="@5C\QPendientes@">
          <a:extLst>
            <a:ext uri="{FF2B5EF4-FFF2-40B4-BE49-F238E27FC236}">
              <a16:creationId xmlns:a16="http://schemas.microsoft.com/office/drawing/2014/main" id="{08395638-358A-4FE2-8109-8A745AD616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84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</xdr:row>
      <xdr:rowOff>0</xdr:rowOff>
    </xdr:from>
    <xdr:to>
      <xdr:col>0</xdr:col>
      <xdr:colOff>171450</xdr:colOff>
      <xdr:row>372</xdr:row>
      <xdr:rowOff>133350</xdr:rowOff>
    </xdr:to>
    <xdr:pic>
      <xdr:nvPicPr>
        <xdr:cNvPr id="1763" name="Picture@5C\QPendientes@" descr="@5C\QPendientes@">
          <a:extLst>
            <a:ext uri="{FF2B5EF4-FFF2-40B4-BE49-F238E27FC236}">
              <a16:creationId xmlns:a16="http://schemas.microsoft.com/office/drawing/2014/main" id="{B6B627AB-E9ED-4130-948F-C4B208391B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03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</xdr:row>
      <xdr:rowOff>0</xdr:rowOff>
    </xdr:from>
    <xdr:to>
      <xdr:col>0</xdr:col>
      <xdr:colOff>171450</xdr:colOff>
      <xdr:row>373</xdr:row>
      <xdr:rowOff>133350</xdr:rowOff>
    </xdr:to>
    <xdr:pic>
      <xdr:nvPicPr>
        <xdr:cNvPr id="1764" name="Picture@5C\QPendientes@" descr="@5C\QPendientes@">
          <a:extLst>
            <a:ext uri="{FF2B5EF4-FFF2-40B4-BE49-F238E27FC236}">
              <a16:creationId xmlns:a16="http://schemas.microsoft.com/office/drawing/2014/main" id="{6CA63139-0C11-446E-A952-A176AD55E6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21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</xdr:row>
      <xdr:rowOff>0</xdr:rowOff>
    </xdr:from>
    <xdr:to>
      <xdr:col>0</xdr:col>
      <xdr:colOff>171450</xdr:colOff>
      <xdr:row>374</xdr:row>
      <xdr:rowOff>133350</xdr:rowOff>
    </xdr:to>
    <xdr:pic>
      <xdr:nvPicPr>
        <xdr:cNvPr id="1765" name="Picture@5C\QPendientes@" descr="@5C\QPendientes@">
          <a:extLst>
            <a:ext uri="{FF2B5EF4-FFF2-40B4-BE49-F238E27FC236}">
              <a16:creationId xmlns:a16="http://schemas.microsoft.com/office/drawing/2014/main" id="{973D1E42-0C40-4539-95BD-9E18FE5BDC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39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</xdr:row>
      <xdr:rowOff>0</xdr:rowOff>
    </xdr:from>
    <xdr:to>
      <xdr:col>0</xdr:col>
      <xdr:colOff>171450</xdr:colOff>
      <xdr:row>375</xdr:row>
      <xdr:rowOff>133350</xdr:rowOff>
    </xdr:to>
    <xdr:pic>
      <xdr:nvPicPr>
        <xdr:cNvPr id="1766" name="Picture@5C\QPendientes@" descr="@5C\QPendientes@">
          <a:extLst>
            <a:ext uri="{FF2B5EF4-FFF2-40B4-BE49-F238E27FC236}">
              <a16:creationId xmlns:a16="http://schemas.microsoft.com/office/drawing/2014/main" id="{92416E0F-5A02-4C33-8372-F9082FE765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58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</xdr:row>
      <xdr:rowOff>0</xdr:rowOff>
    </xdr:from>
    <xdr:to>
      <xdr:col>0</xdr:col>
      <xdr:colOff>171450</xdr:colOff>
      <xdr:row>376</xdr:row>
      <xdr:rowOff>133350</xdr:rowOff>
    </xdr:to>
    <xdr:pic>
      <xdr:nvPicPr>
        <xdr:cNvPr id="1767" name="Picture@5C\QPendientes@" descr="@5C\QPendientes@">
          <a:extLst>
            <a:ext uri="{FF2B5EF4-FFF2-40B4-BE49-F238E27FC236}">
              <a16:creationId xmlns:a16="http://schemas.microsoft.com/office/drawing/2014/main" id="{FDBAEF9C-C747-49DC-B63F-7299130EC4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76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</xdr:row>
      <xdr:rowOff>0</xdr:rowOff>
    </xdr:from>
    <xdr:to>
      <xdr:col>0</xdr:col>
      <xdr:colOff>171450</xdr:colOff>
      <xdr:row>377</xdr:row>
      <xdr:rowOff>133350</xdr:rowOff>
    </xdr:to>
    <xdr:pic>
      <xdr:nvPicPr>
        <xdr:cNvPr id="1768" name="Picture@5C\QPendientes@" descr="@5C\QPendientes@">
          <a:extLst>
            <a:ext uri="{FF2B5EF4-FFF2-40B4-BE49-F238E27FC236}">
              <a16:creationId xmlns:a16="http://schemas.microsoft.com/office/drawing/2014/main" id="{86D6314E-F6B8-4D4F-BC45-59FC25028A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94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</xdr:row>
      <xdr:rowOff>0</xdr:rowOff>
    </xdr:from>
    <xdr:to>
      <xdr:col>0</xdr:col>
      <xdr:colOff>171450</xdr:colOff>
      <xdr:row>378</xdr:row>
      <xdr:rowOff>133350</xdr:rowOff>
    </xdr:to>
    <xdr:pic>
      <xdr:nvPicPr>
        <xdr:cNvPr id="1769" name="Picture@5C\QPendientes@" descr="@5C\QPendientes@">
          <a:extLst>
            <a:ext uri="{FF2B5EF4-FFF2-40B4-BE49-F238E27FC236}">
              <a16:creationId xmlns:a16="http://schemas.microsoft.com/office/drawing/2014/main" id="{609AD2FC-F13E-4AC6-A012-B3D50E6170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12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</xdr:row>
      <xdr:rowOff>0</xdr:rowOff>
    </xdr:from>
    <xdr:to>
      <xdr:col>0</xdr:col>
      <xdr:colOff>171450</xdr:colOff>
      <xdr:row>379</xdr:row>
      <xdr:rowOff>133350</xdr:rowOff>
    </xdr:to>
    <xdr:pic>
      <xdr:nvPicPr>
        <xdr:cNvPr id="1770" name="Picture@5C\QPendientes@" descr="@5C\QPendientes@">
          <a:extLst>
            <a:ext uri="{FF2B5EF4-FFF2-40B4-BE49-F238E27FC236}">
              <a16:creationId xmlns:a16="http://schemas.microsoft.com/office/drawing/2014/main" id="{B8119396-E316-49F1-BF3A-9F443C0EA1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31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</xdr:row>
      <xdr:rowOff>0</xdr:rowOff>
    </xdr:from>
    <xdr:to>
      <xdr:col>0</xdr:col>
      <xdr:colOff>171450</xdr:colOff>
      <xdr:row>380</xdr:row>
      <xdr:rowOff>133350</xdr:rowOff>
    </xdr:to>
    <xdr:pic>
      <xdr:nvPicPr>
        <xdr:cNvPr id="1771" name="Picture@5C\QPendientes@" descr="@5C\QPendientes@">
          <a:extLst>
            <a:ext uri="{FF2B5EF4-FFF2-40B4-BE49-F238E27FC236}">
              <a16:creationId xmlns:a16="http://schemas.microsoft.com/office/drawing/2014/main" id="{2CBFD9A4-7E87-46E1-B678-22D32E1655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49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</xdr:row>
      <xdr:rowOff>0</xdr:rowOff>
    </xdr:from>
    <xdr:to>
      <xdr:col>0</xdr:col>
      <xdr:colOff>171450</xdr:colOff>
      <xdr:row>381</xdr:row>
      <xdr:rowOff>133350</xdr:rowOff>
    </xdr:to>
    <xdr:pic>
      <xdr:nvPicPr>
        <xdr:cNvPr id="1772" name="Picture@5C\QPendientes@" descr="@5C\QPendientes@">
          <a:extLst>
            <a:ext uri="{FF2B5EF4-FFF2-40B4-BE49-F238E27FC236}">
              <a16:creationId xmlns:a16="http://schemas.microsoft.com/office/drawing/2014/main" id="{01BBF747-0050-47B5-A379-3796A3DCFE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67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</xdr:row>
      <xdr:rowOff>0</xdr:rowOff>
    </xdr:from>
    <xdr:to>
      <xdr:col>0</xdr:col>
      <xdr:colOff>171450</xdr:colOff>
      <xdr:row>382</xdr:row>
      <xdr:rowOff>133350</xdr:rowOff>
    </xdr:to>
    <xdr:pic>
      <xdr:nvPicPr>
        <xdr:cNvPr id="1773" name="Picture@5C\QPendientes@" descr="@5C\QPendientes@">
          <a:extLst>
            <a:ext uri="{FF2B5EF4-FFF2-40B4-BE49-F238E27FC236}">
              <a16:creationId xmlns:a16="http://schemas.microsoft.com/office/drawing/2014/main" id="{24ED90A9-1140-42F6-B486-73CFA8C910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86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</xdr:row>
      <xdr:rowOff>0</xdr:rowOff>
    </xdr:from>
    <xdr:to>
      <xdr:col>0</xdr:col>
      <xdr:colOff>171450</xdr:colOff>
      <xdr:row>383</xdr:row>
      <xdr:rowOff>133350</xdr:rowOff>
    </xdr:to>
    <xdr:pic>
      <xdr:nvPicPr>
        <xdr:cNvPr id="1774" name="Picture@5C\QPendientes@" descr="@5C\QPendientes@">
          <a:extLst>
            <a:ext uri="{FF2B5EF4-FFF2-40B4-BE49-F238E27FC236}">
              <a16:creationId xmlns:a16="http://schemas.microsoft.com/office/drawing/2014/main" id="{9CE12D7D-BA70-49DD-B99B-9C59F36734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04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</xdr:row>
      <xdr:rowOff>0</xdr:rowOff>
    </xdr:from>
    <xdr:to>
      <xdr:col>0</xdr:col>
      <xdr:colOff>171450</xdr:colOff>
      <xdr:row>384</xdr:row>
      <xdr:rowOff>133350</xdr:rowOff>
    </xdr:to>
    <xdr:pic>
      <xdr:nvPicPr>
        <xdr:cNvPr id="1775" name="Picture@5C\QPendientes@" descr="@5C\QPendientes@">
          <a:extLst>
            <a:ext uri="{FF2B5EF4-FFF2-40B4-BE49-F238E27FC236}">
              <a16:creationId xmlns:a16="http://schemas.microsoft.com/office/drawing/2014/main" id="{42D099FD-3AEC-48A7-8740-5CEFC35AD5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22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</xdr:row>
      <xdr:rowOff>0</xdr:rowOff>
    </xdr:from>
    <xdr:to>
      <xdr:col>0</xdr:col>
      <xdr:colOff>171450</xdr:colOff>
      <xdr:row>385</xdr:row>
      <xdr:rowOff>133350</xdr:rowOff>
    </xdr:to>
    <xdr:pic>
      <xdr:nvPicPr>
        <xdr:cNvPr id="1776" name="Picture@5C\QPendientes@" descr="@5C\QPendientes@">
          <a:extLst>
            <a:ext uri="{FF2B5EF4-FFF2-40B4-BE49-F238E27FC236}">
              <a16:creationId xmlns:a16="http://schemas.microsoft.com/office/drawing/2014/main" id="{7BFC5DC5-7FB2-4C2A-A4F2-98FE09542D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40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</xdr:row>
      <xdr:rowOff>0</xdr:rowOff>
    </xdr:from>
    <xdr:to>
      <xdr:col>0</xdr:col>
      <xdr:colOff>171450</xdr:colOff>
      <xdr:row>386</xdr:row>
      <xdr:rowOff>133350</xdr:rowOff>
    </xdr:to>
    <xdr:pic>
      <xdr:nvPicPr>
        <xdr:cNvPr id="1777" name="Picture@5C\QPendientes@" descr="@5C\QPendientes@">
          <a:extLst>
            <a:ext uri="{FF2B5EF4-FFF2-40B4-BE49-F238E27FC236}">
              <a16:creationId xmlns:a16="http://schemas.microsoft.com/office/drawing/2014/main" id="{48A0EEAF-65B8-4975-9C6C-57732BE943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59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</xdr:row>
      <xdr:rowOff>0</xdr:rowOff>
    </xdr:from>
    <xdr:to>
      <xdr:col>0</xdr:col>
      <xdr:colOff>171450</xdr:colOff>
      <xdr:row>387</xdr:row>
      <xdr:rowOff>133350</xdr:rowOff>
    </xdr:to>
    <xdr:pic>
      <xdr:nvPicPr>
        <xdr:cNvPr id="1778" name="Picture@5C\QPendientes@" descr="@5C\QPendientes@">
          <a:extLst>
            <a:ext uri="{FF2B5EF4-FFF2-40B4-BE49-F238E27FC236}">
              <a16:creationId xmlns:a16="http://schemas.microsoft.com/office/drawing/2014/main" id="{E1EEDA6A-8368-4E89-8B85-4E10F54D8E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77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</xdr:row>
      <xdr:rowOff>0</xdr:rowOff>
    </xdr:from>
    <xdr:to>
      <xdr:col>0</xdr:col>
      <xdr:colOff>171450</xdr:colOff>
      <xdr:row>388</xdr:row>
      <xdr:rowOff>133350</xdr:rowOff>
    </xdr:to>
    <xdr:pic>
      <xdr:nvPicPr>
        <xdr:cNvPr id="1779" name="Picture@5C\QPendientes@" descr="@5C\QPendientes@">
          <a:extLst>
            <a:ext uri="{FF2B5EF4-FFF2-40B4-BE49-F238E27FC236}">
              <a16:creationId xmlns:a16="http://schemas.microsoft.com/office/drawing/2014/main" id="{71F1514F-96C4-4769-A084-3A2A491BCC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95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</xdr:row>
      <xdr:rowOff>0</xdr:rowOff>
    </xdr:from>
    <xdr:to>
      <xdr:col>0</xdr:col>
      <xdr:colOff>171450</xdr:colOff>
      <xdr:row>389</xdr:row>
      <xdr:rowOff>133350</xdr:rowOff>
    </xdr:to>
    <xdr:pic>
      <xdr:nvPicPr>
        <xdr:cNvPr id="1780" name="Picture@5C\QPendientes@" descr="@5C\QPendientes@">
          <a:extLst>
            <a:ext uri="{FF2B5EF4-FFF2-40B4-BE49-F238E27FC236}">
              <a16:creationId xmlns:a16="http://schemas.microsoft.com/office/drawing/2014/main" id="{F5408E82-E004-49CE-80C1-D1CB2048BA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14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</xdr:row>
      <xdr:rowOff>0</xdr:rowOff>
    </xdr:from>
    <xdr:to>
      <xdr:col>0</xdr:col>
      <xdr:colOff>171450</xdr:colOff>
      <xdr:row>390</xdr:row>
      <xdr:rowOff>133350</xdr:rowOff>
    </xdr:to>
    <xdr:pic>
      <xdr:nvPicPr>
        <xdr:cNvPr id="1781" name="Picture@5C\QPendientes@" descr="@5C\QPendientes@">
          <a:extLst>
            <a:ext uri="{FF2B5EF4-FFF2-40B4-BE49-F238E27FC236}">
              <a16:creationId xmlns:a16="http://schemas.microsoft.com/office/drawing/2014/main" id="{094AC50B-7D16-445C-A379-515AEBE141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32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</xdr:row>
      <xdr:rowOff>0</xdr:rowOff>
    </xdr:from>
    <xdr:to>
      <xdr:col>0</xdr:col>
      <xdr:colOff>171450</xdr:colOff>
      <xdr:row>391</xdr:row>
      <xdr:rowOff>133350</xdr:rowOff>
    </xdr:to>
    <xdr:pic>
      <xdr:nvPicPr>
        <xdr:cNvPr id="1782" name="Picture@5C\QPendientes@" descr="@5C\QPendientes@">
          <a:extLst>
            <a:ext uri="{FF2B5EF4-FFF2-40B4-BE49-F238E27FC236}">
              <a16:creationId xmlns:a16="http://schemas.microsoft.com/office/drawing/2014/main" id="{8D643DA5-B911-420F-A77C-98281EC3E2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50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</xdr:row>
      <xdr:rowOff>0</xdr:rowOff>
    </xdr:from>
    <xdr:to>
      <xdr:col>0</xdr:col>
      <xdr:colOff>171450</xdr:colOff>
      <xdr:row>392</xdr:row>
      <xdr:rowOff>133350</xdr:rowOff>
    </xdr:to>
    <xdr:pic>
      <xdr:nvPicPr>
        <xdr:cNvPr id="1783" name="Picture@5C\QPendientes@" descr="@5C\QPendientes@">
          <a:extLst>
            <a:ext uri="{FF2B5EF4-FFF2-40B4-BE49-F238E27FC236}">
              <a16:creationId xmlns:a16="http://schemas.microsoft.com/office/drawing/2014/main" id="{75A7D014-9C9F-41EC-934A-C216721E17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68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</xdr:row>
      <xdr:rowOff>0</xdr:rowOff>
    </xdr:from>
    <xdr:to>
      <xdr:col>0</xdr:col>
      <xdr:colOff>171450</xdr:colOff>
      <xdr:row>393</xdr:row>
      <xdr:rowOff>133350</xdr:rowOff>
    </xdr:to>
    <xdr:pic>
      <xdr:nvPicPr>
        <xdr:cNvPr id="1784" name="Picture@5C\QPendientes@" descr="@5C\QPendientes@">
          <a:extLst>
            <a:ext uri="{FF2B5EF4-FFF2-40B4-BE49-F238E27FC236}">
              <a16:creationId xmlns:a16="http://schemas.microsoft.com/office/drawing/2014/main" id="{FA3A46C7-67D5-4D2A-A74C-7391E9A348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87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</xdr:row>
      <xdr:rowOff>0</xdr:rowOff>
    </xdr:from>
    <xdr:to>
      <xdr:col>0</xdr:col>
      <xdr:colOff>171450</xdr:colOff>
      <xdr:row>394</xdr:row>
      <xdr:rowOff>133350</xdr:rowOff>
    </xdr:to>
    <xdr:pic>
      <xdr:nvPicPr>
        <xdr:cNvPr id="1785" name="Picture@5C\QPendientes@" descr="@5C\QPendientes@">
          <a:extLst>
            <a:ext uri="{FF2B5EF4-FFF2-40B4-BE49-F238E27FC236}">
              <a16:creationId xmlns:a16="http://schemas.microsoft.com/office/drawing/2014/main" id="{77FC7092-592C-4B8F-AB18-141627795F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05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</xdr:row>
      <xdr:rowOff>0</xdr:rowOff>
    </xdr:from>
    <xdr:to>
      <xdr:col>0</xdr:col>
      <xdr:colOff>171450</xdr:colOff>
      <xdr:row>395</xdr:row>
      <xdr:rowOff>133350</xdr:rowOff>
    </xdr:to>
    <xdr:pic>
      <xdr:nvPicPr>
        <xdr:cNvPr id="1786" name="Picture@5C\QPendientes@" descr="@5C\QPendientes@">
          <a:extLst>
            <a:ext uri="{FF2B5EF4-FFF2-40B4-BE49-F238E27FC236}">
              <a16:creationId xmlns:a16="http://schemas.microsoft.com/office/drawing/2014/main" id="{CB985083-532E-464E-A40D-51A630768F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23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</xdr:row>
      <xdr:rowOff>0</xdr:rowOff>
    </xdr:from>
    <xdr:to>
      <xdr:col>0</xdr:col>
      <xdr:colOff>171450</xdr:colOff>
      <xdr:row>396</xdr:row>
      <xdr:rowOff>133350</xdr:rowOff>
    </xdr:to>
    <xdr:pic>
      <xdr:nvPicPr>
        <xdr:cNvPr id="1787" name="Picture@5C\QPendientes@" descr="@5C\QPendientes@">
          <a:extLst>
            <a:ext uri="{FF2B5EF4-FFF2-40B4-BE49-F238E27FC236}">
              <a16:creationId xmlns:a16="http://schemas.microsoft.com/office/drawing/2014/main" id="{6997E5B6-FAB1-44BF-9C10-4D6EAD6BC5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42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</xdr:row>
      <xdr:rowOff>0</xdr:rowOff>
    </xdr:from>
    <xdr:to>
      <xdr:col>0</xdr:col>
      <xdr:colOff>171450</xdr:colOff>
      <xdr:row>397</xdr:row>
      <xdr:rowOff>133350</xdr:rowOff>
    </xdr:to>
    <xdr:pic>
      <xdr:nvPicPr>
        <xdr:cNvPr id="1788" name="Picture@5C\QPendientes@" descr="@5C\QPendientes@">
          <a:extLst>
            <a:ext uri="{FF2B5EF4-FFF2-40B4-BE49-F238E27FC236}">
              <a16:creationId xmlns:a16="http://schemas.microsoft.com/office/drawing/2014/main" id="{212D4033-505E-4197-A589-60D28F6391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60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</xdr:row>
      <xdr:rowOff>0</xdr:rowOff>
    </xdr:from>
    <xdr:to>
      <xdr:col>0</xdr:col>
      <xdr:colOff>171450</xdr:colOff>
      <xdr:row>398</xdr:row>
      <xdr:rowOff>133350</xdr:rowOff>
    </xdr:to>
    <xdr:pic>
      <xdr:nvPicPr>
        <xdr:cNvPr id="1789" name="Picture@5C\QPendientes@" descr="@5C\QPendientes@">
          <a:extLst>
            <a:ext uri="{FF2B5EF4-FFF2-40B4-BE49-F238E27FC236}">
              <a16:creationId xmlns:a16="http://schemas.microsoft.com/office/drawing/2014/main" id="{FF961762-4070-4D50-A363-3FB5EEAE7B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78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</xdr:row>
      <xdr:rowOff>0</xdr:rowOff>
    </xdr:from>
    <xdr:to>
      <xdr:col>0</xdr:col>
      <xdr:colOff>171450</xdr:colOff>
      <xdr:row>399</xdr:row>
      <xdr:rowOff>133350</xdr:rowOff>
    </xdr:to>
    <xdr:pic>
      <xdr:nvPicPr>
        <xdr:cNvPr id="1790" name="Picture@5C\QPendientes@" descr="@5C\QPendientes@">
          <a:extLst>
            <a:ext uri="{FF2B5EF4-FFF2-40B4-BE49-F238E27FC236}">
              <a16:creationId xmlns:a16="http://schemas.microsoft.com/office/drawing/2014/main" id="{750851EB-EBFE-4E60-9435-0BDF330A2F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96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</xdr:row>
      <xdr:rowOff>0</xdr:rowOff>
    </xdr:from>
    <xdr:to>
      <xdr:col>0</xdr:col>
      <xdr:colOff>171450</xdr:colOff>
      <xdr:row>400</xdr:row>
      <xdr:rowOff>133350</xdr:rowOff>
    </xdr:to>
    <xdr:pic>
      <xdr:nvPicPr>
        <xdr:cNvPr id="1791" name="Picture@5C\QPendientes@" descr="@5C\QPendientes@">
          <a:extLst>
            <a:ext uri="{FF2B5EF4-FFF2-40B4-BE49-F238E27FC236}">
              <a16:creationId xmlns:a16="http://schemas.microsoft.com/office/drawing/2014/main" id="{4DCAEA2E-FE5C-4B8A-91AA-BD93A0DA28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</xdr:row>
      <xdr:rowOff>0</xdr:rowOff>
    </xdr:from>
    <xdr:to>
      <xdr:col>0</xdr:col>
      <xdr:colOff>171450</xdr:colOff>
      <xdr:row>401</xdr:row>
      <xdr:rowOff>133350</xdr:rowOff>
    </xdr:to>
    <xdr:pic>
      <xdr:nvPicPr>
        <xdr:cNvPr id="1792" name="Picture@5C\QPendientes@" descr="@5C\QPendientes@">
          <a:extLst>
            <a:ext uri="{FF2B5EF4-FFF2-40B4-BE49-F238E27FC236}">
              <a16:creationId xmlns:a16="http://schemas.microsoft.com/office/drawing/2014/main" id="{563E06C5-0D8C-4E69-91B4-10A82193A4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33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</xdr:row>
      <xdr:rowOff>0</xdr:rowOff>
    </xdr:from>
    <xdr:to>
      <xdr:col>0</xdr:col>
      <xdr:colOff>171450</xdr:colOff>
      <xdr:row>402</xdr:row>
      <xdr:rowOff>133350</xdr:rowOff>
    </xdr:to>
    <xdr:pic>
      <xdr:nvPicPr>
        <xdr:cNvPr id="1793" name="Picture@5C\QPendientes@" descr="@5C\QPendientes@">
          <a:extLst>
            <a:ext uri="{FF2B5EF4-FFF2-40B4-BE49-F238E27FC236}">
              <a16:creationId xmlns:a16="http://schemas.microsoft.com/office/drawing/2014/main" id="{83E5E786-752A-4B72-A7DB-DCB0DDD724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51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</xdr:row>
      <xdr:rowOff>0</xdr:rowOff>
    </xdr:from>
    <xdr:to>
      <xdr:col>0</xdr:col>
      <xdr:colOff>171450</xdr:colOff>
      <xdr:row>403</xdr:row>
      <xdr:rowOff>133350</xdr:rowOff>
    </xdr:to>
    <xdr:pic>
      <xdr:nvPicPr>
        <xdr:cNvPr id="1794" name="Picture@5C\QPendientes@" descr="@5C\QPendientes@">
          <a:extLst>
            <a:ext uri="{FF2B5EF4-FFF2-40B4-BE49-F238E27FC236}">
              <a16:creationId xmlns:a16="http://schemas.microsoft.com/office/drawing/2014/main" id="{DF13DEA2-EDD9-4015-ABE5-5D2D160B74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70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</xdr:row>
      <xdr:rowOff>0</xdr:rowOff>
    </xdr:from>
    <xdr:to>
      <xdr:col>0</xdr:col>
      <xdr:colOff>171450</xdr:colOff>
      <xdr:row>404</xdr:row>
      <xdr:rowOff>133350</xdr:rowOff>
    </xdr:to>
    <xdr:pic>
      <xdr:nvPicPr>
        <xdr:cNvPr id="1795" name="Picture@5C\QPendientes@" descr="@5C\QPendientes@">
          <a:extLst>
            <a:ext uri="{FF2B5EF4-FFF2-40B4-BE49-F238E27FC236}">
              <a16:creationId xmlns:a16="http://schemas.microsoft.com/office/drawing/2014/main" id="{56A5383E-0E2A-43BC-BEFA-3672116B1E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88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</xdr:row>
      <xdr:rowOff>0</xdr:rowOff>
    </xdr:from>
    <xdr:to>
      <xdr:col>0</xdr:col>
      <xdr:colOff>171450</xdr:colOff>
      <xdr:row>405</xdr:row>
      <xdr:rowOff>133350</xdr:rowOff>
    </xdr:to>
    <xdr:pic>
      <xdr:nvPicPr>
        <xdr:cNvPr id="1796" name="Picture@5C\QPendientes@" descr="@5C\QPendientes@">
          <a:extLst>
            <a:ext uri="{FF2B5EF4-FFF2-40B4-BE49-F238E27FC236}">
              <a16:creationId xmlns:a16="http://schemas.microsoft.com/office/drawing/2014/main" id="{19253E11-53A2-4484-A25E-0D5F57CDB1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06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</xdr:row>
      <xdr:rowOff>0</xdr:rowOff>
    </xdr:from>
    <xdr:to>
      <xdr:col>0</xdr:col>
      <xdr:colOff>171450</xdr:colOff>
      <xdr:row>406</xdr:row>
      <xdr:rowOff>133350</xdr:rowOff>
    </xdr:to>
    <xdr:pic>
      <xdr:nvPicPr>
        <xdr:cNvPr id="1797" name="Picture@5C\QPendientes@" descr="@5C\QPendientes@">
          <a:extLst>
            <a:ext uri="{FF2B5EF4-FFF2-40B4-BE49-F238E27FC236}">
              <a16:creationId xmlns:a16="http://schemas.microsoft.com/office/drawing/2014/main" id="{F7C7DEBC-27D4-4363-9A05-75B62F0739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24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</xdr:row>
      <xdr:rowOff>0</xdr:rowOff>
    </xdr:from>
    <xdr:to>
      <xdr:col>0</xdr:col>
      <xdr:colOff>171450</xdr:colOff>
      <xdr:row>407</xdr:row>
      <xdr:rowOff>133350</xdr:rowOff>
    </xdr:to>
    <xdr:pic>
      <xdr:nvPicPr>
        <xdr:cNvPr id="1798" name="Picture@5C\QPendientes@" descr="@5C\QPendientes@">
          <a:extLst>
            <a:ext uri="{FF2B5EF4-FFF2-40B4-BE49-F238E27FC236}">
              <a16:creationId xmlns:a16="http://schemas.microsoft.com/office/drawing/2014/main" id="{630A8B9E-1E88-4BDA-83A4-738D9316DD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43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</xdr:row>
      <xdr:rowOff>0</xdr:rowOff>
    </xdr:from>
    <xdr:to>
      <xdr:col>0</xdr:col>
      <xdr:colOff>171450</xdr:colOff>
      <xdr:row>408</xdr:row>
      <xdr:rowOff>133350</xdr:rowOff>
    </xdr:to>
    <xdr:pic>
      <xdr:nvPicPr>
        <xdr:cNvPr id="1799" name="Picture@5C\QPendientes@" descr="@5C\QPendientes@">
          <a:extLst>
            <a:ext uri="{FF2B5EF4-FFF2-40B4-BE49-F238E27FC236}">
              <a16:creationId xmlns:a16="http://schemas.microsoft.com/office/drawing/2014/main" id="{0D40C0AF-3821-450C-A7E3-3B5B96C027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61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</xdr:row>
      <xdr:rowOff>0</xdr:rowOff>
    </xdr:from>
    <xdr:to>
      <xdr:col>0</xdr:col>
      <xdr:colOff>171450</xdr:colOff>
      <xdr:row>409</xdr:row>
      <xdr:rowOff>133350</xdr:rowOff>
    </xdr:to>
    <xdr:pic>
      <xdr:nvPicPr>
        <xdr:cNvPr id="1800" name="Picture@5C\QPendientes@" descr="@5C\QPendientes@">
          <a:extLst>
            <a:ext uri="{FF2B5EF4-FFF2-40B4-BE49-F238E27FC236}">
              <a16:creationId xmlns:a16="http://schemas.microsoft.com/office/drawing/2014/main" id="{5C508B6F-6467-4251-B6AD-6CF1108042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79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</xdr:row>
      <xdr:rowOff>0</xdr:rowOff>
    </xdr:from>
    <xdr:to>
      <xdr:col>0</xdr:col>
      <xdr:colOff>171450</xdr:colOff>
      <xdr:row>410</xdr:row>
      <xdr:rowOff>133350</xdr:rowOff>
    </xdr:to>
    <xdr:pic>
      <xdr:nvPicPr>
        <xdr:cNvPr id="1801" name="Picture@5C\QPendientes@" descr="@5C\QPendientes@">
          <a:extLst>
            <a:ext uri="{FF2B5EF4-FFF2-40B4-BE49-F238E27FC236}">
              <a16:creationId xmlns:a16="http://schemas.microsoft.com/office/drawing/2014/main" id="{0F6BCA07-0F9A-4751-B9F3-7066A8DC86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98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</xdr:row>
      <xdr:rowOff>0</xdr:rowOff>
    </xdr:from>
    <xdr:to>
      <xdr:col>0</xdr:col>
      <xdr:colOff>171450</xdr:colOff>
      <xdr:row>411</xdr:row>
      <xdr:rowOff>133350</xdr:rowOff>
    </xdr:to>
    <xdr:pic>
      <xdr:nvPicPr>
        <xdr:cNvPr id="1802" name="Picture@5C\QPendientes@" descr="@5C\QPendientes@">
          <a:extLst>
            <a:ext uri="{FF2B5EF4-FFF2-40B4-BE49-F238E27FC236}">
              <a16:creationId xmlns:a16="http://schemas.microsoft.com/office/drawing/2014/main" id="{1101C823-436E-41F1-AA10-4089BFD0BA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16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</xdr:row>
      <xdr:rowOff>0</xdr:rowOff>
    </xdr:from>
    <xdr:to>
      <xdr:col>0</xdr:col>
      <xdr:colOff>171450</xdr:colOff>
      <xdr:row>412</xdr:row>
      <xdr:rowOff>133350</xdr:rowOff>
    </xdr:to>
    <xdr:pic>
      <xdr:nvPicPr>
        <xdr:cNvPr id="1803" name="Picture@5C\QPendientes@" descr="@5C\QPendientes@">
          <a:extLst>
            <a:ext uri="{FF2B5EF4-FFF2-40B4-BE49-F238E27FC236}">
              <a16:creationId xmlns:a16="http://schemas.microsoft.com/office/drawing/2014/main" id="{DBA993C5-BF65-4B9B-8A9F-985E379B7E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34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</xdr:row>
      <xdr:rowOff>0</xdr:rowOff>
    </xdr:from>
    <xdr:to>
      <xdr:col>0</xdr:col>
      <xdr:colOff>171450</xdr:colOff>
      <xdr:row>413</xdr:row>
      <xdr:rowOff>133350</xdr:rowOff>
    </xdr:to>
    <xdr:pic>
      <xdr:nvPicPr>
        <xdr:cNvPr id="1804" name="Picture@5C\QPendientes@" descr="@5C\QPendientes@">
          <a:extLst>
            <a:ext uri="{FF2B5EF4-FFF2-40B4-BE49-F238E27FC236}">
              <a16:creationId xmlns:a16="http://schemas.microsoft.com/office/drawing/2014/main" id="{CE7054D3-92E6-40C7-B603-61E0208528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52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</xdr:row>
      <xdr:rowOff>0</xdr:rowOff>
    </xdr:from>
    <xdr:to>
      <xdr:col>0</xdr:col>
      <xdr:colOff>171450</xdr:colOff>
      <xdr:row>414</xdr:row>
      <xdr:rowOff>133350</xdr:rowOff>
    </xdr:to>
    <xdr:pic>
      <xdr:nvPicPr>
        <xdr:cNvPr id="1805" name="Picture@5C\QPendientes@" descr="@5C\QPendientes@">
          <a:extLst>
            <a:ext uri="{FF2B5EF4-FFF2-40B4-BE49-F238E27FC236}">
              <a16:creationId xmlns:a16="http://schemas.microsoft.com/office/drawing/2014/main" id="{03B43673-404C-4187-BBCD-347EC5905C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71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</xdr:row>
      <xdr:rowOff>0</xdr:rowOff>
    </xdr:from>
    <xdr:to>
      <xdr:col>0</xdr:col>
      <xdr:colOff>171450</xdr:colOff>
      <xdr:row>415</xdr:row>
      <xdr:rowOff>133350</xdr:rowOff>
    </xdr:to>
    <xdr:pic>
      <xdr:nvPicPr>
        <xdr:cNvPr id="1806" name="Picture@5C\QPendientes@" descr="@5C\QPendientes@">
          <a:extLst>
            <a:ext uri="{FF2B5EF4-FFF2-40B4-BE49-F238E27FC236}">
              <a16:creationId xmlns:a16="http://schemas.microsoft.com/office/drawing/2014/main" id="{540F7E18-F679-4B98-A337-AFDBBD8E9E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89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</xdr:row>
      <xdr:rowOff>0</xdr:rowOff>
    </xdr:from>
    <xdr:to>
      <xdr:col>0</xdr:col>
      <xdr:colOff>171450</xdr:colOff>
      <xdr:row>416</xdr:row>
      <xdr:rowOff>133350</xdr:rowOff>
    </xdr:to>
    <xdr:pic>
      <xdr:nvPicPr>
        <xdr:cNvPr id="1807" name="Picture@5C\QPendientes@" descr="@5C\QPendientes@">
          <a:extLst>
            <a:ext uri="{FF2B5EF4-FFF2-40B4-BE49-F238E27FC236}">
              <a16:creationId xmlns:a16="http://schemas.microsoft.com/office/drawing/2014/main" id="{59FA65BC-0353-45D5-8140-FB68579AE5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07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</xdr:row>
      <xdr:rowOff>0</xdr:rowOff>
    </xdr:from>
    <xdr:to>
      <xdr:col>0</xdr:col>
      <xdr:colOff>171450</xdr:colOff>
      <xdr:row>417</xdr:row>
      <xdr:rowOff>133350</xdr:rowOff>
    </xdr:to>
    <xdr:pic>
      <xdr:nvPicPr>
        <xdr:cNvPr id="1808" name="Picture@5C\QPendientes@" descr="@5C\QPendientes@">
          <a:extLst>
            <a:ext uri="{FF2B5EF4-FFF2-40B4-BE49-F238E27FC236}">
              <a16:creationId xmlns:a16="http://schemas.microsoft.com/office/drawing/2014/main" id="{0C2A956A-FB19-4B93-893B-F122CCD025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26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</xdr:row>
      <xdr:rowOff>0</xdr:rowOff>
    </xdr:from>
    <xdr:to>
      <xdr:col>0</xdr:col>
      <xdr:colOff>171450</xdr:colOff>
      <xdr:row>418</xdr:row>
      <xdr:rowOff>133350</xdr:rowOff>
    </xdr:to>
    <xdr:pic>
      <xdr:nvPicPr>
        <xdr:cNvPr id="1809" name="Picture@5C\QPendientes@" descr="@5C\QPendientes@">
          <a:extLst>
            <a:ext uri="{FF2B5EF4-FFF2-40B4-BE49-F238E27FC236}">
              <a16:creationId xmlns:a16="http://schemas.microsoft.com/office/drawing/2014/main" id="{FD24215E-2A23-4B5C-958D-D4E9F30DA6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44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</xdr:row>
      <xdr:rowOff>0</xdr:rowOff>
    </xdr:from>
    <xdr:to>
      <xdr:col>0</xdr:col>
      <xdr:colOff>171450</xdr:colOff>
      <xdr:row>419</xdr:row>
      <xdr:rowOff>133350</xdr:rowOff>
    </xdr:to>
    <xdr:pic>
      <xdr:nvPicPr>
        <xdr:cNvPr id="1810" name="Picture@5C\QPendientes@" descr="@5C\QPendientes@">
          <a:extLst>
            <a:ext uri="{FF2B5EF4-FFF2-40B4-BE49-F238E27FC236}">
              <a16:creationId xmlns:a16="http://schemas.microsoft.com/office/drawing/2014/main" id="{3D915298-D80A-4D28-9829-EFF496B4EC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62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</xdr:row>
      <xdr:rowOff>0</xdr:rowOff>
    </xdr:from>
    <xdr:to>
      <xdr:col>0</xdr:col>
      <xdr:colOff>171450</xdr:colOff>
      <xdr:row>420</xdr:row>
      <xdr:rowOff>133350</xdr:rowOff>
    </xdr:to>
    <xdr:pic>
      <xdr:nvPicPr>
        <xdr:cNvPr id="1811" name="Picture@5C\QPendientes@" descr="@5C\QPendientes@">
          <a:extLst>
            <a:ext uri="{FF2B5EF4-FFF2-40B4-BE49-F238E27FC236}">
              <a16:creationId xmlns:a16="http://schemas.microsoft.com/office/drawing/2014/main" id="{CB28781F-5769-42E4-8EDB-A04602FA45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80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</xdr:row>
      <xdr:rowOff>0</xdr:rowOff>
    </xdr:from>
    <xdr:to>
      <xdr:col>0</xdr:col>
      <xdr:colOff>171450</xdr:colOff>
      <xdr:row>421</xdr:row>
      <xdr:rowOff>133350</xdr:rowOff>
    </xdr:to>
    <xdr:pic>
      <xdr:nvPicPr>
        <xdr:cNvPr id="1812" name="Picture@5C\QPendientes@" descr="@5C\QPendientes@">
          <a:extLst>
            <a:ext uri="{FF2B5EF4-FFF2-40B4-BE49-F238E27FC236}">
              <a16:creationId xmlns:a16="http://schemas.microsoft.com/office/drawing/2014/main" id="{7AC071E4-EDEC-403E-8F75-F0BFE10EF1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99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</xdr:row>
      <xdr:rowOff>0</xdr:rowOff>
    </xdr:from>
    <xdr:to>
      <xdr:col>0</xdr:col>
      <xdr:colOff>171450</xdr:colOff>
      <xdr:row>422</xdr:row>
      <xdr:rowOff>133350</xdr:rowOff>
    </xdr:to>
    <xdr:pic>
      <xdr:nvPicPr>
        <xdr:cNvPr id="1813" name="Picture@5C\QPendientes@" descr="@5C\QPendientes@">
          <a:extLst>
            <a:ext uri="{FF2B5EF4-FFF2-40B4-BE49-F238E27FC236}">
              <a16:creationId xmlns:a16="http://schemas.microsoft.com/office/drawing/2014/main" id="{5EDF748F-B0BD-4EA4-9CBD-5CA511AA76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17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</xdr:row>
      <xdr:rowOff>0</xdr:rowOff>
    </xdr:from>
    <xdr:to>
      <xdr:col>0</xdr:col>
      <xdr:colOff>171450</xdr:colOff>
      <xdr:row>423</xdr:row>
      <xdr:rowOff>133350</xdr:rowOff>
    </xdr:to>
    <xdr:pic>
      <xdr:nvPicPr>
        <xdr:cNvPr id="1814" name="Picture@5C\QPendientes@" descr="@5C\QPendientes@">
          <a:extLst>
            <a:ext uri="{FF2B5EF4-FFF2-40B4-BE49-F238E27FC236}">
              <a16:creationId xmlns:a16="http://schemas.microsoft.com/office/drawing/2014/main" id="{B22C16CA-F84C-4356-B44F-DF0CA64D17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35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</xdr:row>
      <xdr:rowOff>0</xdr:rowOff>
    </xdr:from>
    <xdr:to>
      <xdr:col>0</xdr:col>
      <xdr:colOff>171450</xdr:colOff>
      <xdr:row>424</xdr:row>
      <xdr:rowOff>133350</xdr:rowOff>
    </xdr:to>
    <xdr:pic>
      <xdr:nvPicPr>
        <xdr:cNvPr id="1815" name="Picture@5C\QPendientes@" descr="@5C\QPendientes@">
          <a:extLst>
            <a:ext uri="{FF2B5EF4-FFF2-40B4-BE49-F238E27FC236}">
              <a16:creationId xmlns:a16="http://schemas.microsoft.com/office/drawing/2014/main" id="{0C61D9FF-4356-482F-8909-3CB748716A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54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</xdr:row>
      <xdr:rowOff>0</xdr:rowOff>
    </xdr:from>
    <xdr:to>
      <xdr:col>0</xdr:col>
      <xdr:colOff>171450</xdr:colOff>
      <xdr:row>425</xdr:row>
      <xdr:rowOff>133350</xdr:rowOff>
    </xdr:to>
    <xdr:pic>
      <xdr:nvPicPr>
        <xdr:cNvPr id="1816" name="Picture@5C\QPendientes@" descr="@5C\QPendientes@">
          <a:extLst>
            <a:ext uri="{FF2B5EF4-FFF2-40B4-BE49-F238E27FC236}">
              <a16:creationId xmlns:a16="http://schemas.microsoft.com/office/drawing/2014/main" id="{1137436C-C3FA-4333-AE52-D3CC53F8F9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72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</xdr:row>
      <xdr:rowOff>0</xdr:rowOff>
    </xdr:from>
    <xdr:to>
      <xdr:col>0</xdr:col>
      <xdr:colOff>171450</xdr:colOff>
      <xdr:row>426</xdr:row>
      <xdr:rowOff>133350</xdr:rowOff>
    </xdr:to>
    <xdr:pic>
      <xdr:nvPicPr>
        <xdr:cNvPr id="1817" name="Picture@5C\QPendientes@" descr="@5C\QPendientes@">
          <a:extLst>
            <a:ext uri="{FF2B5EF4-FFF2-40B4-BE49-F238E27FC236}">
              <a16:creationId xmlns:a16="http://schemas.microsoft.com/office/drawing/2014/main" id="{B5FCBBB1-09B9-4DC9-BD66-0D0A28B4C2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90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</xdr:row>
      <xdr:rowOff>0</xdr:rowOff>
    </xdr:from>
    <xdr:to>
      <xdr:col>0</xdr:col>
      <xdr:colOff>171450</xdr:colOff>
      <xdr:row>427</xdr:row>
      <xdr:rowOff>133350</xdr:rowOff>
    </xdr:to>
    <xdr:pic>
      <xdr:nvPicPr>
        <xdr:cNvPr id="1818" name="Picture@5C\QPendientes@" descr="@5C\QPendientes@">
          <a:extLst>
            <a:ext uri="{FF2B5EF4-FFF2-40B4-BE49-F238E27FC236}">
              <a16:creationId xmlns:a16="http://schemas.microsoft.com/office/drawing/2014/main" id="{C000F84F-E03C-47ED-B739-1079923DED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08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</xdr:row>
      <xdr:rowOff>0</xdr:rowOff>
    </xdr:from>
    <xdr:to>
      <xdr:col>0</xdr:col>
      <xdr:colOff>171450</xdr:colOff>
      <xdr:row>428</xdr:row>
      <xdr:rowOff>133350</xdr:rowOff>
    </xdr:to>
    <xdr:pic>
      <xdr:nvPicPr>
        <xdr:cNvPr id="1819" name="Picture@5C\QPendientes@" descr="@5C\QPendientes@">
          <a:extLst>
            <a:ext uri="{FF2B5EF4-FFF2-40B4-BE49-F238E27FC236}">
              <a16:creationId xmlns:a16="http://schemas.microsoft.com/office/drawing/2014/main" id="{27A5B2C8-111F-4CB4-9FFC-A42E2F4371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27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</xdr:row>
      <xdr:rowOff>0</xdr:rowOff>
    </xdr:from>
    <xdr:to>
      <xdr:col>0</xdr:col>
      <xdr:colOff>171450</xdr:colOff>
      <xdr:row>429</xdr:row>
      <xdr:rowOff>133350</xdr:rowOff>
    </xdr:to>
    <xdr:pic>
      <xdr:nvPicPr>
        <xdr:cNvPr id="1820" name="Picture@5C\QPendientes@" descr="@5C\QPendientes@">
          <a:extLst>
            <a:ext uri="{FF2B5EF4-FFF2-40B4-BE49-F238E27FC236}">
              <a16:creationId xmlns:a16="http://schemas.microsoft.com/office/drawing/2014/main" id="{5443BDD6-968F-4E3C-91EE-BC1149ABFD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45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</xdr:row>
      <xdr:rowOff>0</xdr:rowOff>
    </xdr:from>
    <xdr:to>
      <xdr:col>0</xdr:col>
      <xdr:colOff>171450</xdr:colOff>
      <xdr:row>430</xdr:row>
      <xdr:rowOff>133350</xdr:rowOff>
    </xdr:to>
    <xdr:pic>
      <xdr:nvPicPr>
        <xdr:cNvPr id="1821" name="Picture@5C\QPendientes@" descr="@5C\QPendientes@">
          <a:extLst>
            <a:ext uri="{FF2B5EF4-FFF2-40B4-BE49-F238E27FC236}">
              <a16:creationId xmlns:a16="http://schemas.microsoft.com/office/drawing/2014/main" id="{87FD5A73-B4BB-4E84-B050-2992FFE4DD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63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</xdr:row>
      <xdr:rowOff>0</xdr:rowOff>
    </xdr:from>
    <xdr:to>
      <xdr:col>0</xdr:col>
      <xdr:colOff>171450</xdr:colOff>
      <xdr:row>431</xdr:row>
      <xdr:rowOff>133350</xdr:rowOff>
    </xdr:to>
    <xdr:pic>
      <xdr:nvPicPr>
        <xdr:cNvPr id="1822" name="Picture@5C\QPendientes@" descr="@5C\QPendientes@">
          <a:extLst>
            <a:ext uri="{FF2B5EF4-FFF2-40B4-BE49-F238E27FC236}">
              <a16:creationId xmlns:a16="http://schemas.microsoft.com/office/drawing/2014/main" id="{8D086A80-1E68-4D40-AEFA-CF1359E0A3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82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</xdr:row>
      <xdr:rowOff>0</xdr:rowOff>
    </xdr:from>
    <xdr:to>
      <xdr:col>0</xdr:col>
      <xdr:colOff>171450</xdr:colOff>
      <xdr:row>432</xdr:row>
      <xdr:rowOff>133350</xdr:rowOff>
    </xdr:to>
    <xdr:pic>
      <xdr:nvPicPr>
        <xdr:cNvPr id="1823" name="Picture@5C\QPendientes@" descr="@5C\QPendientes@">
          <a:extLst>
            <a:ext uri="{FF2B5EF4-FFF2-40B4-BE49-F238E27FC236}">
              <a16:creationId xmlns:a16="http://schemas.microsoft.com/office/drawing/2014/main" id="{C8CE0144-6799-4271-BD43-8415683402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00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</xdr:row>
      <xdr:rowOff>0</xdr:rowOff>
    </xdr:from>
    <xdr:to>
      <xdr:col>0</xdr:col>
      <xdr:colOff>171450</xdr:colOff>
      <xdr:row>433</xdr:row>
      <xdr:rowOff>133350</xdr:rowOff>
    </xdr:to>
    <xdr:pic>
      <xdr:nvPicPr>
        <xdr:cNvPr id="1824" name="Picture@5C\QPendientes@" descr="@5C\QPendientes@">
          <a:extLst>
            <a:ext uri="{FF2B5EF4-FFF2-40B4-BE49-F238E27FC236}">
              <a16:creationId xmlns:a16="http://schemas.microsoft.com/office/drawing/2014/main" id="{042A0BBA-1B03-4ABE-B85F-438AE85CDA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18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</xdr:row>
      <xdr:rowOff>0</xdr:rowOff>
    </xdr:from>
    <xdr:to>
      <xdr:col>0</xdr:col>
      <xdr:colOff>171450</xdr:colOff>
      <xdr:row>434</xdr:row>
      <xdr:rowOff>133350</xdr:rowOff>
    </xdr:to>
    <xdr:pic>
      <xdr:nvPicPr>
        <xdr:cNvPr id="1825" name="Picture@5C\QPendientes@" descr="@5C\QPendientes@">
          <a:extLst>
            <a:ext uri="{FF2B5EF4-FFF2-40B4-BE49-F238E27FC236}">
              <a16:creationId xmlns:a16="http://schemas.microsoft.com/office/drawing/2014/main" id="{C9CBE81F-7091-42D9-92E6-2008FA452E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36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</xdr:row>
      <xdr:rowOff>0</xdr:rowOff>
    </xdr:from>
    <xdr:to>
      <xdr:col>0</xdr:col>
      <xdr:colOff>171450</xdr:colOff>
      <xdr:row>435</xdr:row>
      <xdr:rowOff>133350</xdr:rowOff>
    </xdr:to>
    <xdr:pic>
      <xdr:nvPicPr>
        <xdr:cNvPr id="1826" name="Picture@5C\QPendientes@" descr="@5C\QPendientes@">
          <a:extLst>
            <a:ext uri="{FF2B5EF4-FFF2-40B4-BE49-F238E27FC236}">
              <a16:creationId xmlns:a16="http://schemas.microsoft.com/office/drawing/2014/main" id="{2713243C-FEC0-4188-90FB-66140C298D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55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</xdr:row>
      <xdr:rowOff>0</xdr:rowOff>
    </xdr:from>
    <xdr:to>
      <xdr:col>0</xdr:col>
      <xdr:colOff>171450</xdr:colOff>
      <xdr:row>436</xdr:row>
      <xdr:rowOff>133350</xdr:rowOff>
    </xdr:to>
    <xdr:pic>
      <xdr:nvPicPr>
        <xdr:cNvPr id="1827" name="Picture@5C\QPendientes@" descr="@5C\QPendientes@">
          <a:extLst>
            <a:ext uri="{FF2B5EF4-FFF2-40B4-BE49-F238E27FC236}">
              <a16:creationId xmlns:a16="http://schemas.microsoft.com/office/drawing/2014/main" id="{82F3DA9E-BBB2-45F8-8915-7E21169AAE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73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</xdr:row>
      <xdr:rowOff>0</xdr:rowOff>
    </xdr:from>
    <xdr:to>
      <xdr:col>0</xdr:col>
      <xdr:colOff>171450</xdr:colOff>
      <xdr:row>437</xdr:row>
      <xdr:rowOff>133350</xdr:rowOff>
    </xdr:to>
    <xdr:pic>
      <xdr:nvPicPr>
        <xdr:cNvPr id="1828" name="Picture@5C\QPendientes@" descr="@5C\QPendientes@">
          <a:extLst>
            <a:ext uri="{FF2B5EF4-FFF2-40B4-BE49-F238E27FC236}">
              <a16:creationId xmlns:a16="http://schemas.microsoft.com/office/drawing/2014/main" id="{A8CBD3D2-3288-45C0-9DA6-9EEAFF3EB9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91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</xdr:row>
      <xdr:rowOff>0</xdr:rowOff>
    </xdr:from>
    <xdr:to>
      <xdr:col>0</xdr:col>
      <xdr:colOff>171450</xdr:colOff>
      <xdr:row>438</xdr:row>
      <xdr:rowOff>133350</xdr:rowOff>
    </xdr:to>
    <xdr:pic>
      <xdr:nvPicPr>
        <xdr:cNvPr id="1829" name="Picture@5C\QPendientes@" descr="@5C\QPendientes@">
          <a:extLst>
            <a:ext uri="{FF2B5EF4-FFF2-40B4-BE49-F238E27FC236}">
              <a16:creationId xmlns:a16="http://schemas.microsoft.com/office/drawing/2014/main" id="{C4CA9CC7-B1BF-47F3-B329-AC2D718795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10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</xdr:row>
      <xdr:rowOff>0</xdr:rowOff>
    </xdr:from>
    <xdr:to>
      <xdr:col>0</xdr:col>
      <xdr:colOff>171450</xdr:colOff>
      <xdr:row>439</xdr:row>
      <xdr:rowOff>133350</xdr:rowOff>
    </xdr:to>
    <xdr:pic>
      <xdr:nvPicPr>
        <xdr:cNvPr id="1830" name="Picture@5C\QPendientes@" descr="@5C\QPendientes@">
          <a:extLst>
            <a:ext uri="{FF2B5EF4-FFF2-40B4-BE49-F238E27FC236}">
              <a16:creationId xmlns:a16="http://schemas.microsoft.com/office/drawing/2014/main" id="{C3F7E465-D0F9-4088-87AF-7FD0299190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28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</xdr:row>
      <xdr:rowOff>0</xdr:rowOff>
    </xdr:from>
    <xdr:to>
      <xdr:col>0</xdr:col>
      <xdr:colOff>171450</xdr:colOff>
      <xdr:row>440</xdr:row>
      <xdr:rowOff>133350</xdr:rowOff>
    </xdr:to>
    <xdr:pic>
      <xdr:nvPicPr>
        <xdr:cNvPr id="1831" name="Picture@5C\QPendientes@" descr="@5C\QPendientes@">
          <a:extLst>
            <a:ext uri="{FF2B5EF4-FFF2-40B4-BE49-F238E27FC236}">
              <a16:creationId xmlns:a16="http://schemas.microsoft.com/office/drawing/2014/main" id="{C8A1893A-A15D-4CAB-ABF0-99208B0978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46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</xdr:row>
      <xdr:rowOff>0</xdr:rowOff>
    </xdr:from>
    <xdr:to>
      <xdr:col>0</xdr:col>
      <xdr:colOff>171450</xdr:colOff>
      <xdr:row>441</xdr:row>
      <xdr:rowOff>133350</xdr:rowOff>
    </xdr:to>
    <xdr:pic>
      <xdr:nvPicPr>
        <xdr:cNvPr id="1832" name="Picture@5C\QPendientes@" descr="@5C\QPendientes@">
          <a:extLst>
            <a:ext uri="{FF2B5EF4-FFF2-40B4-BE49-F238E27FC236}">
              <a16:creationId xmlns:a16="http://schemas.microsoft.com/office/drawing/2014/main" id="{EDF671B9-F142-4294-9227-5A9BFEC341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65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</xdr:row>
      <xdr:rowOff>0</xdr:rowOff>
    </xdr:from>
    <xdr:to>
      <xdr:col>0</xdr:col>
      <xdr:colOff>171450</xdr:colOff>
      <xdr:row>442</xdr:row>
      <xdr:rowOff>133350</xdr:rowOff>
    </xdr:to>
    <xdr:pic>
      <xdr:nvPicPr>
        <xdr:cNvPr id="1833" name="Picture@5C\QPendientes@" descr="@5C\QPendientes@">
          <a:extLst>
            <a:ext uri="{FF2B5EF4-FFF2-40B4-BE49-F238E27FC236}">
              <a16:creationId xmlns:a16="http://schemas.microsoft.com/office/drawing/2014/main" id="{B35578D8-7814-424C-B4EE-364D2E89E4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83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</xdr:row>
      <xdr:rowOff>0</xdr:rowOff>
    </xdr:from>
    <xdr:to>
      <xdr:col>0</xdr:col>
      <xdr:colOff>171450</xdr:colOff>
      <xdr:row>443</xdr:row>
      <xdr:rowOff>133350</xdr:rowOff>
    </xdr:to>
    <xdr:pic>
      <xdr:nvPicPr>
        <xdr:cNvPr id="1834" name="Picture@5C\QPendientes@" descr="@5C\QPendientes@">
          <a:extLst>
            <a:ext uri="{FF2B5EF4-FFF2-40B4-BE49-F238E27FC236}">
              <a16:creationId xmlns:a16="http://schemas.microsoft.com/office/drawing/2014/main" id="{CBE29B5A-7D5A-4AA3-B690-5E8BD068F2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01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</xdr:row>
      <xdr:rowOff>0</xdr:rowOff>
    </xdr:from>
    <xdr:to>
      <xdr:col>0</xdr:col>
      <xdr:colOff>171450</xdr:colOff>
      <xdr:row>444</xdr:row>
      <xdr:rowOff>133350</xdr:rowOff>
    </xdr:to>
    <xdr:pic>
      <xdr:nvPicPr>
        <xdr:cNvPr id="1835" name="Picture@5C\QPendientes@" descr="@5C\QPendientes@">
          <a:extLst>
            <a:ext uri="{FF2B5EF4-FFF2-40B4-BE49-F238E27FC236}">
              <a16:creationId xmlns:a16="http://schemas.microsoft.com/office/drawing/2014/main" id="{E06B8DF5-E402-4AA0-8FB6-C376BCB139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19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</xdr:row>
      <xdr:rowOff>0</xdr:rowOff>
    </xdr:from>
    <xdr:to>
      <xdr:col>0</xdr:col>
      <xdr:colOff>171450</xdr:colOff>
      <xdr:row>445</xdr:row>
      <xdr:rowOff>133350</xdr:rowOff>
    </xdr:to>
    <xdr:pic>
      <xdr:nvPicPr>
        <xdr:cNvPr id="1836" name="Picture@5C\QPendientes@" descr="@5C\QPendientes@">
          <a:extLst>
            <a:ext uri="{FF2B5EF4-FFF2-40B4-BE49-F238E27FC236}">
              <a16:creationId xmlns:a16="http://schemas.microsoft.com/office/drawing/2014/main" id="{6DA17876-A0CB-4029-90D8-797BC7BD82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38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</xdr:row>
      <xdr:rowOff>0</xdr:rowOff>
    </xdr:from>
    <xdr:to>
      <xdr:col>0</xdr:col>
      <xdr:colOff>171450</xdr:colOff>
      <xdr:row>446</xdr:row>
      <xdr:rowOff>133350</xdr:rowOff>
    </xdr:to>
    <xdr:pic>
      <xdr:nvPicPr>
        <xdr:cNvPr id="1837" name="Picture@5C\QPendientes@" descr="@5C\QPendientes@">
          <a:extLst>
            <a:ext uri="{FF2B5EF4-FFF2-40B4-BE49-F238E27FC236}">
              <a16:creationId xmlns:a16="http://schemas.microsoft.com/office/drawing/2014/main" id="{A6F01EAF-771A-4EA9-BEF5-BC220207EF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56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</xdr:row>
      <xdr:rowOff>0</xdr:rowOff>
    </xdr:from>
    <xdr:to>
      <xdr:col>0</xdr:col>
      <xdr:colOff>171450</xdr:colOff>
      <xdr:row>447</xdr:row>
      <xdr:rowOff>133350</xdr:rowOff>
    </xdr:to>
    <xdr:pic>
      <xdr:nvPicPr>
        <xdr:cNvPr id="1838" name="Picture@5C\QPendientes@" descr="@5C\QPendientes@">
          <a:extLst>
            <a:ext uri="{FF2B5EF4-FFF2-40B4-BE49-F238E27FC236}">
              <a16:creationId xmlns:a16="http://schemas.microsoft.com/office/drawing/2014/main" id="{331D2392-A884-4EE2-8F3A-5DC039006C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74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</xdr:row>
      <xdr:rowOff>0</xdr:rowOff>
    </xdr:from>
    <xdr:to>
      <xdr:col>0</xdr:col>
      <xdr:colOff>171450</xdr:colOff>
      <xdr:row>448</xdr:row>
      <xdr:rowOff>133350</xdr:rowOff>
    </xdr:to>
    <xdr:pic>
      <xdr:nvPicPr>
        <xdr:cNvPr id="1839" name="Picture@5C\QPendientes@" descr="@5C\QPendientes@">
          <a:extLst>
            <a:ext uri="{FF2B5EF4-FFF2-40B4-BE49-F238E27FC236}">
              <a16:creationId xmlns:a16="http://schemas.microsoft.com/office/drawing/2014/main" id="{776A5141-8946-4801-878E-05DF3D3F2A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93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</xdr:row>
      <xdr:rowOff>0</xdr:rowOff>
    </xdr:from>
    <xdr:to>
      <xdr:col>0</xdr:col>
      <xdr:colOff>171450</xdr:colOff>
      <xdr:row>449</xdr:row>
      <xdr:rowOff>133350</xdr:rowOff>
    </xdr:to>
    <xdr:pic>
      <xdr:nvPicPr>
        <xdr:cNvPr id="1840" name="Picture@5C\QPendientes@" descr="@5C\QPendientes@">
          <a:extLst>
            <a:ext uri="{FF2B5EF4-FFF2-40B4-BE49-F238E27FC236}">
              <a16:creationId xmlns:a16="http://schemas.microsoft.com/office/drawing/2014/main" id="{65E34454-12E8-4AC1-8195-1DC5F5AB21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11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</xdr:row>
      <xdr:rowOff>0</xdr:rowOff>
    </xdr:from>
    <xdr:to>
      <xdr:col>0</xdr:col>
      <xdr:colOff>171450</xdr:colOff>
      <xdr:row>450</xdr:row>
      <xdr:rowOff>133350</xdr:rowOff>
    </xdr:to>
    <xdr:pic>
      <xdr:nvPicPr>
        <xdr:cNvPr id="1841" name="Picture@5C\QPendientes@" descr="@5C\QPendientes@">
          <a:extLst>
            <a:ext uri="{FF2B5EF4-FFF2-40B4-BE49-F238E27FC236}">
              <a16:creationId xmlns:a16="http://schemas.microsoft.com/office/drawing/2014/main" id="{EC71E06E-FA1A-4A24-81BF-5B08F73A14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29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</xdr:row>
      <xdr:rowOff>0</xdr:rowOff>
    </xdr:from>
    <xdr:to>
      <xdr:col>0</xdr:col>
      <xdr:colOff>171450</xdr:colOff>
      <xdr:row>451</xdr:row>
      <xdr:rowOff>133350</xdr:rowOff>
    </xdr:to>
    <xdr:pic>
      <xdr:nvPicPr>
        <xdr:cNvPr id="1842" name="Picture@5C\QPendientes@" descr="@5C\QPendientes@">
          <a:extLst>
            <a:ext uri="{FF2B5EF4-FFF2-40B4-BE49-F238E27FC236}">
              <a16:creationId xmlns:a16="http://schemas.microsoft.com/office/drawing/2014/main" id="{64E305FD-1075-4415-BD97-933B69AF70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47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</xdr:row>
      <xdr:rowOff>0</xdr:rowOff>
    </xdr:from>
    <xdr:to>
      <xdr:col>0</xdr:col>
      <xdr:colOff>171450</xdr:colOff>
      <xdr:row>452</xdr:row>
      <xdr:rowOff>133350</xdr:rowOff>
    </xdr:to>
    <xdr:pic>
      <xdr:nvPicPr>
        <xdr:cNvPr id="1843" name="Picture@5C\QPendientes@" descr="@5C\QPendientes@">
          <a:extLst>
            <a:ext uri="{FF2B5EF4-FFF2-40B4-BE49-F238E27FC236}">
              <a16:creationId xmlns:a16="http://schemas.microsoft.com/office/drawing/2014/main" id="{C46666A1-182B-45F1-B719-82AAD2250E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66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</xdr:row>
      <xdr:rowOff>0</xdr:rowOff>
    </xdr:from>
    <xdr:to>
      <xdr:col>0</xdr:col>
      <xdr:colOff>171450</xdr:colOff>
      <xdr:row>453</xdr:row>
      <xdr:rowOff>133350</xdr:rowOff>
    </xdr:to>
    <xdr:pic>
      <xdr:nvPicPr>
        <xdr:cNvPr id="1844" name="Picture@5C\QPendientes@" descr="@5C\QPendientes@">
          <a:extLst>
            <a:ext uri="{FF2B5EF4-FFF2-40B4-BE49-F238E27FC236}">
              <a16:creationId xmlns:a16="http://schemas.microsoft.com/office/drawing/2014/main" id="{53A33866-3CC4-4369-8138-998444912B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84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</xdr:row>
      <xdr:rowOff>0</xdr:rowOff>
    </xdr:from>
    <xdr:to>
      <xdr:col>0</xdr:col>
      <xdr:colOff>171450</xdr:colOff>
      <xdr:row>454</xdr:row>
      <xdr:rowOff>133350</xdr:rowOff>
    </xdr:to>
    <xdr:pic>
      <xdr:nvPicPr>
        <xdr:cNvPr id="1845" name="Picture@5C\QPendientes@" descr="@5C\QPendientes@">
          <a:extLst>
            <a:ext uri="{FF2B5EF4-FFF2-40B4-BE49-F238E27FC236}">
              <a16:creationId xmlns:a16="http://schemas.microsoft.com/office/drawing/2014/main" id="{0F28EDD2-DA0D-4920-89D8-5D26253B43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02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</xdr:row>
      <xdr:rowOff>0</xdr:rowOff>
    </xdr:from>
    <xdr:to>
      <xdr:col>0</xdr:col>
      <xdr:colOff>171450</xdr:colOff>
      <xdr:row>455</xdr:row>
      <xdr:rowOff>133350</xdr:rowOff>
    </xdr:to>
    <xdr:pic>
      <xdr:nvPicPr>
        <xdr:cNvPr id="1846" name="Picture@5C\QPendientes@" descr="@5C\QPendientes@">
          <a:extLst>
            <a:ext uri="{FF2B5EF4-FFF2-40B4-BE49-F238E27FC236}">
              <a16:creationId xmlns:a16="http://schemas.microsoft.com/office/drawing/2014/main" id="{BFD9DC1D-8913-46D1-97A8-0F5886B4CB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21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</xdr:row>
      <xdr:rowOff>0</xdr:rowOff>
    </xdr:from>
    <xdr:to>
      <xdr:col>0</xdr:col>
      <xdr:colOff>171450</xdr:colOff>
      <xdr:row>456</xdr:row>
      <xdr:rowOff>133350</xdr:rowOff>
    </xdr:to>
    <xdr:pic>
      <xdr:nvPicPr>
        <xdr:cNvPr id="1847" name="Picture@5C\QPendientes@" descr="@5C\QPendientes@">
          <a:extLst>
            <a:ext uri="{FF2B5EF4-FFF2-40B4-BE49-F238E27FC236}">
              <a16:creationId xmlns:a16="http://schemas.microsoft.com/office/drawing/2014/main" id="{A17B43EF-B1B0-4E04-AA83-E3101B0136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39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</xdr:row>
      <xdr:rowOff>0</xdr:rowOff>
    </xdr:from>
    <xdr:to>
      <xdr:col>0</xdr:col>
      <xdr:colOff>171450</xdr:colOff>
      <xdr:row>457</xdr:row>
      <xdr:rowOff>133350</xdr:rowOff>
    </xdr:to>
    <xdr:pic>
      <xdr:nvPicPr>
        <xdr:cNvPr id="1848" name="Picture@5C\QPendientes@" descr="@5C\QPendientes@">
          <a:extLst>
            <a:ext uri="{FF2B5EF4-FFF2-40B4-BE49-F238E27FC236}">
              <a16:creationId xmlns:a16="http://schemas.microsoft.com/office/drawing/2014/main" id="{025B0B30-ADC9-4272-8A35-2613C21364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57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</xdr:row>
      <xdr:rowOff>0</xdr:rowOff>
    </xdr:from>
    <xdr:to>
      <xdr:col>0</xdr:col>
      <xdr:colOff>171450</xdr:colOff>
      <xdr:row>458</xdr:row>
      <xdr:rowOff>133350</xdr:rowOff>
    </xdr:to>
    <xdr:pic>
      <xdr:nvPicPr>
        <xdr:cNvPr id="1849" name="Picture@5C\QPendientes@" descr="@5C\QPendientes@">
          <a:extLst>
            <a:ext uri="{FF2B5EF4-FFF2-40B4-BE49-F238E27FC236}">
              <a16:creationId xmlns:a16="http://schemas.microsoft.com/office/drawing/2014/main" id="{B145A45D-DBE8-43B0-9028-7B552673A7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75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</xdr:row>
      <xdr:rowOff>0</xdr:rowOff>
    </xdr:from>
    <xdr:to>
      <xdr:col>0</xdr:col>
      <xdr:colOff>171450</xdr:colOff>
      <xdr:row>459</xdr:row>
      <xdr:rowOff>133350</xdr:rowOff>
    </xdr:to>
    <xdr:pic>
      <xdr:nvPicPr>
        <xdr:cNvPr id="1850" name="Picture@5C\QPendientes@" descr="@5C\QPendientes@">
          <a:extLst>
            <a:ext uri="{FF2B5EF4-FFF2-40B4-BE49-F238E27FC236}">
              <a16:creationId xmlns:a16="http://schemas.microsoft.com/office/drawing/2014/main" id="{D59356F1-8AA8-40AD-A9B1-7DF5D5A96A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94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</xdr:row>
      <xdr:rowOff>0</xdr:rowOff>
    </xdr:from>
    <xdr:to>
      <xdr:col>0</xdr:col>
      <xdr:colOff>171450</xdr:colOff>
      <xdr:row>460</xdr:row>
      <xdr:rowOff>133350</xdr:rowOff>
    </xdr:to>
    <xdr:pic>
      <xdr:nvPicPr>
        <xdr:cNvPr id="1851" name="Picture@5C\QPendientes@" descr="@5C\QPendientes@">
          <a:extLst>
            <a:ext uri="{FF2B5EF4-FFF2-40B4-BE49-F238E27FC236}">
              <a16:creationId xmlns:a16="http://schemas.microsoft.com/office/drawing/2014/main" id="{D8EC9957-15F2-4246-9015-656AF1BA7E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12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</xdr:row>
      <xdr:rowOff>0</xdr:rowOff>
    </xdr:from>
    <xdr:to>
      <xdr:col>0</xdr:col>
      <xdr:colOff>171450</xdr:colOff>
      <xdr:row>461</xdr:row>
      <xdr:rowOff>133350</xdr:rowOff>
    </xdr:to>
    <xdr:pic>
      <xdr:nvPicPr>
        <xdr:cNvPr id="1852" name="Picture@5C\QPendientes@" descr="@5C\QPendientes@">
          <a:extLst>
            <a:ext uri="{FF2B5EF4-FFF2-40B4-BE49-F238E27FC236}">
              <a16:creationId xmlns:a16="http://schemas.microsoft.com/office/drawing/2014/main" id="{AE0DE2C2-A052-4131-BD07-F9CEFF1817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30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</xdr:row>
      <xdr:rowOff>0</xdr:rowOff>
    </xdr:from>
    <xdr:to>
      <xdr:col>0</xdr:col>
      <xdr:colOff>171450</xdr:colOff>
      <xdr:row>462</xdr:row>
      <xdr:rowOff>133350</xdr:rowOff>
    </xdr:to>
    <xdr:pic>
      <xdr:nvPicPr>
        <xdr:cNvPr id="1853" name="Picture@5C\QPendientes@" descr="@5C\QPendientes@">
          <a:extLst>
            <a:ext uri="{FF2B5EF4-FFF2-40B4-BE49-F238E27FC236}">
              <a16:creationId xmlns:a16="http://schemas.microsoft.com/office/drawing/2014/main" id="{E8287B27-A176-4F15-8D09-D39ED9CD3F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49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</xdr:row>
      <xdr:rowOff>0</xdr:rowOff>
    </xdr:from>
    <xdr:to>
      <xdr:col>0</xdr:col>
      <xdr:colOff>171450</xdr:colOff>
      <xdr:row>463</xdr:row>
      <xdr:rowOff>133350</xdr:rowOff>
    </xdr:to>
    <xdr:pic>
      <xdr:nvPicPr>
        <xdr:cNvPr id="1854" name="Picture@5C\QPendientes@" descr="@5C\QPendientes@">
          <a:extLst>
            <a:ext uri="{FF2B5EF4-FFF2-40B4-BE49-F238E27FC236}">
              <a16:creationId xmlns:a16="http://schemas.microsoft.com/office/drawing/2014/main" id="{CA550023-85FD-4907-AAC0-AE2A4F5ACC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67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</xdr:row>
      <xdr:rowOff>0</xdr:rowOff>
    </xdr:from>
    <xdr:to>
      <xdr:col>0</xdr:col>
      <xdr:colOff>171450</xdr:colOff>
      <xdr:row>464</xdr:row>
      <xdr:rowOff>133350</xdr:rowOff>
    </xdr:to>
    <xdr:pic>
      <xdr:nvPicPr>
        <xdr:cNvPr id="1855" name="Picture@5C\QPendientes@" descr="@5C\QPendientes@">
          <a:extLst>
            <a:ext uri="{FF2B5EF4-FFF2-40B4-BE49-F238E27FC236}">
              <a16:creationId xmlns:a16="http://schemas.microsoft.com/office/drawing/2014/main" id="{51D9A54B-36B0-4581-95C2-150E498DFB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85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</xdr:row>
      <xdr:rowOff>0</xdr:rowOff>
    </xdr:from>
    <xdr:to>
      <xdr:col>0</xdr:col>
      <xdr:colOff>171450</xdr:colOff>
      <xdr:row>465</xdr:row>
      <xdr:rowOff>133350</xdr:rowOff>
    </xdr:to>
    <xdr:pic>
      <xdr:nvPicPr>
        <xdr:cNvPr id="1856" name="Picture@5C\QPendientes@" descr="@5C\QPendientes@">
          <a:extLst>
            <a:ext uri="{FF2B5EF4-FFF2-40B4-BE49-F238E27FC236}">
              <a16:creationId xmlns:a16="http://schemas.microsoft.com/office/drawing/2014/main" id="{A6489CA6-A097-4B59-8964-438416463F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03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</xdr:row>
      <xdr:rowOff>0</xdr:rowOff>
    </xdr:from>
    <xdr:to>
      <xdr:col>0</xdr:col>
      <xdr:colOff>171450</xdr:colOff>
      <xdr:row>466</xdr:row>
      <xdr:rowOff>133350</xdr:rowOff>
    </xdr:to>
    <xdr:pic>
      <xdr:nvPicPr>
        <xdr:cNvPr id="1857" name="Picture@5C\QPendientes@" descr="@5C\QPendientes@">
          <a:extLst>
            <a:ext uri="{FF2B5EF4-FFF2-40B4-BE49-F238E27FC236}">
              <a16:creationId xmlns:a16="http://schemas.microsoft.com/office/drawing/2014/main" id="{75154FAE-1EEF-4AEE-BF51-F94B8B232B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22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</xdr:row>
      <xdr:rowOff>0</xdr:rowOff>
    </xdr:from>
    <xdr:to>
      <xdr:col>0</xdr:col>
      <xdr:colOff>171450</xdr:colOff>
      <xdr:row>467</xdr:row>
      <xdr:rowOff>133350</xdr:rowOff>
    </xdr:to>
    <xdr:pic>
      <xdr:nvPicPr>
        <xdr:cNvPr id="1858" name="Picture@5C\QPendientes@" descr="@5C\QPendientes@">
          <a:extLst>
            <a:ext uri="{FF2B5EF4-FFF2-40B4-BE49-F238E27FC236}">
              <a16:creationId xmlns:a16="http://schemas.microsoft.com/office/drawing/2014/main" id="{13781E34-0CEF-4F00-B9D7-230A91FE7B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40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</xdr:row>
      <xdr:rowOff>0</xdr:rowOff>
    </xdr:from>
    <xdr:to>
      <xdr:col>0</xdr:col>
      <xdr:colOff>171450</xdr:colOff>
      <xdr:row>468</xdr:row>
      <xdr:rowOff>133350</xdr:rowOff>
    </xdr:to>
    <xdr:pic>
      <xdr:nvPicPr>
        <xdr:cNvPr id="1859" name="Picture@5C\QPendientes@" descr="@5C\QPendientes@">
          <a:extLst>
            <a:ext uri="{FF2B5EF4-FFF2-40B4-BE49-F238E27FC236}">
              <a16:creationId xmlns:a16="http://schemas.microsoft.com/office/drawing/2014/main" id="{A8FA23E3-CADE-4748-8C7E-7B00285FEC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58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</xdr:row>
      <xdr:rowOff>0</xdr:rowOff>
    </xdr:from>
    <xdr:to>
      <xdr:col>0</xdr:col>
      <xdr:colOff>171450</xdr:colOff>
      <xdr:row>469</xdr:row>
      <xdr:rowOff>133350</xdr:rowOff>
    </xdr:to>
    <xdr:pic>
      <xdr:nvPicPr>
        <xdr:cNvPr id="1860" name="Picture@5C\QPendientes@" descr="@5C\QPendientes@">
          <a:extLst>
            <a:ext uri="{FF2B5EF4-FFF2-40B4-BE49-F238E27FC236}">
              <a16:creationId xmlns:a16="http://schemas.microsoft.com/office/drawing/2014/main" id="{0121E41E-E796-470B-BB63-61118A58D7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77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</xdr:row>
      <xdr:rowOff>0</xdr:rowOff>
    </xdr:from>
    <xdr:to>
      <xdr:col>0</xdr:col>
      <xdr:colOff>171450</xdr:colOff>
      <xdr:row>470</xdr:row>
      <xdr:rowOff>133350</xdr:rowOff>
    </xdr:to>
    <xdr:pic>
      <xdr:nvPicPr>
        <xdr:cNvPr id="1861" name="Picture@5C\QPendientes@" descr="@5C\QPendientes@">
          <a:extLst>
            <a:ext uri="{FF2B5EF4-FFF2-40B4-BE49-F238E27FC236}">
              <a16:creationId xmlns:a16="http://schemas.microsoft.com/office/drawing/2014/main" id="{F9EF2B12-7EFB-4939-A4FE-2027905604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95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</xdr:row>
      <xdr:rowOff>0</xdr:rowOff>
    </xdr:from>
    <xdr:to>
      <xdr:col>0</xdr:col>
      <xdr:colOff>171450</xdr:colOff>
      <xdr:row>471</xdr:row>
      <xdr:rowOff>133350</xdr:rowOff>
    </xdr:to>
    <xdr:pic>
      <xdr:nvPicPr>
        <xdr:cNvPr id="1862" name="Picture@5C\QPendientes@" descr="@5C\QPendientes@">
          <a:extLst>
            <a:ext uri="{FF2B5EF4-FFF2-40B4-BE49-F238E27FC236}">
              <a16:creationId xmlns:a16="http://schemas.microsoft.com/office/drawing/2014/main" id="{113340EC-BEA5-4F5F-AFF8-D4EA9F617D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13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</xdr:row>
      <xdr:rowOff>0</xdr:rowOff>
    </xdr:from>
    <xdr:to>
      <xdr:col>0</xdr:col>
      <xdr:colOff>171450</xdr:colOff>
      <xdr:row>472</xdr:row>
      <xdr:rowOff>133350</xdr:rowOff>
    </xdr:to>
    <xdr:pic>
      <xdr:nvPicPr>
        <xdr:cNvPr id="1863" name="Picture@5C\QPendientes@" descr="@5C\QPendientes@">
          <a:extLst>
            <a:ext uri="{FF2B5EF4-FFF2-40B4-BE49-F238E27FC236}">
              <a16:creationId xmlns:a16="http://schemas.microsoft.com/office/drawing/2014/main" id="{26AEB6F6-3070-46B1-A99E-32C0211087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31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</xdr:row>
      <xdr:rowOff>0</xdr:rowOff>
    </xdr:from>
    <xdr:to>
      <xdr:col>0</xdr:col>
      <xdr:colOff>171450</xdr:colOff>
      <xdr:row>473</xdr:row>
      <xdr:rowOff>133350</xdr:rowOff>
    </xdr:to>
    <xdr:pic>
      <xdr:nvPicPr>
        <xdr:cNvPr id="1864" name="Picture@5C\QPendientes@" descr="@5C\QPendientes@">
          <a:extLst>
            <a:ext uri="{FF2B5EF4-FFF2-40B4-BE49-F238E27FC236}">
              <a16:creationId xmlns:a16="http://schemas.microsoft.com/office/drawing/2014/main" id="{020A3D4D-8EE2-410F-87DF-81365148F8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50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</xdr:row>
      <xdr:rowOff>0</xdr:rowOff>
    </xdr:from>
    <xdr:to>
      <xdr:col>0</xdr:col>
      <xdr:colOff>171450</xdr:colOff>
      <xdr:row>474</xdr:row>
      <xdr:rowOff>133350</xdr:rowOff>
    </xdr:to>
    <xdr:pic>
      <xdr:nvPicPr>
        <xdr:cNvPr id="1865" name="Picture@5C\QPendientes@" descr="@5C\QPendientes@">
          <a:extLst>
            <a:ext uri="{FF2B5EF4-FFF2-40B4-BE49-F238E27FC236}">
              <a16:creationId xmlns:a16="http://schemas.microsoft.com/office/drawing/2014/main" id="{967307BC-F50F-4AFB-BAB3-A2978D1C18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68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</xdr:row>
      <xdr:rowOff>0</xdr:rowOff>
    </xdr:from>
    <xdr:to>
      <xdr:col>0</xdr:col>
      <xdr:colOff>171450</xdr:colOff>
      <xdr:row>475</xdr:row>
      <xdr:rowOff>133350</xdr:rowOff>
    </xdr:to>
    <xdr:pic>
      <xdr:nvPicPr>
        <xdr:cNvPr id="1866" name="Picture@5C\QPendientes@" descr="@5C\QPendientes@">
          <a:extLst>
            <a:ext uri="{FF2B5EF4-FFF2-40B4-BE49-F238E27FC236}">
              <a16:creationId xmlns:a16="http://schemas.microsoft.com/office/drawing/2014/main" id="{9C1ECF6B-0F03-4B4B-B875-614940D262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86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</xdr:row>
      <xdr:rowOff>0</xdr:rowOff>
    </xdr:from>
    <xdr:to>
      <xdr:col>0</xdr:col>
      <xdr:colOff>171450</xdr:colOff>
      <xdr:row>476</xdr:row>
      <xdr:rowOff>133350</xdr:rowOff>
    </xdr:to>
    <xdr:pic>
      <xdr:nvPicPr>
        <xdr:cNvPr id="1867" name="Picture@5C\QPendientes@" descr="@5C\QPendientes@">
          <a:extLst>
            <a:ext uri="{FF2B5EF4-FFF2-40B4-BE49-F238E27FC236}">
              <a16:creationId xmlns:a16="http://schemas.microsoft.com/office/drawing/2014/main" id="{0183C35A-3DF8-449E-A37A-44244F35E2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05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</xdr:row>
      <xdr:rowOff>0</xdr:rowOff>
    </xdr:from>
    <xdr:to>
      <xdr:col>0</xdr:col>
      <xdr:colOff>171450</xdr:colOff>
      <xdr:row>477</xdr:row>
      <xdr:rowOff>133350</xdr:rowOff>
    </xdr:to>
    <xdr:pic>
      <xdr:nvPicPr>
        <xdr:cNvPr id="1868" name="Picture@5C\QPendientes@" descr="@5C\QPendientes@">
          <a:extLst>
            <a:ext uri="{FF2B5EF4-FFF2-40B4-BE49-F238E27FC236}">
              <a16:creationId xmlns:a16="http://schemas.microsoft.com/office/drawing/2014/main" id="{DBB3B4EA-9FAB-4E2F-B5B8-EEA5BAD014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23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</xdr:row>
      <xdr:rowOff>0</xdr:rowOff>
    </xdr:from>
    <xdr:to>
      <xdr:col>0</xdr:col>
      <xdr:colOff>171450</xdr:colOff>
      <xdr:row>478</xdr:row>
      <xdr:rowOff>133350</xdr:rowOff>
    </xdr:to>
    <xdr:pic>
      <xdr:nvPicPr>
        <xdr:cNvPr id="1869" name="Picture@5C\QPendientes@" descr="@5C\QPendientes@">
          <a:extLst>
            <a:ext uri="{FF2B5EF4-FFF2-40B4-BE49-F238E27FC236}">
              <a16:creationId xmlns:a16="http://schemas.microsoft.com/office/drawing/2014/main" id="{E7E2494E-9C74-45A7-AC78-51ABC68D94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41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</xdr:row>
      <xdr:rowOff>0</xdr:rowOff>
    </xdr:from>
    <xdr:to>
      <xdr:col>0</xdr:col>
      <xdr:colOff>171450</xdr:colOff>
      <xdr:row>479</xdr:row>
      <xdr:rowOff>133350</xdr:rowOff>
    </xdr:to>
    <xdr:pic>
      <xdr:nvPicPr>
        <xdr:cNvPr id="1870" name="Picture@5C\QPendientes@" descr="@5C\QPendientes@">
          <a:extLst>
            <a:ext uri="{FF2B5EF4-FFF2-40B4-BE49-F238E27FC236}">
              <a16:creationId xmlns:a16="http://schemas.microsoft.com/office/drawing/2014/main" id="{4BDC9B76-D733-4AD6-AC38-8EF229CA08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59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</xdr:row>
      <xdr:rowOff>0</xdr:rowOff>
    </xdr:from>
    <xdr:to>
      <xdr:col>0</xdr:col>
      <xdr:colOff>171450</xdr:colOff>
      <xdr:row>480</xdr:row>
      <xdr:rowOff>133350</xdr:rowOff>
    </xdr:to>
    <xdr:pic>
      <xdr:nvPicPr>
        <xdr:cNvPr id="1871" name="Picture@5C\QPendientes@" descr="@5C\QPendientes@">
          <a:extLst>
            <a:ext uri="{FF2B5EF4-FFF2-40B4-BE49-F238E27FC236}">
              <a16:creationId xmlns:a16="http://schemas.microsoft.com/office/drawing/2014/main" id="{4CEDB77A-F5F5-4D69-9D1D-EA3747AAED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78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</xdr:row>
      <xdr:rowOff>0</xdr:rowOff>
    </xdr:from>
    <xdr:to>
      <xdr:col>0</xdr:col>
      <xdr:colOff>171450</xdr:colOff>
      <xdr:row>481</xdr:row>
      <xdr:rowOff>133350</xdr:rowOff>
    </xdr:to>
    <xdr:pic>
      <xdr:nvPicPr>
        <xdr:cNvPr id="1872" name="Picture@5C\QPendientes@" descr="@5C\QPendientes@">
          <a:extLst>
            <a:ext uri="{FF2B5EF4-FFF2-40B4-BE49-F238E27FC236}">
              <a16:creationId xmlns:a16="http://schemas.microsoft.com/office/drawing/2014/main" id="{389E91E4-C2E8-471F-A157-0D9D2780D1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96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</xdr:row>
      <xdr:rowOff>0</xdr:rowOff>
    </xdr:from>
    <xdr:to>
      <xdr:col>0</xdr:col>
      <xdr:colOff>171450</xdr:colOff>
      <xdr:row>482</xdr:row>
      <xdr:rowOff>133350</xdr:rowOff>
    </xdr:to>
    <xdr:pic>
      <xdr:nvPicPr>
        <xdr:cNvPr id="1873" name="Picture@5C\QPendientes@" descr="@5C\QPendientes@">
          <a:extLst>
            <a:ext uri="{FF2B5EF4-FFF2-40B4-BE49-F238E27FC236}">
              <a16:creationId xmlns:a16="http://schemas.microsoft.com/office/drawing/2014/main" id="{227D7C75-877D-416D-A5EC-15B941DD8F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14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</xdr:row>
      <xdr:rowOff>0</xdr:rowOff>
    </xdr:from>
    <xdr:to>
      <xdr:col>0</xdr:col>
      <xdr:colOff>171450</xdr:colOff>
      <xdr:row>483</xdr:row>
      <xdr:rowOff>133350</xdr:rowOff>
    </xdr:to>
    <xdr:pic>
      <xdr:nvPicPr>
        <xdr:cNvPr id="1874" name="Picture@5C\QPendientes@" descr="@5C\QPendientes@">
          <a:extLst>
            <a:ext uri="{FF2B5EF4-FFF2-40B4-BE49-F238E27FC236}">
              <a16:creationId xmlns:a16="http://schemas.microsoft.com/office/drawing/2014/main" id="{C04ED509-BFA7-4309-9A5E-1455FF9D45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33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</xdr:row>
      <xdr:rowOff>0</xdr:rowOff>
    </xdr:from>
    <xdr:to>
      <xdr:col>0</xdr:col>
      <xdr:colOff>171450</xdr:colOff>
      <xdr:row>484</xdr:row>
      <xdr:rowOff>133350</xdr:rowOff>
    </xdr:to>
    <xdr:pic>
      <xdr:nvPicPr>
        <xdr:cNvPr id="1875" name="Picture@5C\QPendientes@" descr="@5C\QPendientes@">
          <a:extLst>
            <a:ext uri="{FF2B5EF4-FFF2-40B4-BE49-F238E27FC236}">
              <a16:creationId xmlns:a16="http://schemas.microsoft.com/office/drawing/2014/main" id="{9C417892-789E-4022-B3F6-0770F70885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51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</xdr:row>
      <xdr:rowOff>0</xdr:rowOff>
    </xdr:from>
    <xdr:to>
      <xdr:col>0</xdr:col>
      <xdr:colOff>171450</xdr:colOff>
      <xdr:row>485</xdr:row>
      <xdr:rowOff>133350</xdr:rowOff>
    </xdr:to>
    <xdr:pic>
      <xdr:nvPicPr>
        <xdr:cNvPr id="1876" name="Picture@5C\QPendientes@" descr="@5C\QPendientes@">
          <a:extLst>
            <a:ext uri="{FF2B5EF4-FFF2-40B4-BE49-F238E27FC236}">
              <a16:creationId xmlns:a16="http://schemas.microsoft.com/office/drawing/2014/main" id="{50FE6123-21FC-4009-B6AB-EB995888EA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69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</xdr:row>
      <xdr:rowOff>0</xdr:rowOff>
    </xdr:from>
    <xdr:to>
      <xdr:col>0</xdr:col>
      <xdr:colOff>171450</xdr:colOff>
      <xdr:row>486</xdr:row>
      <xdr:rowOff>133350</xdr:rowOff>
    </xdr:to>
    <xdr:pic>
      <xdr:nvPicPr>
        <xdr:cNvPr id="1877" name="Picture@5C\QPendientes@" descr="@5C\QPendientes@">
          <a:extLst>
            <a:ext uri="{FF2B5EF4-FFF2-40B4-BE49-F238E27FC236}">
              <a16:creationId xmlns:a16="http://schemas.microsoft.com/office/drawing/2014/main" id="{FE032D99-56D6-4ADF-8F4A-6315443663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87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</xdr:row>
      <xdr:rowOff>0</xdr:rowOff>
    </xdr:from>
    <xdr:to>
      <xdr:col>0</xdr:col>
      <xdr:colOff>171450</xdr:colOff>
      <xdr:row>487</xdr:row>
      <xdr:rowOff>133350</xdr:rowOff>
    </xdr:to>
    <xdr:pic>
      <xdr:nvPicPr>
        <xdr:cNvPr id="1878" name="Picture@5C\QPendientes@" descr="@5C\QPendientes@">
          <a:extLst>
            <a:ext uri="{FF2B5EF4-FFF2-40B4-BE49-F238E27FC236}">
              <a16:creationId xmlns:a16="http://schemas.microsoft.com/office/drawing/2014/main" id="{2F59CBF1-9398-43FA-8FFA-174E764B81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06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</xdr:row>
      <xdr:rowOff>0</xdr:rowOff>
    </xdr:from>
    <xdr:to>
      <xdr:col>0</xdr:col>
      <xdr:colOff>171450</xdr:colOff>
      <xdr:row>488</xdr:row>
      <xdr:rowOff>133350</xdr:rowOff>
    </xdr:to>
    <xdr:pic>
      <xdr:nvPicPr>
        <xdr:cNvPr id="1879" name="Picture@5C\QPendientes@" descr="@5C\QPendientes@">
          <a:extLst>
            <a:ext uri="{FF2B5EF4-FFF2-40B4-BE49-F238E27FC236}">
              <a16:creationId xmlns:a16="http://schemas.microsoft.com/office/drawing/2014/main" id="{92BE961F-17E6-44C8-BA75-CCEC4FD1EC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24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</xdr:row>
      <xdr:rowOff>0</xdr:rowOff>
    </xdr:from>
    <xdr:to>
      <xdr:col>0</xdr:col>
      <xdr:colOff>171450</xdr:colOff>
      <xdr:row>489</xdr:row>
      <xdr:rowOff>133350</xdr:rowOff>
    </xdr:to>
    <xdr:pic>
      <xdr:nvPicPr>
        <xdr:cNvPr id="1880" name="Picture@5C\QPendientes@" descr="@5C\QPendientes@">
          <a:extLst>
            <a:ext uri="{FF2B5EF4-FFF2-40B4-BE49-F238E27FC236}">
              <a16:creationId xmlns:a16="http://schemas.microsoft.com/office/drawing/2014/main" id="{EDF425A4-0091-4D85-812E-CC5FE78D97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42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</xdr:row>
      <xdr:rowOff>0</xdr:rowOff>
    </xdr:from>
    <xdr:to>
      <xdr:col>0</xdr:col>
      <xdr:colOff>171450</xdr:colOff>
      <xdr:row>490</xdr:row>
      <xdr:rowOff>133350</xdr:rowOff>
    </xdr:to>
    <xdr:pic>
      <xdr:nvPicPr>
        <xdr:cNvPr id="1881" name="Picture@5C\QPendientes@" descr="@5C\QPendientes@">
          <a:extLst>
            <a:ext uri="{FF2B5EF4-FFF2-40B4-BE49-F238E27FC236}">
              <a16:creationId xmlns:a16="http://schemas.microsoft.com/office/drawing/2014/main" id="{C2475216-C314-44F8-85A7-9122075514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61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</xdr:row>
      <xdr:rowOff>0</xdr:rowOff>
    </xdr:from>
    <xdr:to>
      <xdr:col>0</xdr:col>
      <xdr:colOff>171450</xdr:colOff>
      <xdr:row>491</xdr:row>
      <xdr:rowOff>133350</xdr:rowOff>
    </xdr:to>
    <xdr:pic>
      <xdr:nvPicPr>
        <xdr:cNvPr id="1882" name="Picture@5C\QPendientes@" descr="@5C\QPendientes@">
          <a:extLst>
            <a:ext uri="{FF2B5EF4-FFF2-40B4-BE49-F238E27FC236}">
              <a16:creationId xmlns:a16="http://schemas.microsoft.com/office/drawing/2014/main" id="{C13F2226-7AA6-45F1-909D-B841E2C418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79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</xdr:row>
      <xdr:rowOff>0</xdr:rowOff>
    </xdr:from>
    <xdr:to>
      <xdr:col>0</xdr:col>
      <xdr:colOff>171450</xdr:colOff>
      <xdr:row>492</xdr:row>
      <xdr:rowOff>133350</xdr:rowOff>
    </xdr:to>
    <xdr:pic>
      <xdr:nvPicPr>
        <xdr:cNvPr id="1883" name="Picture@5C\QPendientes@" descr="@5C\QPendientes@">
          <a:extLst>
            <a:ext uri="{FF2B5EF4-FFF2-40B4-BE49-F238E27FC236}">
              <a16:creationId xmlns:a16="http://schemas.microsoft.com/office/drawing/2014/main" id="{6639422C-CDD0-4C9F-B4ED-7473B7F478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97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</xdr:row>
      <xdr:rowOff>0</xdr:rowOff>
    </xdr:from>
    <xdr:to>
      <xdr:col>0</xdr:col>
      <xdr:colOff>171450</xdr:colOff>
      <xdr:row>493</xdr:row>
      <xdr:rowOff>133350</xdr:rowOff>
    </xdr:to>
    <xdr:pic>
      <xdr:nvPicPr>
        <xdr:cNvPr id="1884" name="Picture@5C\QPendientes@" descr="@5C\QPendientes@">
          <a:extLst>
            <a:ext uri="{FF2B5EF4-FFF2-40B4-BE49-F238E27FC236}">
              <a16:creationId xmlns:a16="http://schemas.microsoft.com/office/drawing/2014/main" id="{90AB55D0-BBB6-4FE5-8EE3-616F921160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15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</xdr:row>
      <xdr:rowOff>0</xdr:rowOff>
    </xdr:from>
    <xdr:to>
      <xdr:col>0</xdr:col>
      <xdr:colOff>171450</xdr:colOff>
      <xdr:row>494</xdr:row>
      <xdr:rowOff>133350</xdr:rowOff>
    </xdr:to>
    <xdr:pic>
      <xdr:nvPicPr>
        <xdr:cNvPr id="1885" name="Picture@5C\QPendientes@" descr="@5C\QPendientes@">
          <a:extLst>
            <a:ext uri="{FF2B5EF4-FFF2-40B4-BE49-F238E27FC236}">
              <a16:creationId xmlns:a16="http://schemas.microsoft.com/office/drawing/2014/main" id="{7F7FC944-667A-4197-A94E-5DE52A8312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34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</xdr:row>
      <xdr:rowOff>0</xdr:rowOff>
    </xdr:from>
    <xdr:to>
      <xdr:col>0</xdr:col>
      <xdr:colOff>171450</xdr:colOff>
      <xdr:row>495</xdr:row>
      <xdr:rowOff>133350</xdr:rowOff>
    </xdr:to>
    <xdr:pic>
      <xdr:nvPicPr>
        <xdr:cNvPr id="1886" name="Picture@5C\QPendientes@" descr="@5C\QPendientes@">
          <a:extLst>
            <a:ext uri="{FF2B5EF4-FFF2-40B4-BE49-F238E27FC236}">
              <a16:creationId xmlns:a16="http://schemas.microsoft.com/office/drawing/2014/main" id="{F1E4D8FF-DEC0-48EC-8F1C-B9147EFF5E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52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</xdr:row>
      <xdr:rowOff>0</xdr:rowOff>
    </xdr:from>
    <xdr:to>
      <xdr:col>0</xdr:col>
      <xdr:colOff>171450</xdr:colOff>
      <xdr:row>496</xdr:row>
      <xdr:rowOff>133350</xdr:rowOff>
    </xdr:to>
    <xdr:pic>
      <xdr:nvPicPr>
        <xdr:cNvPr id="1887" name="Picture@5C\QPendientes@" descr="@5C\QPendientes@">
          <a:extLst>
            <a:ext uri="{FF2B5EF4-FFF2-40B4-BE49-F238E27FC236}">
              <a16:creationId xmlns:a16="http://schemas.microsoft.com/office/drawing/2014/main" id="{8C570A44-C35C-44E3-86CF-D4F8DE5E1D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70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</xdr:row>
      <xdr:rowOff>0</xdr:rowOff>
    </xdr:from>
    <xdr:to>
      <xdr:col>0</xdr:col>
      <xdr:colOff>171450</xdr:colOff>
      <xdr:row>497</xdr:row>
      <xdr:rowOff>133350</xdr:rowOff>
    </xdr:to>
    <xdr:pic>
      <xdr:nvPicPr>
        <xdr:cNvPr id="1888" name="Picture@5C\QPendientes@" descr="@5C\QPendientes@">
          <a:extLst>
            <a:ext uri="{FF2B5EF4-FFF2-40B4-BE49-F238E27FC236}">
              <a16:creationId xmlns:a16="http://schemas.microsoft.com/office/drawing/2014/main" id="{3DD0E929-5BF1-43E3-83D3-0AC64D7248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89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</xdr:row>
      <xdr:rowOff>0</xdr:rowOff>
    </xdr:from>
    <xdr:to>
      <xdr:col>0</xdr:col>
      <xdr:colOff>171450</xdr:colOff>
      <xdr:row>498</xdr:row>
      <xdr:rowOff>133350</xdr:rowOff>
    </xdr:to>
    <xdr:pic>
      <xdr:nvPicPr>
        <xdr:cNvPr id="1889" name="Picture@5C\QPendientes@" descr="@5C\QPendientes@">
          <a:extLst>
            <a:ext uri="{FF2B5EF4-FFF2-40B4-BE49-F238E27FC236}">
              <a16:creationId xmlns:a16="http://schemas.microsoft.com/office/drawing/2014/main" id="{8E90A550-0803-46E3-84CE-0FA340A086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07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</xdr:row>
      <xdr:rowOff>0</xdr:rowOff>
    </xdr:from>
    <xdr:to>
      <xdr:col>0</xdr:col>
      <xdr:colOff>171450</xdr:colOff>
      <xdr:row>499</xdr:row>
      <xdr:rowOff>133350</xdr:rowOff>
    </xdr:to>
    <xdr:pic>
      <xdr:nvPicPr>
        <xdr:cNvPr id="1890" name="Picture@5C\QPendientes@" descr="@5C\QPendientes@">
          <a:extLst>
            <a:ext uri="{FF2B5EF4-FFF2-40B4-BE49-F238E27FC236}">
              <a16:creationId xmlns:a16="http://schemas.microsoft.com/office/drawing/2014/main" id="{3CAD9ACE-4906-47DD-BEBE-23F0449CE5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25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</xdr:row>
      <xdr:rowOff>0</xdr:rowOff>
    </xdr:from>
    <xdr:to>
      <xdr:col>0</xdr:col>
      <xdr:colOff>171450</xdr:colOff>
      <xdr:row>500</xdr:row>
      <xdr:rowOff>133350</xdr:rowOff>
    </xdr:to>
    <xdr:pic>
      <xdr:nvPicPr>
        <xdr:cNvPr id="1891" name="Picture@5C\QPendientes@" descr="@5C\QPendientes@">
          <a:extLst>
            <a:ext uri="{FF2B5EF4-FFF2-40B4-BE49-F238E27FC236}">
              <a16:creationId xmlns:a16="http://schemas.microsoft.com/office/drawing/2014/main" id="{77BAF66B-CDC1-4670-8B33-72ED25BA36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</xdr:row>
      <xdr:rowOff>0</xdr:rowOff>
    </xdr:from>
    <xdr:to>
      <xdr:col>0</xdr:col>
      <xdr:colOff>171450</xdr:colOff>
      <xdr:row>501</xdr:row>
      <xdr:rowOff>133350</xdr:rowOff>
    </xdr:to>
    <xdr:pic>
      <xdr:nvPicPr>
        <xdr:cNvPr id="1892" name="Picture@5C\QPendientes@" descr="@5C\QPendientes@">
          <a:extLst>
            <a:ext uri="{FF2B5EF4-FFF2-40B4-BE49-F238E27FC236}">
              <a16:creationId xmlns:a16="http://schemas.microsoft.com/office/drawing/2014/main" id="{9A1600D8-1844-4456-A96E-A87590A13B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62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502</xdr:row>
      <xdr:rowOff>0</xdr:rowOff>
    </xdr:from>
    <xdr:to>
      <xdr:col>0</xdr:col>
      <xdr:colOff>171450</xdr:colOff>
      <xdr:row>502</xdr:row>
      <xdr:rowOff>133350</xdr:rowOff>
    </xdr:to>
    <xdr:pic>
      <xdr:nvPicPr>
        <xdr:cNvPr id="1893" name="Picture@5C\QPendientes@" descr="@5C\QPendientes@">
          <a:extLst>
            <a:ext uri="{FF2B5EF4-FFF2-40B4-BE49-F238E27FC236}">
              <a16:creationId xmlns:a16="http://schemas.microsoft.com/office/drawing/2014/main" id="{5570EC59-E15E-4CAC-8434-384B6050AB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80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503</xdr:row>
      <xdr:rowOff>0</xdr:rowOff>
    </xdr:from>
    <xdr:to>
      <xdr:col>0</xdr:col>
      <xdr:colOff>171450</xdr:colOff>
      <xdr:row>503</xdr:row>
      <xdr:rowOff>133350</xdr:rowOff>
    </xdr:to>
    <xdr:pic>
      <xdr:nvPicPr>
        <xdr:cNvPr id="1894" name="Picture@5C\QPendientes@" descr="@5C\QPendientes@">
          <a:extLst>
            <a:ext uri="{FF2B5EF4-FFF2-40B4-BE49-F238E27FC236}">
              <a16:creationId xmlns:a16="http://schemas.microsoft.com/office/drawing/2014/main" id="{475BB065-E90C-4FD7-8144-6E820F047D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98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504</xdr:row>
      <xdr:rowOff>0</xdr:rowOff>
    </xdr:from>
    <xdr:to>
      <xdr:col>0</xdr:col>
      <xdr:colOff>171450</xdr:colOff>
      <xdr:row>504</xdr:row>
      <xdr:rowOff>133350</xdr:rowOff>
    </xdr:to>
    <xdr:pic>
      <xdr:nvPicPr>
        <xdr:cNvPr id="1895" name="Picture@5C\QPendientes@" descr="@5C\QPendientes@">
          <a:extLst>
            <a:ext uri="{FF2B5EF4-FFF2-40B4-BE49-F238E27FC236}">
              <a16:creationId xmlns:a16="http://schemas.microsoft.com/office/drawing/2014/main" id="{29DA92FD-F26F-444B-BD34-952885F733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17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505</xdr:row>
      <xdr:rowOff>0</xdr:rowOff>
    </xdr:from>
    <xdr:to>
      <xdr:col>0</xdr:col>
      <xdr:colOff>171450</xdr:colOff>
      <xdr:row>505</xdr:row>
      <xdr:rowOff>133350</xdr:rowOff>
    </xdr:to>
    <xdr:pic>
      <xdr:nvPicPr>
        <xdr:cNvPr id="1896" name="Picture@5C\QPendientes@" descr="@5C\QPendientes@">
          <a:extLst>
            <a:ext uri="{FF2B5EF4-FFF2-40B4-BE49-F238E27FC236}">
              <a16:creationId xmlns:a16="http://schemas.microsoft.com/office/drawing/2014/main" id="{55215EE0-7028-4C37-B345-F7C767953D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35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506</xdr:row>
      <xdr:rowOff>0</xdr:rowOff>
    </xdr:from>
    <xdr:to>
      <xdr:col>0</xdr:col>
      <xdr:colOff>171450</xdr:colOff>
      <xdr:row>506</xdr:row>
      <xdr:rowOff>133350</xdr:rowOff>
    </xdr:to>
    <xdr:pic>
      <xdr:nvPicPr>
        <xdr:cNvPr id="1897" name="Picture@5C\QPendientes@" descr="@5C\QPendientes@">
          <a:extLst>
            <a:ext uri="{FF2B5EF4-FFF2-40B4-BE49-F238E27FC236}">
              <a16:creationId xmlns:a16="http://schemas.microsoft.com/office/drawing/2014/main" id="{83C67705-03B5-4F48-B88C-B4DE258C14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53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507</xdr:row>
      <xdr:rowOff>0</xdr:rowOff>
    </xdr:from>
    <xdr:to>
      <xdr:col>0</xdr:col>
      <xdr:colOff>171450</xdr:colOff>
      <xdr:row>507</xdr:row>
      <xdr:rowOff>133350</xdr:rowOff>
    </xdr:to>
    <xdr:pic>
      <xdr:nvPicPr>
        <xdr:cNvPr id="1898" name="Picture@5C\QPendientes@" descr="@5C\QPendientes@">
          <a:extLst>
            <a:ext uri="{FF2B5EF4-FFF2-40B4-BE49-F238E27FC236}">
              <a16:creationId xmlns:a16="http://schemas.microsoft.com/office/drawing/2014/main" id="{CA6B4128-67A4-45C8-A813-83A77F7A26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72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508</xdr:row>
      <xdr:rowOff>0</xdr:rowOff>
    </xdr:from>
    <xdr:to>
      <xdr:col>0</xdr:col>
      <xdr:colOff>171450</xdr:colOff>
      <xdr:row>508</xdr:row>
      <xdr:rowOff>133350</xdr:rowOff>
    </xdr:to>
    <xdr:pic>
      <xdr:nvPicPr>
        <xdr:cNvPr id="1899" name="Picture@5C\QPendientes@" descr="@5C\QPendientes@">
          <a:extLst>
            <a:ext uri="{FF2B5EF4-FFF2-40B4-BE49-F238E27FC236}">
              <a16:creationId xmlns:a16="http://schemas.microsoft.com/office/drawing/2014/main" id="{B24D2CE6-4266-4D19-A872-1332A95E49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90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509</xdr:row>
      <xdr:rowOff>0</xdr:rowOff>
    </xdr:from>
    <xdr:to>
      <xdr:col>0</xdr:col>
      <xdr:colOff>171450</xdr:colOff>
      <xdr:row>509</xdr:row>
      <xdr:rowOff>133350</xdr:rowOff>
    </xdr:to>
    <xdr:pic>
      <xdr:nvPicPr>
        <xdr:cNvPr id="1900" name="Picture@5C\QPendientes@" descr="@5C\QPendientes@">
          <a:extLst>
            <a:ext uri="{FF2B5EF4-FFF2-40B4-BE49-F238E27FC236}">
              <a16:creationId xmlns:a16="http://schemas.microsoft.com/office/drawing/2014/main" id="{87578EF8-CC01-4C8B-BC70-CF97341DC5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08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510</xdr:row>
      <xdr:rowOff>0</xdr:rowOff>
    </xdr:from>
    <xdr:to>
      <xdr:col>0</xdr:col>
      <xdr:colOff>171450</xdr:colOff>
      <xdr:row>510</xdr:row>
      <xdr:rowOff>133350</xdr:rowOff>
    </xdr:to>
    <xdr:pic>
      <xdr:nvPicPr>
        <xdr:cNvPr id="1901" name="Picture@5C\QPendientes@" descr="@5C\QPendientes@">
          <a:extLst>
            <a:ext uri="{FF2B5EF4-FFF2-40B4-BE49-F238E27FC236}">
              <a16:creationId xmlns:a16="http://schemas.microsoft.com/office/drawing/2014/main" id="{D6CD37DE-24B6-410C-807D-7F2C092F63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26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511</xdr:row>
      <xdr:rowOff>0</xdr:rowOff>
    </xdr:from>
    <xdr:to>
      <xdr:col>0</xdr:col>
      <xdr:colOff>171450</xdr:colOff>
      <xdr:row>511</xdr:row>
      <xdr:rowOff>133350</xdr:rowOff>
    </xdr:to>
    <xdr:pic>
      <xdr:nvPicPr>
        <xdr:cNvPr id="1902" name="Picture@5C\QPendientes@" descr="@5C\QPendientes@">
          <a:extLst>
            <a:ext uri="{FF2B5EF4-FFF2-40B4-BE49-F238E27FC236}">
              <a16:creationId xmlns:a16="http://schemas.microsoft.com/office/drawing/2014/main" id="{EC44C47C-F32B-4221-8E8D-03CF4A5D42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45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512</xdr:row>
      <xdr:rowOff>0</xdr:rowOff>
    </xdr:from>
    <xdr:to>
      <xdr:col>0</xdr:col>
      <xdr:colOff>171450</xdr:colOff>
      <xdr:row>512</xdr:row>
      <xdr:rowOff>133350</xdr:rowOff>
    </xdr:to>
    <xdr:pic>
      <xdr:nvPicPr>
        <xdr:cNvPr id="1903" name="Picture@5C\QPendientes@" descr="@5C\QPendientes@">
          <a:extLst>
            <a:ext uri="{FF2B5EF4-FFF2-40B4-BE49-F238E27FC236}">
              <a16:creationId xmlns:a16="http://schemas.microsoft.com/office/drawing/2014/main" id="{ACFA016B-A810-4B5A-A8BE-A6E7AEFA79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63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513</xdr:row>
      <xdr:rowOff>0</xdr:rowOff>
    </xdr:from>
    <xdr:to>
      <xdr:col>0</xdr:col>
      <xdr:colOff>171450</xdr:colOff>
      <xdr:row>513</xdr:row>
      <xdr:rowOff>133350</xdr:rowOff>
    </xdr:to>
    <xdr:pic>
      <xdr:nvPicPr>
        <xdr:cNvPr id="1904" name="Picture@5C\QPendientes@" descr="@5C\QPendientes@">
          <a:extLst>
            <a:ext uri="{FF2B5EF4-FFF2-40B4-BE49-F238E27FC236}">
              <a16:creationId xmlns:a16="http://schemas.microsoft.com/office/drawing/2014/main" id="{8F8C1F09-488A-429A-9633-06E03FA979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81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514</xdr:row>
      <xdr:rowOff>0</xdr:rowOff>
    </xdr:from>
    <xdr:to>
      <xdr:col>0</xdr:col>
      <xdr:colOff>171450</xdr:colOff>
      <xdr:row>514</xdr:row>
      <xdr:rowOff>133350</xdr:rowOff>
    </xdr:to>
    <xdr:pic>
      <xdr:nvPicPr>
        <xdr:cNvPr id="1905" name="Picture@5C\QPendientes@" descr="@5C\QPendientes@">
          <a:extLst>
            <a:ext uri="{FF2B5EF4-FFF2-40B4-BE49-F238E27FC236}">
              <a16:creationId xmlns:a16="http://schemas.microsoft.com/office/drawing/2014/main" id="{C561E31D-91C5-4187-90F6-D835F6C484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00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515</xdr:row>
      <xdr:rowOff>0</xdr:rowOff>
    </xdr:from>
    <xdr:to>
      <xdr:col>0</xdr:col>
      <xdr:colOff>171450</xdr:colOff>
      <xdr:row>515</xdr:row>
      <xdr:rowOff>133350</xdr:rowOff>
    </xdr:to>
    <xdr:pic>
      <xdr:nvPicPr>
        <xdr:cNvPr id="1906" name="Picture@5C\QPendientes@" descr="@5C\QPendientes@">
          <a:extLst>
            <a:ext uri="{FF2B5EF4-FFF2-40B4-BE49-F238E27FC236}">
              <a16:creationId xmlns:a16="http://schemas.microsoft.com/office/drawing/2014/main" id="{033C79F8-8FA2-43DC-B0B8-CE7948D00E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18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516</xdr:row>
      <xdr:rowOff>0</xdr:rowOff>
    </xdr:from>
    <xdr:to>
      <xdr:col>0</xdr:col>
      <xdr:colOff>171450</xdr:colOff>
      <xdr:row>516</xdr:row>
      <xdr:rowOff>133350</xdr:rowOff>
    </xdr:to>
    <xdr:pic>
      <xdr:nvPicPr>
        <xdr:cNvPr id="1907" name="Picture@5C\QPendientes@" descr="@5C\QPendientes@">
          <a:extLst>
            <a:ext uri="{FF2B5EF4-FFF2-40B4-BE49-F238E27FC236}">
              <a16:creationId xmlns:a16="http://schemas.microsoft.com/office/drawing/2014/main" id="{534B5534-F588-48B4-8502-3CC3E3A72E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36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517</xdr:row>
      <xdr:rowOff>0</xdr:rowOff>
    </xdr:from>
    <xdr:to>
      <xdr:col>0</xdr:col>
      <xdr:colOff>171450</xdr:colOff>
      <xdr:row>517</xdr:row>
      <xdr:rowOff>133350</xdr:rowOff>
    </xdr:to>
    <xdr:pic>
      <xdr:nvPicPr>
        <xdr:cNvPr id="1908" name="Picture@5C\QPendientes@" descr="@5C\QPendientes@">
          <a:extLst>
            <a:ext uri="{FF2B5EF4-FFF2-40B4-BE49-F238E27FC236}">
              <a16:creationId xmlns:a16="http://schemas.microsoft.com/office/drawing/2014/main" id="{E10F8A62-BFE7-4587-8A04-C6BE916EA1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54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518</xdr:row>
      <xdr:rowOff>0</xdr:rowOff>
    </xdr:from>
    <xdr:to>
      <xdr:col>0</xdr:col>
      <xdr:colOff>171450</xdr:colOff>
      <xdr:row>518</xdr:row>
      <xdr:rowOff>133350</xdr:rowOff>
    </xdr:to>
    <xdr:pic>
      <xdr:nvPicPr>
        <xdr:cNvPr id="1909" name="Picture@5C\QPendientes@" descr="@5C\QPendientes@">
          <a:extLst>
            <a:ext uri="{FF2B5EF4-FFF2-40B4-BE49-F238E27FC236}">
              <a16:creationId xmlns:a16="http://schemas.microsoft.com/office/drawing/2014/main" id="{C0B1DBED-AEC4-4067-95BD-4B5B38BF26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73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519</xdr:row>
      <xdr:rowOff>0</xdr:rowOff>
    </xdr:from>
    <xdr:to>
      <xdr:col>0</xdr:col>
      <xdr:colOff>171450</xdr:colOff>
      <xdr:row>519</xdr:row>
      <xdr:rowOff>133350</xdr:rowOff>
    </xdr:to>
    <xdr:pic>
      <xdr:nvPicPr>
        <xdr:cNvPr id="1910" name="Picture@5C\QPendientes@" descr="@5C\QPendientes@">
          <a:extLst>
            <a:ext uri="{FF2B5EF4-FFF2-40B4-BE49-F238E27FC236}">
              <a16:creationId xmlns:a16="http://schemas.microsoft.com/office/drawing/2014/main" id="{27C49AE3-8BAA-466B-940F-35523C4685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91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520</xdr:row>
      <xdr:rowOff>0</xdr:rowOff>
    </xdr:from>
    <xdr:to>
      <xdr:col>0</xdr:col>
      <xdr:colOff>171450</xdr:colOff>
      <xdr:row>520</xdr:row>
      <xdr:rowOff>133350</xdr:rowOff>
    </xdr:to>
    <xdr:pic>
      <xdr:nvPicPr>
        <xdr:cNvPr id="1911" name="Picture@5C\QPendientes@" descr="@5C\QPendientes@">
          <a:extLst>
            <a:ext uri="{FF2B5EF4-FFF2-40B4-BE49-F238E27FC236}">
              <a16:creationId xmlns:a16="http://schemas.microsoft.com/office/drawing/2014/main" id="{E789797A-10DA-4EC9-BAD7-F01D69B16B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09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521</xdr:row>
      <xdr:rowOff>0</xdr:rowOff>
    </xdr:from>
    <xdr:to>
      <xdr:col>0</xdr:col>
      <xdr:colOff>171450</xdr:colOff>
      <xdr:row>521</xdr:row>
      <xdr:rowOff>133350</xdr:rowOff>
    </xdr:to>
    <xdr:pic>
      <xdr:nvPicPr>
        <xdr:cNvPr id="1912" name="Picture@5C\QPendientes@" descr="@5C\QPendientes@">
          <a:extLst>
            <a:ext uri="{FF2B5EF4-FFF2-40B4-BE49-F238E27FC236}">
              <a16:creationId xmlns:a16="http://schemas.microsoft.com/office/drawing/2014/main" id="{6ADD2A70-54F9-4EFD-99F3-BCDCA7C415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28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522</xdr:row>
      <xdr:rowOff>0</xdr:rowOff>
    </xdr:from>
    <xdr:to>
      <xdr:col>0</xdr:col>
      <xdr:colOff>171450</xdr:colOff>
      <xdr:row>522</xdr:row>
      <xdr:rowOff>133350</xdr:rowOff>
    </xdr:to>
    <xdr:pic>
      <xdr:nvPicPr>
        <xdr:cNvPr id="1913" name="Picture@5C\QPendientes@" descr="@5C\QPendientes@">
          <a:extLst>
            <a:ext uri="{FF2B5EF4-FFF2-40B4-BE49-F238E27FC236}">
              <a16:creationId xmlns:a16="http://schemas.microsoft.com/office/drawing/2014/main" id="{84C84DE7-A72C-4933-92DD-7610438782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46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523</xdr:row>
      <xdr:rowOff>0</xdr:rowOff>
    </xdr:from>
    <xdr:to>
      <xdr:col>0</xdr:col>
      <xdr:colOff>171450</xdr:colOff>
      <xdr:row>523</xdr:row>
      <xdr:rowOff>133350</xdr:rowOff>
    </xdr:to>
    <xdr:pic>
      <xdr:nvPicPr>
        <xdr:cNvPr id="1914" name="Picture@5C\QPendientes@" descr="@5C\QPendientes@">
          <a:extLst>
            <a:ext uri="{FF2B5EF4-FFF2-40B4-BE49-F238E27FC236}">
              <a16:creationId xmlns:a16="http://schemas.microsoft.com/office/drawing/2014/main" id="{C5C09937-9CA1-4E79-9FAC-2C0AB765B0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64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524</xdr:row>
      <xdr:rowOff>0</xdr:rowOff>
    </xdr:from>
    <xdr:to>
      <xdr:col>0</xdr:col>
      <xdr:colOff>171450</xdr:colOff>
      <xdr:row>524</xdr:row>
      <xdr:rowOff>133350</xdr:rowOff>
    </xdr:to>
    <xdr:pic>
      <xdr:nvPicPr>
        <xdr:cNvPr id="1915" name="Picture@5C\QPendientes@" descr="@5C\QPendientes@">
          <a:extLst>
            <a:ext uri="{FF2B5EF4-FFF2-40B4-BE49-F238E27FC236}">
              <a16:creationId xmlns:a16="http://schemas.microsoft.com/office/drawing/2014/main" id="{B4D879E0-4ED9-48FF-B975-573633D931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82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525</xdr:row>
      <xdr:rowOff>0</xdr:rowOff>
    </xdr:from>
    <xdr:to>
      <xdr:col>0</xdr:col>
      <xdr:colOff>171450</xdr:colOff>
      <xdr:row>525</xdr:row>
      <xdr:rowOff>133350</xdr:rowOff>
    </xdr:to>
    <xdr:pic>
      <xdr:nvPicPr>
        <xdr:cNvPr id="1916" name="Picture@5C\QPendientes@" descr="@5C\QPendientes@">
          <a:extLst>
            <a:ext uri="{FF2B5EF4-FFF2-40B4-BE49-F238E27FC236}">
              <a16:creationId xmlns:a16="http://schemas.microsoft.com/office/drawing/2014/main" id="{D956B79C-3559-4098-B55C-C3C9638EF8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01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526</xdr:row>
      <xdr:rowOff>0</xdr:rowOff>
    </xdr:from>
    <xdr:to>
      <xdr:col>0</xdr:col>
      <xdr:colOff>171450</xdr:colOff>
      <xdr:row>526</xdr:row>
      <xdr:rowOff>133350</xdr:rowOff>
    </xdr:to>
    <xdr:pic>
      <xdr:nvPicPr>
        <xdr:cNvPr id="1917" name="Picture@5C\QPendientes@" descr="@5C\QPendientes@">
          <a:extLst>
            <a:ext uri="{FF2B5EF4-FFF2-40B4-BE49-F238E27FC236}">
              <a16:creationId xmlns:a16="http://schemas.microsoft.com/office/drawing/2014/main" id="{6B79EBA1-164B-48DF-8B98-4BF182CD44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19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527</xdr:row>
      <xdr:rowOff>0</xdr:rowOff>
    </xdr:from>
    <xdr:to>
      <xdr:col>0</xdr:col>
      <xdr:colOff>171450</xdr:colOff>
      <xdr:row>527</xdr:row>
      <xdr:rowOff>133350</xdr:rowOff>
    </xdr:to>
    <xdr:pic>
      <xdr:nvPicPr>
        <xdr:cNvPr id="1918" name="Picture@5C\QPendientes@" descr="@5C\QPendientes@">
          <a:extLst>
            <a:ext uri="{FF2B5EF4-FFF2-40B4-BE49-F238E27FC236}">
              <a16:creationId xmlns:a16="http://schemas.microsoft.com/office/drawing/2014/main" id="{AC6E570A-9A39-4AA1-9C00-ED186366F1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37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528</xdr:row>
      <xdr:rowOff>0</xdr:rowOff>
    </xdr:from>
    <xdr:to>
      <xdr:col>0</xdr:col>
      <xdr:colOff>171450</xdr:colOff>
      <xdr:row>528</xdr:row>
      <xdr:rowOff>133350</xdr:rowOff>
    </xdr:to>
    <xdr:pic>
      <xdr:nvPicPr>
        <xdr:cNvPr id="1919" name="Picture@5C\QPendientes@" descr="@5C\QPendientes@">
          <a:extLst>
            <a:ext uri="{FF2B5EF4-FFF2-40B4-BE49-F238E27FC236}">
              <a16:creationId xmlns:a16="http://schemas.microsoft.com/office/drawing/2014/main" id="{286A7E0C-101F-4E22-8DEF-3D97655263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56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529</xdr:row>
      <xdr:rowOff>0</xdr:rowOff>
    </xdr:from>
    <xdr:to>
      <xdr:col>0</xdr:col>
      <xdr:colOff>171450</xdr:colOff>
      <xdr:row>529</xdr:row>
      <xdr:rowOff>133350</xdr:rowOff>
    </xdr:to>
    <xdr:pic>
      <xdr:nvPicPr>
        <xdr:cNvPr id="1920" name="Picture@5C\QPendientes@" descr="@5C\QPendientes@">
          <a:extLst>
            <a:ext uri="{FF2B5EF4-FFF2-40B4-BE49-F238E27FC236}">
              <a16:creationId xmlns:a16="http://schemas.microsoft.com/office/drawing/2014/main" id="{AE9EBB1B-B2FA-4400-8788-30E5CBA50E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74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530</xdr:row>
      <xdr:rowOff>0</xdr:rowOff>
    </xdr:from>
    <xdr:to>
      <xdr:col>0</xdr:col>
      <xdr:colOff>171450</xdr:colOff>
      <xdr:row>530</xdr:row>
      <xdr:rowOff>133350</xdr:rowOff>
    </xdr:to>
    <xdr:pic>
      <xdr:nvPicPr>
        <xdr:cNvPr id="1921" name="Picture@5C\QPendientes@" descr="@5C\QPendientes@">
          <a:extLst>
            <a:ext uri="{FF2B5EF4-FFF2-40B4-BE49-F238E27FC236}">
              <a16:creationId xmlns:a16="http://schemas.microsoft.com/office/drawing/2014/main" id="{57524A1A-571A-44B2-AC25-9943DCBF7D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92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531</xdr:row>
      <xdr:rowOff>0</xdr:rowOff>
    </xdr:from>
    <xdr:to>
      <xdr:col>0</xdr:col>
      <xdr:colOff>171450</xdr:colOff>
      <xdr:row>531</xdr:row>
      <xdr:rowOff>133350</xdr:rowOff>
    </xdr:to>
    <xdr:pic>
      <xdr:nvPicPr>
        <xdr:cNvPr id="1922" name="Picture@5C\QPendientes@" descr="@5C\QPendientes@">
          <a:extLst>
            <a:ext uri="{FF2B5EF4-FFF2-40B4-BE49-F238E27FC236}">
              <a16:creationId xmlns:a16="http://schemas.microsoft.com/office/drawing/2014/main" id="{F7A355AD-3876-4187-91BE-9A07D41CF1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10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532</xdr:row>
      <xdr:rowOff>0</xdr:rowOff>
    </xdr:from>
    <xdr:to>
      <xdr:col>0</xdr:col>
      <xdr:colOff>171450</xdr:colOff>
      <xdr:row>532</xdr:row>
      <xdr:rowOff>133350</xdr:rowOff>
    </xdr:to>
    <xdr:pic>
      <xdr:nvPicPr>
        <xdr:cNvPr id="1923" name="Picture@5C\QPendientes@" descr="@5C\QPendientes@">
          <a:extLst>
            <a:ext uri="{FF2B5EF4-FFF2-40B4-BE49-F238E27FC236}">
              <a16:creationId xmlns:a16="http://schemas.microsoft.com/office/drawing/2014/main" id="{7FF31384-ABFF-4E62-8C2E-43BE9AB7C7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29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533</xdr:row>
      <xdr:rowOff>0</xdr:rowOff>
    </xdr:from>
    <xdr:to>
      <xdr:col>0</xdr:col>
      <xdr:colOff>171450</xdr:colOff>
      <xdr:row>533</xdr:row>
      <xdr:rowOff>133350</xdr:rowOff>
    </xdr:to>
    <xdr:pic>
      <xdr:nvPicPr>
        <xdr:cNvPr id="1924" name="Picture@5C\QPendientes@" descr="@5C\QPendientes@">
          <a:extLst>
            <a:ext uri="{FF2B5EF4-FFF2-40B4-BE49-F238E27FC236}">
              <a16:creationId xmlns:a16="http://schemas.microsoft.com/office/drawing/2014/main" id="{CD7BE231-B2CD-4F46-B3DA-1C9F7B2B77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47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534</xdr:row>
      <xdr:rowOff>0</xdr:rowOff>
    </xdr:from>
    <xdr:to>
      <xdr:col>0</xdr:col>
      <xdr:colOff>171450</xdr:colOff>
      <xdr:row>534</xdr:row>
      <xdr:rowOff>133350</xdr:rowOff>
    </xdr:to>
    <xdr:pic>
      <xdr:nvPicPr>
        <xdr:cNvPr id="1925" name="Picture@5C\QPendientes@" descr="@5C\QPendientes@">
          <a:extLst>
            <a:ext uri="{FF2B5EF4-FFF2-40B4-BE49-F238E27FC236}">
              <a16:creationId xmlns:a16="http://schemas.microsoft.com/office/drawing/2014/main" id="{620BC578-455E-47BF-AAD7-96D00C712F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65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535</xdr:row>
      <xdr:rowOff>0</xdr:rowOff>
    </xdr:from>
    <xdr:to>
      <xdr:col>0</xdr:col>
      <xdr:colOff>171450</xdr:colOff>
      <xdr:row>535</xdr:row>
      <xdr:rowOff>133350</xdr:rowOff>
    </xdr:to>
    <xdr:pic>
      <xdr:nvPicPr>
        <xdr:cNvPr id="1926" name="Picture@5C\QPendientes@" descr="@5C\QPendientes@">
          <a:extLst>
            <a:ext uri="{FF2B5EF4-FFF2-40B4-BE49-F238E27FC236}">
              <a16:creationId xmlns:a16="http://schemas.microsoft.com/office/drawing/2014/main" id="{910E8668-9046-44B5-AF6D-10B6FF887C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84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536</xdr:row>
      <xdr:rowOff>0</xdr:rowOff>
    </xdr:from>
    <xdr:to>
      <xdr:col>0</xdr:col>
      <xdr:colOff>171450</xdr:colOff>
      <xdr:row>536</xdr:row>
      <xdr:rowOff>133350</xdr:rowOff>
    </xdr:to>
    <xdr:pic>
      <xdr:nvPicPr>
        <xdr:cNvPr id="1927" name="Picture@5C\QPendientes@" descr="@5C\QPendientes@">
          <a:extLst>
            <a:ext uri="{FF2B5EF4-FFF2-40B4-BE49-F238E27FC236}">
              <a16:creationId xmlns:a16="http://schemas.microsoft.com/office/drawing/2014/main" id="{4F1EE69A-C7FA-4449-9EA0-5564975633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02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537</xdr:row>
      <xdr:rowOff>0</xdr:rowOff>
    </xdr:from>
    <xdr:to>
      <xdr:col>0</xdr:col>
      <xdr:colOff>171450</xdr:colOff>
      <xdr:row>537</xdr:row>
      <xdr:rowOff>133350</xdr:rowOff>
    </xdr:to>
    <xdr:pic>
      <xdr:nvPicPr>
        <xdr:cNvPr id="1928" name="Picture@5C\QPendientes@" descr="@5C\QPendientes@">
          <a:extLst>
            <a:ext uri="{FF2B5EF4-FFF2-40B4-BE49-F238E27FC236}">
              <a16:creationId xmlns:a16="http://schemas.microsoft.com/office/drawing/2014/main" id="{DF7F4D30-7E5A-40F5-A58F-65F1C2ACD2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20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538</xdr:row>
      <xdr:rowOff>0</xdr:rowOff>
    </xdr:from>
    <xdr:to>
      <xdr:col>0</xdr:col>
      <xdr:colOff>171450</xdr:colOff>
      <xdr:row>538</xdr:row>
      <xdr:rowOff>133350</xdr:rowOff>
    </xdr:to>
    <xdr:pic>
      <xdr:nvPicPr>
        <xdr:cNvPr id="1929" name="Picture@5C\QPendientes@" descr="@5C\QPendientes@">
          <a:extLst>
            <a:ext uri="{FF2B5EF4-FFF2-40B4-BE49-F238E27FC236}">
              <a16:creationId xmlns:a16="http://schemas.microsoft.com/office/drawing/2014/main" id="{9D53FFBD-51B5-4543-B780-B887455537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38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539</xdr:row>
      <xdr:rowOff>0</xdr:rowOff>
    </xdr:from>
    <xdr:to>
      <xdr:col>0</xdr:col>
      <xdr:colOff>171450</xdr:colOff>
      <xdr:row>539</xdr:row>
      <xdr:rowOff>133350</xdr:rowOff>
    </xdr:to>
    <xdr:pic>
      <xdr:nvPicPr>
        <xdr:cNvPr id="1930" name="Picture@5C\QPendientes@" descr="@5C\QPendientes@">
          <a:extLst>
            <a:ext uri="{FF2B5EF4-FFF2-40B4-BE49-F238E27FC236}">
              <a16:creationId xmlns:a16="http://schemas.microsoft.com/office/drawing/2014/main" id="{2CA49A04-ED15-41B7-B24B-453AED6B5C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57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540</xdr:row>
      <xdr:rowOff>0</xdr:rowOff>
    </xdr:from>
    <xdr:to>
      <xdr:col>0</xdr:col>
      <xdr:colOff>171450</xdr:colOff>
      <xdr:row>540</xdr:row>
      <xdr:rowOff>133350</xdr:rowOff>
    </xdr:to>
    <xdr:pic>
      <xdr:nvPicPr>
        <xdr:cNvPr id="1931" name="Picture@5C\QPendientes@" descr="@5C\QPendientes@">
          <a:extLst>
            <a:ext uri="{FF2B5EF4-FFF2-40B4-BE49-F238E27FC236}">
              <a16:creationId xmlns:a16="http://schemas.microsoft.com/office/drawing/2014/main" id="{18048BEA-C3DB-4FC9-8235-C23BBB86D0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75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541</xdr:row>
      <xdr:rowOff>0</xdr:rowOff>
    </xdr:from>
    <xdr:to>
      <xdr:col>0</xdr:col>
      <xdr:colOff>171450</xdr:colOff>
      <xdr:row>541</xdr:row>
      <xdr:rowOff>133350</xdr:rowOff>
    </xdr:to>
    <xdr:pic>
      <xdr:nvPicPr>
        <xdr:cNvPr id="1932" name="Picture@5C\QPendientes@" descr="@5C\QPendientes@">
          <a:extLst>
            <a:ext uri="{FF2B5EF4-FFF2-40B4-BE49-F238E27FC236}">
              <a16:creationId xmlns:a16="http://schemas.microsoft.com/office/drawing/2014/main" id="{6E1099C5-087F-47BC-8254-BE3AC8E05A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93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542</xdr:row>
      <xdr:rowOff>0</xdr:rowOff>
    </xdr:from>
    <xdr:to>
      <xdr:col>0</xdr:col>
      <xdr:colOff>171450</xdr:colOff>
      <xdr:row>542</xdr:row>
      <xdr:rowOff>133350</xdr:rowOff>
    </xdr:to>
    <xdr:pic>
      <xdr:nvPicPr>
        <xdr:cNvPr id="1933" name="Picture@5C\QPendientes@" descr="@5C\QPendientes@">
          <a:extLst>
            <a:ext uri="{FF2B5EF4-FFF2-40B4-BE49-F238E27FC236}">
              <a16:creationId xmlns:a16="http://schemas.microsoft.com/office/drawing/2014/main" id="{A9748DAF-F7B1-403A-AF53-119A919496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12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543</xdr:row>
      <xdr:rowOff>0</xdr:rowOff>
    </xdr:from>
    <xdr:to>
      <xdr:col>0</xdr:col>
      <xdr:colOff>171450</xdr:colOff>
      <xdr:row>543</xdr:row>
      <xdr:rowOff>133350</xdr:rowOff>
    </xdr:to>
    <xdr:pic>
      <xdr:nvPicPr>
        <xdr:cNvPr id="1934" name="Picture@5C\QPendientes@" descr="@5C\QPendientes@">
          <a:extLst>
            <a:ext uri="{FF2B5EF4-FFF2-40B4-BE49-F238E27FC236}">
              <a16:creationId xmlns:a16="http://schemas.microsoft.com/office/drawing/2014/main" id="{7D2CA541-E74F-4188-9F55-34B4564D41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30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544</xdr:row>
      <xdr:rowOff>0</xdr:rowOff>
    </xdr:from>
    <xdr:to>
      <xdr:col>0</xdr:col>
      <xdr:colOff>171450</xdr:colOff>
      <xdr:row>544</xdr:row>
      <xdr:rowOff>133350</xdr:rowOff>
    </xdr:to>
    <xdr:pic>
      <xdr:nvPicPr>
        <xdr:cNvPr id="1935" name="Picture@5C\QPendientes@" descr="@5C\QPendientes@">
          <a:extLst>
            <a:ext uri="{FF2B5EF4-FFF2-40B4-BE49-F238E27FC236}">
              <a16:creationId xmlns:a16="http://schemas.microsoft.com/office/drawing/2014/main" id="{55D5D2A3-039F-46FA-BD1F-C324119C8D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48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545</xdr:row>
      <xdr:rowOff>0</xdr:rowOff>
    </xdr:from>
    <xdr:to>
      <xdr:col>0</xdr:col>
      <xdr:colOff>171450</xdr:colOff>
      <xdr:row>545</xdr:row>
      <xdr:rowOff>133350</xdr:rowOff>
    </xdr:to>
    <xdr:pic>
      <xdr:nvPicPr>
        <xdr:cNvPr id="1936" name="Picture@5C\QPendientes@" descr="@5C\QPendientes@">
          <a:extLst>
            <a:ext uri="{FF2B5EF4-FFF2-40B4-BE49-F238E27FC236}">
              <a16:creationId xmlns:a16="http://schemas.microsoft.com/office/drawing/2014/main" id="{8138217E-0304-46BB-B90F-E46FAED65C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66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546</xdr:row>
      <xdr:rowOff>0</xdr:rowOff>
    </xdr:from>
    <xdr:to>
      <xdr:col>0</xdr:col>
      <xdr:colOff>171450</xdr:colOff>
      <xdr:row>546</xdr:row>
      <xdr:rowOff>133350</xdr:rowOff>
    </xdr:to>
    <xdr:pic>
      <xdr:nvPicPr>
        <xdr:cNvPr id="1937" name="Picture@5C\QPendientes@" descr="@5C\QPendientes@">
          <a:extLst>
            <a:ext uri="{FF2B5EF4-FFF2-40B4-BE49-F238E27FC236}">
              <a16:creationId xmlns:a16="http://schemas.microsoft.com/office/drawing/2014/main" id="{09F7D373-CC68-4848-BE0A-B1BF6F603B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85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547</xdr:row>
      <xdr:rowOff>0</xdr:rowOff>
    </xdr:from>
    <xdr:to>
      <xdr:col>0</xdr:col>
      <xdr:colOff>171450</xdr:colOff>
      <xdr:row>547</xdr:row>
      <xdr:rowOff>133350</xdr:rowOff>
    </xdr:to>
    <xdr:pic>
      <xdr:nvPicPr>
        <xdr:cNvPr id="1938" name="Picture@5C\QPendientes@" descr="@5C\QPendientes@">
          <a:extLst>
            <a:ext uri="{FF2B5EF4-FFF2-40B4-BE49-F238E27FC236}">
              <a16:creationId xmlns:a16="http://schemas.microsoft.com/office/drawing/2014/main" id="{4C4CE643-AA05-4592-ADA2-CB7EE9F67C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03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548</xdr:row>
      <xdr:rowOff>0</xdr:rowOff>
    </xdr:from>
    <xdr:to>
      <xdr:col>0</xdr:col>
      <xdr:colOff>171450</xdr:colOff>
      <xdr:row>548</xdr:row>
      <xdr:rowOff>133350</xdr:rowOff>
    </xdr:to>
    <xdr:pic>
      <xdr:nvPicPr>
        <xdr:cNvPr id="1939" name="Picture@5C\QPendientes@" descr="@5C\QPendientes@">
          <a:extLst>
            <a:ext uri="{FF2B5EF4-FFF2-40B4-BE49-F238E27FC236}">
              <a16:creationId xmlns:a16="http://schemas.microsoft.com/office/drawing/2014/main" id="{45B11E94-5435-4DD0-972D-2FB55D7613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21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549</xdr:row>
      <xdr:rowOff>0</xdr:rowOff>
    </xdr:from>
    <xdr:to>
      <xdr:col>0</xdr:col>
      <xdr:colOff>171450</xdr:colOff>
      <xdr:row>549</xdr:row>
      <xdr:rowOff>133350</xdr:rowOff>
    </xdr:to>
    <xdr:pic>
      <xdr:nvPicPr>
        <xdr:cNvPr id="1940" name="Picture@5C\QPendientes@" descr="@5C\QPendientes@">
          <a:extLst>
            <a:ext uri="{FF2B5EF4-FFF2-40B4-BE49-F238E27FC236}">
              <a16:creationId xmlns:a16="http://schemas.microsoft.com/office/drawing/2014/main" id="{56863FCE-15CE-41C1-A52D-5EE18B64E6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40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550</xdr:row>
      <xdr:rowOff>0</xdr:rowOff>
    </xdr:from>
    <xdr:to>
      <xdr:col>0</xdr:col>
      <xdr:colOff>171450</xdr:colOff>
      <xdr:row>550</xdr:row>
      <xdr:rowOff>133350</xdr:rowOff>
    </xdr:to>
    <xdr:pic>
      <xdr:nvPicPr>
        <xdr:cNvPr id="1941" name="Picture@5C\QPendientes@" descr="@5C\QPendientes@">
          <a:extLst>
            <a:ext uri="{FF2B5EF4-FFF2-40B4-BE49-F238E27FC236}">
              <a16:creationId xmlns:a16="http://schemas.microsoft.com/office/drawing/2014/main" id="{F71DDF4D-24EB-45C2-845C-C9B732F73B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58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551</xdr:row>
      <xdr:rowOff>0</xdr:rowOff>
    </xdr:from>
    <xdr:to>
      <xdr:col>0</xdr:col>
      <xdr:colOff>171450</xdr:colOff>
      <xdr:row>551</xdr:row>
      <xdr:rowOff>133350</xdr:rowOff>
    </xdr:to>
    <xdr:pic>
      <xdr:nvPicPr>
        <xdr:cNvPr id="1942" name="Picture@5C\QPendientes@" descr="@5C\QPendientes@">
          <a:extLst>
            <a:ext uri="{FF2B5EF4-FFF2-40B4-BE49-F238E27FC236}">
              <a16:creationId xmlns:a16="http://schemas.microsoft.com/office/drawing/2014/main" id="{32CA2B44-4ACA-4102-A186-D148E3EE58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76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552</xdr:row>
      <xdr:rowOff>0</xdr:rowOff>
    </xdr:from>
    <xdr:to>
      <xdr:col>0</xdr:col>
      <xdr:colOff>171450</xdr:colOff>
      <xdr:row>552</xdr:row>
      <xdr:rowOff>133350</xdr:rowOff>
    </xdr:to>
    <xdr:pic>
      <xdr:nvPicPr>
        <xdr:cNvPr id="1943" name="Picture@5C\QPendientes@" descr="@5C\QPendientes@">
          <a:extLst>
            <a:ext uri="{FF2B5EF4-FFF2-40B4-BE49-F238E27FC236}">
              <a16:creationId xmlns:a16="http://schemas.microsoft.com/office/drawing/2014/main" id="{0494332F-028D-4785-B74C-D956C4DAD4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94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553</xdr:row>
      <xdr:rowOff>0</xdr:rowOff>
    </xdr:from>
    <xdr:to>
      <xdr:col>0</xdr:col>
      <xdr:colOff>171450</xdr:colOff>
      <xdr:row>553</xdr:row>
      <xdr:rowOff>133350</xdr:rowOff>
    </xdr:to>
    <xdr:pic>
      <xdr:nvPicPr>
        <xdr:cNvPr id="1944" name="Picture@5C\QPendientes@" descr="@5C\QPendientes@">
          <a:extLst>
            <a:ext uri="{FF2B5EF4-FFF2-40B4-BE49-F238E27FC236}">
              <a16:creationId xmlns:a16="http://schemas.microsoft.com/office/drawing/2014/main" id="{B95DF1EF-5CC3-4BBB-ABAE-9DA5057B89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13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554</xdr:row>
      <xdr:rowOff>0</xdr:rowOff>
    </xdr:from>
    <xdr:to>
      <xdr:col>0</xdr:col>
      <xdr:colOff>171450</xdr:colOff>
      <xdr:row>554</xdr:row>
      <xdr:rowOff>133350</xdr:rowOff>
    </xdr:to>
    <xdr:pic>
      <xdr:nvPicPr>
        <xdr:cNvPr id="1945" name="Picture@5C\QPendientes@" descr="@5C\QPendientes@">
          <a:extLst>
            <a:ext uri="{FF2B5EF4-FFF2-40B4-BE49-F238E27FC236}">
              <a16:creationId xmlns:a16="http://schemas.microsoft.com/office/drawing/2014/main" id="{E2360AD2-52BD-4BBC-BBE4-44C215CC30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31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555</xdr:row>
      <xdr:rowOff>0</xdr:rowOff>
    </xdr:from>
    <xdr:to>
      <xdr:col>0</xdr:col>
      <xdr:colOff>171450</xdr:colOff>
      <xdr:row>555</xdr:row>
      <xdr:rowOff>133350</xdr:rowOff>
    </xdr:to>
    <xdr:pic>
      <xdr:nvPicPr>
        <xdr:cNvPr id="1946" name="Picture@5C\QPendientes@" descr="@5C\QPendientes@">
          <a:extLst>
            <a:ext uri="{FF2B5EF4-FFF2-40B4-BE49-F238E27FC236}">
              <a16:creationId xmlns:a16="http://schemas.microsoft.com/office/drawing/2014/main" id="{051E3955-E551-447C-B42B-3DC123D7A3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49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556</xdr:row>
      <xdr:rowOff>0</xdr:rowOff>
    </xdr:from>
    <xdr:to>
      <xdr:col>0</xdr:col>
      <xdr:colOff>171450</xdr:colOff>
      <xdr:row>556</xdr:row>
      <xdr:rowOff>133350</xdr:rowOff>
    </xdr:to>
    <xdr:pic>
      <xdr:nvPicPr>
        <xdr:cNvPr id="1947" name="Picture@5C\QPendientes@" descr="@5C\QPendientes@">
          <a:extLst>
            <a:ext uri="{FF2B5EF4-FFF2-40B4-BE49-F238E27FC236}">
              <a16:creationId xmlns:a16="http://schemas.microsoft.com/office/drawing/2014/main" id="{1503096A-43D6-4656-8CF0-DC865B8480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68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557</xdr:row>
      <xdr:rowOff>0</xdr:rowOff>
    </xdr:from>
    <xdr:to>
      <xdr:col>0</xdr:col>
      <xdr:colOff>171450</xdr:colOff>
      <xdr:row>557</xdr:row>
      <xdr:rowOff>133350</xdr:rowOff>
    </xdr:to>
    <xdr:pic>
      <xdr:nvPicPr>
        <xdr:cNvPr id="1948" name="Picture@5C\QPendientes@" descr="@5C\QPendientes@">
          <a:extLst>
            <a:ext uri="{FF2B5EF4-FFF2-40B4-BE49-F238E27FC236}">
              <a16:creationId xmlns:a16="http://schemas.microsoft.com/office/drawing/2014/main" id="{96623B74-2B31-4E35-A8EA-FFEE123C36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86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558</xdr:row>
      <xdr:rowOff>0</xdr:rowOff>
    </xdr:from>
    <xdr:to>
      <xdr:col>0</xdr:col>
      <xdr:colOff>171450</xdr:colOff>
      <xdr:row>558</xdr:row>
      <xdr:rowOff>133350</xdr:rowOff>
    </xdr:to>
    <xdr:pic>
      <xdr:nvPicPr>
        <xdr:cNvPr id="1949" name="Picture@5C\QPendientes@" descr="@5C\QPendientes@">
          <a:extLst>
            <a:ext uri="{FF2B5EF4-FFF2-40B4-BE49-F238E27FC236}">
              <a16:creationId xmlns:a16="http://schemas.microsoft.com/office/drawing/2014/main" id="{44BDB996-9A40-4C6F-984F-6F15CAE387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04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559</xdr:row>
      <xdr:rowOff>0</xdr:rowOff>
    </xdr:from>
    <xdr:to>
      <xdr:col>0</xdr:col>
      <xdr:colOff>171450</xdr:colOff>
      <xdr:row>559</xdr:row>
      <xdr:rowOff>133350</xdr:rowOff>
    </xdr:to>
    <xdr:pic>
      <xdr:nvPicPr>
        <xdr:cNvPr id="1950" name="Picture@5C\QPendientes@" descr="@5C\QPendientes@">
          <a:extLst>
            <a:ext uri="{FF2B5EF4-FFF2-40B4-BE49-F238E27FC236}">
              <a16:creationId xmlns:a16="http://schemas.microsoft.com/office/drawing/2014/main" id="{E03523C8-6FB5-4622-BB2E-65932F010D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22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560</xdr:row>
      <xdr:rowOff>0</xdr:rowOff>
    </xdr:from>
    <xdr:to>
      <xdr:col>0</xdr:col>
      <xdr:colOff>171450</xdr:colOff>
      <xdr:row>560</xdr:row>
      <xdr:rowOff>133350</xdr:rowOff>
    </xdr:to>
    <xdr:pic>
      <xdr:nvPicPr>
        <xdr:cNvPr id="1951" name="Picture@5C\QPendientes@" descr="@5C\QPendientes@">
          <a:extLst>
            <a:ext uri="{FF2B5EF4-FFF2-40B4-BE49-F238E27FC236}">
              <a16:creationId xmlns:a16="http://schemas.microsoft.com/office/drawing/2014/main" id="{73295BA8-FA44-4C62-A153-E4D5ED4BE9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41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561</xdr:row>
      <xdr:rowOff>0</xdr:rowOff>
    </xdr:from>
    <xdr:to>
      <xdr:col>0</xdr:col>
      <xdr:colOff>171450</xdr:colOff>
      <xdr:row>561</xdr:row>
      <xdr:rowOff>133350</xdr:rowOff>
    </xdr:to>
    <xdr:pic>
      <xdr:nvPicPr>
        <xdr:cNvPr id="1952" name="Picture@5C\QPendientes@" descr="@5C\QPendientes@">
          <a:extLst>
            <a:ext uri="{FF2B5EF4-FFF2-40B4-BE49-F238E27FC236}">
              <a16:creationId xmlns:a16="http://schemas.microsoft.com/office/drawing/2014/main" id="{0C5C16CD-7509-4D82-BFBB-0AC8617A8E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59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562</xdr:row>
      <xdr:rowOff>0</xdr:rowOff>
    </xdr:from>
    <xdr:to>
      <xdr:col>0</xdr:col>
      <xdr:colOff>171450</xdr:colOff>
      <xdr:row>562</xdr:row>
      <xdr:rowOff>133350</xdr:rowOff>
    </xdr:to>
    <xdr:pic>
      <xdr:nvPicPr>
        <xdr:cNvPr id="1953" name="Picture@5C\QPendientes@" descr="@5C\QPendientes@">
          <a:extLst>
            <a:ext uri="{FF2B5EF4-FFF2-40B4-BE49-F238E27FC236}">
              <a16:creationId xmlns:a16="http://schemas.microsoft.com/office/drawing/2014/main" id="{76CD90DE-CC55-4923-9DA9-5024E23976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77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563</xdr:row>
      <xdr:rowOff>0</xdr:rowOff>
    </xdr:from>
    <xdr:to>
      <xdr:col>0</xdr:col>
      <xdr:colOff>171450</xdr:colOff>
      <xdr:row>563</xdr:row>
      <xdr:rowOff>133350</xdr:rowOff>
    </xdr:to>
    <xdr:pic>
      <xdr:nvPicPr>
        <xdr:cNvPr id="1954" name="Picture@5C\QPendientes@" descr="@5C\QPendientes@">
          <a:extLst>
            <a:ext uri="{FF2B5EF4-FFF2-40B4-BE49-F238E27FC236}">
              <a16:creationId xmlns:a16="http://schemas.microsoft.com/office/drawing/2014/main" id="{1D81F203-2C90-47A6-B879-46FDB0781D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96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564</xdr:row>
      <xdr:rowOff>0</xdr:rowOff>
    </xdr:from>
    <xdr:to>
      <xdr:col>0</xdr:col>
      <xdr:colOff>171450</xdr:colOff>
      <xdr:row>564</xdr:row>
      <xdr:rowOff>133350</xdr:rowOff>
    </xdr:to>
    <xdr:pic>
      <xdr:nvPicPr>
        <xdr:cNvPr id="1955" name="Picture@5C\QPendientes@" descr="@5C\QPendientes@">
          <a:extLst>
            <a:ext uri="{FF2B5EF4-FFF2-40B4-BE49-F238E27FC236}">
              <a16:creationId xmlns:a16="http://schemas.microsoft.com/office/drawing/2014/main" id="{47AA2221-BCD5-4897-AA90-C996E786C4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14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565</xdr:row>
      <xdr:rowOff>0</xdr:rowOff>
    </xdr:from>
    <xdr:to>
      <xdr:col>0</xdr:col>
      <xdr:colOff>171450</xdr:colOff>
      <xdr:row>565</xdr:row>
      <xdr:rowOff>133350</xdr:rowOff>
    </xdr:to>
    <xdr:pic>
      <xdr:nvPicPr>
        <xdr:cNvPr id="1956" name="Picture@5C\QPendientes@" descr="@5C\QPendientes@">
          <a:extLst>
            <a:ext uri="{FF2B5EF4-FFF2-40B4-BE49-F238E27FC236}">
              <a16:creationId xmlns:a16="http://schemas.microsoft.com/office/drawing/2014/main" id="{8EA27943-D96E-45BD-8A3E-D97B6CB522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32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566</xdr:row>
      <xdr:rowOff>0</xdr:rowOff>
    </xdr:from>
    <xdr:to>
      <xdr:col>0</xdr:col>
      <xdr:colOff>171450</xdr:colOff>
      <xdr:row>566</xdr:row>
      <xdr:rowOff>133350</xdr:rowOff>
    </xdr:to>
    <xdr:pic>
      <xdr:nvPicPr>
        <xdr:cNvPr id="1957" name="Picture@5C\QPendientes@" descr="@5C\QPendientes@">
          <a:extLst>
            <a:ext uri="{FF2B5EF4-FFF2-40B4-BE49-F238E27FC236}">
              <a16:creationId xmlns:a16="http://schemas.microsoft.com/office/drawing/2014/main" id="{428B9AD6-8C85-4A2E-A077-FC3311C2F6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51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567</xdr:row>
      <xdr:rowOff>0</xdr:rowOff>
    </xdr:from>
    <xdr:to>
      <xdr:col>0</xdr:col>
      <xdr:colOff>171450</xdr:colOff>
      <xdr:row>567</xdr:row>
      <xdr:rowOff>133350</xdr:rowOff>
    </xdr:to>
    <xdr:pic>
      <xdr:nvPicPr>
        <xdr:cNvPr id="1958" name="Picture@5C\QPendientes@" descr="@5C\QPendientes@">
          <a:extLst>
            <a:ext uri="{FF2B5EF4-FFF2-40B4-BE49-F238E27FC236}">
              <a16:creationId xmlns:a16="http://schemas.microsoft.com/office/drawing/2014/main" id="{189DF52B-B167-447D-82CF-45D29AC884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69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568</xdr:row>
      <xdr:rowOff>0</xdr:rowOff>
    </xdr:from>
    <xdr:to>
      <xdr:col>0</xdr:col>
      <xdr:colOff>171450</xdr:colOff>
      <xdr:row>568</xdr:row>
      <xdr:rowOff>133350</xdr:rowOff>
    </xdr:to>
    <xdr:pic>
      <xdr:nvPicPr>
        <xdr:cNvPr id="1959" name="Picture@5C\QPendientes@" descr="@5C\QPendientes@">
          <a:extLst>
            <a:ext uri="{FF2B5EF4-FFF2-40B4-BE49-F238E27FC236}">
              <a16:creationId xmlns:a16="http://schemas.microsoft.com/office/drawing/2014/main" id="{4713A40D-413C-4E3D-9DC0-A54BFE09C3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87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569</xdr:row>
      <xdr:rowOff>0</xdr:rowOff>
    </xdr:from>
    <xdr:to>
      <xdr:col>0</xdr:col>
      <xdr:colOff>171450</xdr:colOff>
      <xdr:row>569</xdr:row>
      <xdr:rowOff>133350</xdr:rowOff>
    </xdr:to>
    <xdr:pic>
      <xdr:nvPicPr>
        <xdr:cNvPr id="1960" name="Picture@5C\QPendientes@" descr="@5C\QPendientes@">
          <a:extLst>
            <a:ext uri="{FF2B5EF4-FFF2-40B4-BE49-F238E27FC236}">
              <a16:creationId xmlns:a16="http://schemas.microsoft.com/office/drawing/2014/main" id="{AF1C9C66-4D2F-4E7A-8FD4-216375C5C2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05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570</xdr:row>
      <xdr:rowOff>0</xdr:rowOff>
    </xdr:from>
    <xdr:to>
      <xdr:col>0</xdr:col>
      <xdr:colOff>171450</xdr:colOff>
      <xdr:row>570</xdr:row>
      <xdr:rowOff>133350</xdr:rowOff>
    </xdr:to>
    <xdr:pic>
      <xdr:nvPicPr>
        <xdr:cNvPr id="1961" name="Picture@5C\QPendientes@" descr="@5C\QPendientes@">
          <a:extLst>
            <a:ext uri="{FF2B5EF4-FFF2-40B4-BE49-F238E27FC236}">
              <a16:creationId xmlns:a16="http://schemas.microsoft.com/office/drawing/2014/main" id="{C04C615B-8307-4A1E-B0DF-1063A9312A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24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571</xdr:row>
      <xdr:rowOff>0</xdr:rowOff>
    </xdr:from>
    <xdr:to>
      <xdr:col>0</xdr:col>
      <xdr:colOff>171450</xdr:colOff>
      <xdr:row>571</xdr:row>
      <xdr:rowOff>133350</xdr:rowOff>
    </xdr:to>
    <xdr:pic>
      <xdr:nvPicPr>
        <xdr:cNvPr id="1962" name="Picture@5C\QPendientes@" descr="@5C\QPendientes@">
          <a:extLst>
            <a:ext uri="{FF2B5EF4-FFF2-40B4-BE49-F238E27FC236}">
              <a16:creationId xmlns:a16="http://schemas.microsoft.com/office/drawing/2014/main" id="{2B9EE014-2320-4D0F-8E77-62D5D5CA17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42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572</xdr:row>
      <xdr:rowOff>0</xdr:rowOff>
    </xdr:from>
    <xdr:to>
      <xdr:col>0</xdr:col>
      <xdr:colOff>171450</xdr:colOff>
      <xdr:row>572</xdr:row>
      <xdr:rowOff>133350</xdr:rowOff>
    </xdr:to>
    <xdr:pic>
      <xdr:nvPicPr>
        <xdr:cNvPr id="1963" name="Picture@5C\QPendientes@" descr="@5C\QPendientes@">
          <a:extLst>
            <a:ext uri="{FF2B5EF4-FFF2-40B4-BE49-F238E27FC236}">
              <a16:creationId xmlns:a16="http://schemas.microsoft.com/office/drawing/2014/main" id="{5599F02F-C592-48DE-8ED4-D5E3C65E2B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60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573</xdr:row>
      <xdr:rowOff>0</xdr:rowOff>
    </xdr:from>
    <xdr:to>
      <xdr:col>0</xdr:col>
      <xdr:colOff>171450</xdr:colOff>
      <xdr:row>573</xdr:row>
      <xdr:rowOff>133350</xdr:rowOff>
    </xdr:to>
    <xdr:pic>
      <xdr:nvPicPr>
        <xdr:cNvPr id="1964" name="Picture@5C\QPendientes@" descr="@5C\QPendientes@">
          <a:extLst>
            <a:ext uri="{FF2B5EF4-FFF2-40B4-BE49-F238E27FC236}">
              <a16:creationId xmlns:a16="http://schemas.microsoft.com/office/drawing/2014/main" id="{DF55CB07-EB30-4920-9972-2BFF9ED63B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79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574</xdr:row>
      <xdr:rowOff>0</xdr:rowOff>
    </xdr:from>
    <xdr:to>
      <xdr:col>0</xdr:col>
      <xdr:colOff>171450</xdr:colOff>
      <xdr:row>574</xdr:row>
      <xdr:rowOff>133350</xdr:rowOff>
    </xdr:to>
    <xdr:pic>
      <xdr:nvPicPr>
        <xdr:cNvPr id="1965" name="Picture@5C\QPendientes@" descr="@5C\QPendientes@">
          <a:extLst>
            <a:ext uri="{FF2B5EF4-FFF2-40B4-BE49-F238E27FC236}">
              <a16:creationId xmlns:a16="http://schemas.microsoft.com/office/drawing/2014/main" id="{1956C2F9-543B-4C6E-A59E-F8DC47A354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97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575</xdr:row>
      <xdr:rowOff>0</xdr:rowOff>
    </xdr:from>
    <xdr:to>
      <xdr:col>0</xdr:col>
      <xdr:colOff>171450</xdr:colOff>
      <xdr:row>575</xdr:row>
      <xdr:rowOff>133350</xdr:rowOff>
    </xdr:to>
    <xdr:pic>
      <xdr:nvPicPr>
        <xdr:cNvPr id="1966" name="Picture@5C\QPendientes@" descr="@5C\QPendientes@">
          <a:extLst>
            <a:ext uri="{FF2B5EF4-FFF2-40B4-BE49-F238E27FC236}">
              <a16:creationId xmlns:a16="http://schemas.microsoft.com/office/drawing/2014/main" id="{776087DE-FD5E-4344-A0A7-517CF847E8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15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576</xdr:row>
      <xdr:rowOff>0</xdr:rowOff>
    </xdr:from>
    <xdr:to>
      <xdr:col>0</xdr:col>
      <xdr:colOff>171450</xdr:colOff>
      <xdr:row>576</xdr:row>
      <xdr:rowOff>133350</xdr:rowOff>
    </xdr:to>
    <xdr:pic>
      <xdr:nvPicPr>
        <xdr:cNvPr id="1967" name="Picture@5C\QPendientes@" descr="@5C\QPendientes@">
          <a:extLst>
            <a:ext uri="{FF2B5EF4-FFF2-40B4-BE49-F238E27FC236}">
              <a16:creationId xmlns:a16="http://schemas.microsoft.com/office/drawing/2014/main" id="{1C4FB64C-B908-4C8E-AF89-777FF2058E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33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577</xdr:row>
      <xdr:rowOff>0</xdr:rowOff>
    </xdr:from>
    <xdr:to>
      <xdr:col>0</xdr:col>
      <xdr:colOff>171450</xdr:colOff>
      <xdr:row>577</xdr:row>
      <xdr:rowOff>133350</xdr:rowOff>
    </xdr:to>
    <xdr:pic>
      <xdr:nvPicPr>
        <xdr:cNvPr id="1968" name="Picture@5C\QPendientes@" descr="@5C\QPendientes@">
          <a:extLst>
            <a:ext uri="{FF2B5EF4-FFF2-40B4-BE49-F238E27FC236}">
              <a16:creationId xmlns:a16="http://schemas.microsoft.com/office/drawing/2014/main" id="{DBE0F501-0857-4DAB-8440-850FEA5678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52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578</xdr:row>
      <xdr:rowOff>0</xdr:rowOff>
    </xdr:from>
    <xdr:to>
      <xdr:col>0</xdr:col>
      <xdr:colOff>171450</xdr:colOff>
      <xdr:row>578</xdr:row>
      <xdr:rowOff>133350</xdr:rowOff>
    </xdr:to>
    <xdr:pic>
      <xdr:nvPicPr>
        <xdr:cNvPr id="1969" name="Picture@5C\QPendientes@" descr="@5C\QPendientes@">
          <a:extLst>
            <a:ext uri="{FF2B5EF4-FFF2-40B4-BE49-F238E27FC236}">
              <a16:creationId xmlns:a16="http://schemas.microsoft.com/office/drawing/2014/main" id="{F7407FCA-2B43-473F-A76D-BFE41C7B34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70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579</xdr:row>
      <xdr:rowOff>0</xdr:rowOff>
    </xdr:from>
    <xdr:to>
      <xdr:col>0</xdr:col>
      <xdr:colOff>171450</xdr:colOff>
      <xdr:row>579</xdr:row>
      <xdr:rowOff>133350</xdr:rowOff>
    </xdr:to>
    <xdr:pic>
      <xdr:nvPicPr>
        <xdr:cNvPr id="1970" name="Picture@5C\QPendientes@" descr="@5C\QPendientes@">
          <a:extLst>
            <a:ext uri="{FF2B5EF4-FFF2-40B4-BE49-F238E27FC236}">
              <a16:creationId xmlns:a16="http://schemas.microsoft.com/office/drawing/2014/main" id="{58779436-6D8E-49B2-82EF-5CE1097B86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88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580</xdr:row>
      <xdr:rowOff>0</xdr:rowOff>
    </xdr:from>
    <xdr:to>
      <xdr:col>0</xdr:col>
      <xdr:colOff>171450</xdr:colOff>
      <xdr:row>580</xdr:row>
      <xdr:rowOff>133350</xdr:rowOff>
    </xdr:to>
    <xdr:pic>
      <xdr:nvPicPr>
        <xdr:cNvPr id="1971" name="Picture@5C\QPendientes@" descr="@5C\QPendientes@">
          <a:extLst>
            <a:ext uri="{FF2B5EF4-FFF2-40B4-BE49-F238E27FC236}">
              <a16:creationId xmlns:a16="http://schemas.microsoft.com/office/drawing/2014/main" id="{D02F5939-60CE-492B-A590-6074A4A2AA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07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581</xdr:row>
      <xdr:rowOff>0</xdr:rowOff>
    </xdr:from>
    <xdr:to>
      <xdr:col>0</xdr:col>
      <xdr:colOff>171450</xdr:colOff>
      <xdr:row>581</xdr:row>
      <xdr:rowOff>133350</xdr:rowOff>
    </xdr:to>
    <xdr:pic>
      <xdr:nvPicPr>
        <xdr:cNvPr id="1972" name="Picture@5C\QPendientes@" descr="@5C\QPendientes@">
          <a:extLst>
            <a:ext uri="{FF2B5EF4-FFF2-40B4-BE49-F238E27FC236}">
              <a16:creationId xmlns:a16="http://schemas.microsoft.com/office/drawing/2014/main" id="{C768C719-28C9-40E1-89BA-5ACCE32137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25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582</xdr:row>
      <xdr:rowOff>0</xdr:rowOff>
    </xdr:from>
    <xdr:to>
      <xdr:col>0</xdr:col>
      <xdr:colOff>171450</xdr:colOff>
      <xdr:row>582</xdr:row>
      <xdr:rowOff>133350</xdr:rowOff>
    </xdr:to>
    <xdr:pic>
      <xdr:nvPicPr>
        <xdr:cNvPr id="1973" name="Picture@5C\QPendientes@" descr="@5C\QPendientes@">
          <a:extLst>
            <a:ext uri="{FF2B5EF4-FFF2-40B4-BE49-F238E27FC236}">
              <a16:creationId xmlns:a16="http://schemas.microsoft.com/office/drawing/2014/main" id="{592A95D6-89D8-48F5-9B93-52D356AADB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43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583</xdr:row>
      <xdr:rowOff>0</xdr:rowOff>
    </xdr:from>
    <xdr:to>
      <xdr:col>0</xdr:col>
      <xdr:colOff>171450</xdr:colOff>
      <xdr:row>583</xdr:row>
      <xdr:rowOff>133350</xdr:rowOff>
    </xdr:to>
    <xdr:pic>
      <xdr:nvPicPr>
        <xdr:cNvPr id="1974" name="Picture@5C\QPendientes@" descr="@5C\QPendientes@">
          <a:extLst>
            <a:ext uri="{FF2B5EF4-FFF2-40B4-BE49-F238E27FC236}">
              <a16:creationId xmlns:a16="http://schemas.microsoft.com/office/drawing/2014/main" id="{FA98046B-6FD0-44EB-9FB6-BCCEBE2A5F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61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584</xdr:row>
      <xdr:rowOff>0</xdr:rowOff>
    </xdr:from>
    <xdr:to>
      <xdr:col>0</xdr:col>
      <xdr:colOff>171450</xdr:colOff>
      <xdr:row>584</xdr:row>
      <xdr:rowOff>133350</xdr:rowOff>
    </xdr:to>
    <xdr:pic>
      <xdr:nvPicPr>
        <xdr:cNvPr id="1975" name="Picture@5C\QPendientes@" descr="@5C\QPendientes@">
          <a:extLst>
            <a:ext uri="{FF2B5EF4-FFF2-40B4-BE49-F238E27FC236}">
              <a16:creationId xmlns:a16="http://schemas.microsoft.com/office/drawing/2014/main" id="{C80CBD2C-263A-4D55-9CA6-E6559339AB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80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585</xdr:row>
      <xdr:rowOff>0</xdr:rowOff>
    </xdr:from>
    <xdr:to>
      <xdr:col>0</xdr:col>
      <xdr:colOff>171450</xdr:colOff>
      <xdr:row>585</xdr:row>
      <xdr:rowOff>133350</xdr:rowOff>
    </xdr:to>
    <xdr:pic>
      <xdr:nvPicPr>
        <xdr:cNvPr id="1976" name="Picture@5C\QPendientes@" descr="@5C\QPendientes@">
          <a:extLst>
            <a:ext uri="{FF2B5EF4-FFF2-40B4-BE49-F238E27FC236}">
              <a16:creationId xmlns:a16="http://schemas.microsoft.com/office/drawing/2014/main" id="{909388C1-32FB-4284-AED7-7DCAC9AFB9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98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586</xdr:row>
      <xdr:rowOff>0</xdr:rowOff>
    </xdr:from>
    <xdr:to>
      <xdr:col>0</xdr:col>
      <xdr:colOff>171450</xdr:colOff>
      <xdr:row>586</xdr:row>
      <xdr:rowOff>133350</xdr:rowOff>
    </xdr:to>
    <xdr:pic>
      <xdr:nvPicPr>
        <xdr:cNvPr id="1977" name="Picture@5C\QPendientes@" descr="@5C\QPendientes@">
          <a:extLst>
            <a:ext uri="{FF2B5EF4-FFF2-40B4-BE49-F238E27FC236}">
              <a16:creationId xmlns:a16="http://schemas.microsoft.com/office/drawing/2014/main" id="{C11B3CDF-B383-4E94-B40C-8162DA0739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16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587</xdr:row>
      <xdr:rowOff>0</xdr:rowOff>
    </xdr:from>
    <xdr:to>
      <xdr:col>0</xdr:col>
      <xdr:colOff>171450</xdr:colOff>
      <xdr:row>587</xdr:row>
      <xdr:rowOff>133350</xdr:rowOff>
    </xdr:to>
    <xdr:pic>
      <xdr:nvPicPr>
        <xdr:cNvPr id="1978" name="Picture@5C\QPendientes@" descr="@5C\QPendientes@">
          <a:extLst>
            <a:ext uri="{FF2B5EF4-FFF2-40B4-BE49-F238E27FC236}">
              <a16:creationId xmlns:a16="http://schemas.microsoft.com/office/drawing/2014/main" id="{B8CE279F-005B-412E-A994-BC8A54401B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35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588</xdr:row>
      <xdr:rowOff>0</xdr:rowOff>
    </xdr:from>
    <xdr:to>
      <xdr:col>0</xdr:col>
      <xdr:colOff>171450</xdr:colOff>
      <xdr:row>588</xdr:row>
      <xdr:rowOff>133350</xdr:rowOff>
    </xdr:to>
    <xdr:pic>
      <xdr:nvPicPr>
        <xdr:cNvPr id="1979" name="Picture@5C\QPendientes@" descr="@5C\QPendientes@">
          <a:extLst>
            <a:ext uri="{FF2B5EF4-FFF2-40B4-BE49-F238E27FC236}">
              <a16:creationId xmlns:a16="http://schemas.microsoft.com/office/drawing/2014/main" id="{DAA27CF4-476E-4D0D-BA46-78607BAB55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53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589</xdr:row>
      <xdr:rowOff>0</xdr:rowOff>
    </xdr:from>
    <xdr:to>
      <xdr:col>0</xdr:col>
      <xdr:colOff>171450</xdr:colOff>
      <xdr:row>589</xdr:row>
      <xdr:rowOff>133350</xdr:rowOff>
    </xdr:to>
    <xdr:pic>
      <xdr:nvPicPr>
        <xdr:cNvPr id="1980" name="Picture@5C\QPendientes@" descr="@5C\QPendientes@">
          <a:extLst>
            <a:ext uri="{FF2B5EF4-FFF2-40B4-BE49-F238E27FC236}">
              <a16:creationId xmlns:a16="http://schemas.microsoft.com/office/drawing/2014/main" id="{62AD8D31-8F98-4526-BE8E-9F212D4484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71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590</xdr:row>
      <xdr:rowOff>0</xdr:rowOff>
    </xdr:from>
    <xdr:to>
      <xdr:col>0</xdr:col>
      <xdr:colOff>171450</xdr:colOff>
      <xdr:row>590</xdr:row>
      <xdr:rowOff>133350</xdr:rowOff>
    </xdr:to>
    <xdr:pic>
      <xdr:nvPicPr>
        <xdr:cNvPr id="1981" name="Picture@5C\QPendientes@" descr="@5C\QPendientes@">
          <a:extLst>
            <a:ext uri="{FF2B5EF4-FFF2-40B4-BE49-F238E27FC236}">
              <a16:creationId xmlns:a16="http://schemas.microsoft.com/office/drawing/2014/main" id="{0B90C77B-ECF4-4967-B6FF-40A06A5A7F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89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591</xdr:row>
      <xdr:rowOff>0</xdr:rowOff>
    </xdr:from>
    <xdr:to>
      <xdr:col>0</xdr:col>
      <xdr:colOff>171450</xdr:colOff>
      <xdr:row>591</xdr:row>
      <xdr:rowOff>133350</xdr:rowOff>
    </xdr:to>
    <xdr:pic>
      <xdr:nvPicPr>
        <xdr:cNvPr id="1982" name="Picture@5C\QPendientes@" descr="@5C\QPendientes@">
          <a:extLst>
            <a:ext uri="{FF2B5EF4-FFF2-40B4-BE49-F238E27FC236}">
              <a16:creationId xmlns:a16="http://schemas.microsoft.com/office/drawing/2014/main" id="{FCA3C5A4-35C5-4B2A-AC2B-4D4ECE9FCF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08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592</xdr:row>
      <xdr:rowOff>0</xdr:rowOff>
    </xdr:from>
    <xdr:to>
      <xdr:col>0</xdr:col>
      <xdr:colOff>171450</xdr:colOff>
      <xdr:row>592</xdr:row>
      <xdr:rowOff>133350</xdr:rowOff>
    </xdr:to>
    <xdr:pic>
      <xdr:nvPicPr>
        <xdr:cNvPr id="1983" name="Picture@5C\QPendientes@" descr="@5C\QPendientes@">
          <a:extLst>
            <a:ext uri="{FF2B5EF4-FFF2-40B4-BE49-F238E27FC236}">
              <a16:creationId xmlns:a16="http://schemas.microsoft.com/office/drawing/2014/main" id="{6D33A3BA-8BCA-41E7-83EC-C2DD9F1890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26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593</xdr:row>
      <xdr:rowOff>0</xdr:rowOff>
    </xdr:from>
    <xdr:to>
      <xdr:col>0</xdr:col>
      <xdr:colOff>171450</xdr:colOff>
      <xdr:row>593</xdr:row>
      <xdr:rowOff>133350</xdr:rowOff>
    </xdr:to>
    <xdr:pic>
      <xdr:nvPicPr>
        <xdr:cNvPr id="1984" name="Picture@5C\QPendientes@" descr="@5C\QPendientes@">
          <a:extLst>
            <a:ext uri="{FF2B5EF4-FFF2-40B4-BE49-F238E27FC236}">
              <a16:creationId xmlns:a16="http://schemas.microsoft.com/office/drawing/2014/main" id="{1280E409-3AD6-4711-B642-BE03CC8505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44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594</xdr:row>
      <xdr:rowOff>0</xdr:rowOff>
    </xdr:from>
    <xdr:to>
      <xdr:col>0</xdr:col>
      <xdr:colOff>171450</xdr:colOff>
      <xdr:row>594</xdr:row>
      <xdr:rowOff>133350</xdr:rowOff>
    </xdr:to>
    <xdr:pic>
      <xdr:nvPicPr>
        <xdr:cNvPr id="1985" name="Picture@5C\QPendientes@" descr="@5C\QPendientes@">
          <a:extLst>
            <a:ext uri="{FF2B5EF4-FFF2-40B4-BE49-F238E27FC236}">
              <a16:creationId xmlns:a16="http://schemas.microsoft.com/office/drawing/2014/main" id="{DC1A3EEC-5195-41B9-B7D7-ECF4A99A23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63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595</xdr:row>
      <xdr:rowOff>0</xdr:rowOff>
    </xdr:from>
    <xdr:to>
      <xdr:col>0</xdr:col>
      <xdr:colOff>171450</xdr:colOff>
      <xdr:row>595</xdr:row>
      <xdr:rowOff>133350</xdr:rowOff>
    </xdr:to>
    <xdr:pic>
      <xdr:nvPicPr>
        <xdr:cNvPr id="1986" name="Picture@5C\QPendientes@" descr="@5C\QPendientes@">
          <a:extLst>
            <a:ext uri="{FF2B5EF4-FFF2-40B4-BE49-F238E27FC236}">
              <a16:creationId xmlns:a16="http://schemas.microsoft.com/office/drawing/2014/main" id="{4F9EB293-7554-4F8E-A4A2-289CC6E31C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81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596</xdr:row>
      <xdr:rowOff>0</xdr:rowOff>
    </xdr:from>
    <xdr:to>
      <xdr:col>0</xdr:col>
      <xdr:colOff>171450</xdr:colOff>
      <xdr:row>596</xdr:row>
      <xdr:rowOff>133350</xdr:rowOff>
    </xdr:to>
    <xdr:pic>
      <xdr:nvPicPr>
        <xdr:cNvPr id="1987" name="Picture@5C\QPendientes@" descr="@5C\QPendientes@">
          <a:extLst>
            <a:ext uri="{FF2B5EF4-FFF2-40B4-BE49-F238E27FC236}">
              <a16:creationId xmlns:a16="http://schemas.microsoft.com/office/drawing/2014/main" id="{220E83D4-305D-490F-B47E-5147B4A7AF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99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597</xdr:row>
      <xdr:rowOff>0</xdr:rowOff>
    </xdr:from>
    <xdr:to>
      <xdr:col>0</xdr:col>
      <xdr:colOff>171450</xdr:colOff>
      <xdr:row>597</xdr:row>
      <xdr:rowOff>133350</xdr:rowOff>
    </xdr:to>
    <xdr:pic>
      <xdr:nvPicPr>
        <xdr:cNvPr id="1988" name="Picture@5C\QPendientes@" descr="@5C\QPendientes@">
          <a:extLst>
            <a:ext uri="{FF2B5EF4-FFF2-40B4-BE49-F238E27FC236}">
              <a16:creationId xmlns:a16="http://schemas.microsoft.com/office/drawing/2014/main" id="{D8F29E21-13FD-481A-A3B1-5343974E3D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17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598</xdr:row>
      <xdr:rowOff>0</xdr:rowOff>
    </xdr:from>
    <xdr:to>
      <xdr:col>0</xdr:col>
      <xdr:colOff>171450</xdr:colOff>
      <xdr:row>598</xdr:row>
      <xdr:rowOff>133350</xdr:rowOff>
    </xdr:to>
    <xdr:pic>
      <xdr:nvPicPr>
        <xdr:cNvPr id="1989" name="Picture@5C\QPendientes@" descr="@5C\QPendientes@">
          <a:extLst>
            <a:ext uri="{FF2B5EF4-FFF2-40B4-BE49-F238E27FC236}">
              <a16:creationId xmlns:a16="http://schemas.microsoft.com/office/drawing/2014/main" id="{F6492FDC-9575-45D8-B5B7-5975C222DC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36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599</xdr:row>
      <xdr:rowOff>0</xdr:rowOff>
    </xdr:from>
    <xdr:to>
      <xdr:col>0</xdr:col>
      <xdr:colOff>171450</xdr:colOff>
      <xdr:row>599</xdr:row>
      <xdr:rowOff>133350</xdr:rowOff>
    </xdr:to>
    <xdr:pic>
      <xdr:nvPicPr>
        <xdr:cNvPr id="1990" name="Picture@5C\QPendientes@" descr="@5C\QPendientes@">
          <a:extLst>
            <a:ext uri="{FF2B5EF4-FFF2-40B4-BE49-F238E27FC236}">
              <a16:creationId xmlns:a16="http://schemas.microsoft.com/office/drawing/2014/main" id="{733179DC-1215-4336-86B1-4C88D8B48B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54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600</xdr:row>
      <xdr:rowOff>0</xdr:rowOff>
    </xdr:from>
    <xdr:to>
      <xdr:col>0</xdr:col>
      <xdr:colOff>171450</xdr:colOff>
      <xdr:row>600</xdr:row>
      <xdr:rowOff>133350</xdr:rowOff>
    </xdr:to>
    <xdr:pic>
      <xdr:nvPicPr>
        <xdr:cNvPr id="1991" name="Picture@5C\QPendientes@" descr="@5C\QPendientes@">
          <a:extLst>
            <a:ext uri="{FF2B5EF4-FFF2-40B4-BE49-F238E27FC236}">
              <a16:creationId xmlns:a16="http://schemas.microsoft.com/office/drawing/2014/main" id="{E91709BD-A8F0-49EC-8CB1-CA2CEDA81A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601</xdr:row>
      <xdr:rowOff>0</xdr:rowOff>
    </xdr:from>
    <xdr:to>
      <xdr:col>0</xdr:col>
      <xdr:colOff>171450</xdr:colOff>
      <xdr:row>601</xdr:row>
      <xdr:rowOff>133350</xdr:rowOff>
    </xdr:to>
    <xdr:pic>
      <xdr:nvPicPr>
        <xdr:cNvPr id="1992" name="Picture@5C\QPendientes@" descr="@5C\QPendientes@">
          <a:extLst>
            <a:ext uri="{FF2B5EF4-FFF2-40B4-BE49-F238E27FC236}">
              <a16:creationId xmlns:a16="http://schemas.microsoft.com/office/drawing/2014/main" id="{2685F8ED-206F-42DC-B7FA-4B9F098224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91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602</xdr:row>
      <xdr:rowOff>0</xdr:rowOff>
    </xdr:from>
    <xdr:to>
      <xdr:col>0</xdr:col>
      <xdr:colOff>171450</xdr:colOff>
      <xdr:row>602</xdr:row>
      <xdr:rowOff>133350</xdr:rowOff>
    </xdr:to>
    <xdr:pic>
      <xdr:nvPicPr>
        <xdr:cNvPr id="1993" name="Picture@5C\QPendientes@" descr="@5C\QPendientes@">
          <a:extLst>
            <a:ext uri="{FF2B5EF4-FFF2-40B4-BE49-F238E27FC236}">
              <a16:creationId xmlns:a16="http://schemas.microsoft.com/office/drawing/2014/main" id="{0B3246A9-5327-41B3-9F46-2FB1BFBA2A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09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603</xdr:row>
      <xdr:rowOff>0</xdr:rowOff>
    </xdr:from>
    <xdr:to>
      <xdr:col>0</xdr:col>
      <xdr:colOff>171450</xdr:colOff>
      <xdr:row>603</xdr:row>
      <xdr:rowOff>133350</xdr:rowOff>
    </xdr:to>
    <xdr:pic>
      <xdr:nvPicPr>
        <xdr:cNvPr id="1994" name="Picture@5C\QPendientes@" descr="@5C\QPendientes@">
          <a:extLst>
            <a:ext uri="{FF2B5EF4-FFF2-40B4-BE49-F238E27FC236}">
              <a16:creationId xmlns:a16="http://schemas.microsoft.com/office/drawing/2014/main" id="{A32086C9-9DA5-4861-9191-3B2154C1D0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27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604</xdr:row>
      <xdr:rowOff>0</xdr:rowOff>
    </xdr:from>
    <xdr:to>
      <xdr:col>0</xdr:col>
      <xdr:colOff>171450</xdr:colOff>
      <xdr:row>604</xdr:row>
      <xdr:rowOff>133350</xdr:rowOff>
    </xdr:to>
    <xdr:pic>
      <xdr:nvPicPr>
        <xdr:cNvPr id="1995" name="Picture@5C\QPendientes@" descr="@5C\QPendientes@">
          <a:extLst>
            <a:ext uri="{FF2B5EF4-FFF2-40B4-BE49-F238E27FC236}">
              <a16:creationId xmlns:a16="http://schemas.microsoft.com/office/drawing/2014/main" id="{26D78E4D-530C-4C60-A24F-D5FB328B9A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45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605</xdr:row>
      <xdr:rowOff>0</xdr:rowOff>
    </xdr:from>
    <xdr:to>
      <xdr:col>0</xdr:col>
      <xdr:colOff>171450</xdr:colOff>
      <xdr:row>605</xdr:row>
      <xdr:rowOff>133350</xdr:rowOff>
    </xdr:to>
    <xdr:pic>
      <xdr:nvPicPr>
        <xdr:cNvPr id="1996" name="Picture@5C\QPendientes@" descr="@5C\QPendientes@">
          <a:extLst>
            <a:ext uri="{FF2B5EF4-FFF2-40B4-BE49-F238E27FC236}">
              <a16:creationId xmlns:a16="http://schemas.microsoft.com/office/drawing/2014/main" id="{CF597FB4-C04E-4782-A887-7B00C8B883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64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606</xdr:row>
      <xdr:rowOff>0</xdr:rowOff>
    </xdr:from>
    <xdr:to>
      <xdr:col>0</xdr:col>
      <xdr:colOff>171450</xdr:colOff>
      <xdr:row>606</xdr:row>
      <xdr:rowOff>133350</xdr:rowOff>
    </xdr:to>
    <xdr:pic>
      <xdr:nvPicPr>
        <xdr:cNvPr id="1997" name="Picture@5C\QPendientes@" descr="@5C\QPendientes@">
          <a:extLst>
            <a:ext uri="{FF2B5EF4-FFF2-40B4-BE49-F238E27FC236}">
              <a16:creationId xmlns:a16="http://schemas.microsoft.com/office/drawing/2014/main" id="{88BFC046-3A44-4C19-A268-DC86B2057D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82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607</xdr:row>
      <xdr:rowOff>0</xdr:rowOff>
    </xdr:from>
    <xdr:to>
      <xdr:col>0</xdr:col>
      <xdr:colOff>171450</xdr:colOff>
      <xdr:row>607</xdr:row>
      <xdr:rowOff>133350</xdr:rowOff>
    </xdr:to>
    <xdr:pic>
      <xdr:nvPicPr>
        <xdr:cNvPr id="1998" name="Picture@5C\QPendientes@" descr="@5C\QPendientes@">
          <a:extLst>
            <a:ext uri="{FF2B5EF4-FFF2-40B4-BE49-F238E27FC236}">
              <a16:creationId xmlns:a16="http://schemas.microsoft.com/office/drawing/2014/main" id="{084F045E-F7E8-4CD8-8061-A2530DED85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00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608</xdr:row>
      <xdr:rowOff>0</xdr:rowOff>
    </xdr:from>
    <xdr:to>
      <xdr:col>0</xdr:col>
      <xdr:colOff>171450</xdr:colOff>
      <xdr:row>608</xdr:row>
      <xdr:rowOff>133350</xdr:rowOff>
    </xdr:to>
    <xdr:pic>
      <xdr:nvPicPr>
        <xdr:cNvPr id="1999" name="Picture@5C\QPendientes@" descr="@5C\QPendientes@">
          <a:extLst>
            <a:ext uri="{FF2B5EF4-FFF2-40B4-BE49-F238E27FC236}">
              <a16:creationId xmlns:a16="http://schemas.microsoft.com/office/drawing/2014/main" id="{A30E0CEF-0FE4-4183-A0BB-E04806B3AA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19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609</xdr:row>
      <xdr:rowOff>0</xdr:rowOff>
    </xdr:from>
    <xdr:to>
      <xdr:col>0</xdr:col>
      <xdr:colOff>171450</xdr:colOff>
      <xdr:row>609</xdr:row>
      <xdr:rowOff>133350</xdr:rowOff>
    </xdr:to>
    <xdr:pic>
      <xdr:nvPicPr>
        <xdr:cNvPr id="2000" name="Picture@5C\QPendientes@" descr="@5C\QPendientes@">
          <a:extLst>
            <a:ext uri="{FF2B5EF4-FFF2-40B4-BE49-F238E27FC236}">
              <a16:creationId xmlns:a16="http://schemas.microsoft.com/office/drawing/2014/main" id="{D2D2CF7A-BCFA-4410-B63C-BB29669443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37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610</xdr:row>
      <xdr:rowOff>0</xdr:rowOff>
    </xdr:from>
    <xdr:to>
      <xdr:col>0</xdr:col>
      <xdr:colOff>171450</xdr:colOff>
      <xdr:row>610</xdr:row>
      <xdr:rowOff>133350</xdr:rowOff>
    </xdr:to>
    <xdr:pic>
      <xdr:nvPicPr>
        <xdr:cNvPr id="2001" name="Picture@5C\QPendientes@" descr="@5C\QPendientes@">
          <a:extLst>
            <a:ext uri="{FF2B5EF4-FFF2-40B4-BE49-F238E27FC236}">
              <a16:creationId xmlns:a16="http://schemas.microsoft.com/office/drawing/2014/main" id="{A0245A0A-6107-41F7-A06F-0F387A75D6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55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611</xdr:row>
      <xdr:rowOff>0</xdr:rowOff>
    </xdr:from>
    <xdr:to>
      <xdr:col>0</xdr:col>
      <xdr:colOff>171450</xdr:colOff>
      <xdr:row>611</xdr:row>
      <xdr:rowOff>133350</xdr:rowOff>
    </xdr:to>
    <xdr:pic>
      <xdr:nvPicPr>
        <xdr:cNvPr id="2002" name="Picture@5C\QPendientes@" descr="@5C\QPendientes@">
          <a:extLst>
            <a:ext uri="{FF2B5EF4-FFF2-40B4-BE49-F238E27FC236}">
              <a16:creationId xmlns:a16="http://schemas.microsoft.com/office/drawing/2014/main" id="{E3418B77-F585-48D8-BEF9-0A129AABFD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73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612</xdr:row>
      <xdr:rowOff>0</xdr:rowOff>
    </xdr:from>
    <xdr:to>
      <xdr:col>0</xdr:col>
      <xdr:colOff>171450</xdr:colOff>
      <xdr:row>612</xdr:row>
      <xdr:rowOff>133350</xdr:rowOff>
    </xdr:to>
    <xdr:pic>
      <xdr:nvPicPr>
        <xdr:cNvPr id="2003" name="Picture@5C\QPendientes@" descr="@5C\QPendientes@">
          <a:extLst>
            <a:ext uri="{FF2B5EF4-FFF2-40B4-BE49-F238E27FC236}">
              <a16:creationId xmlns:a16="http://schemas.microsoft.com/office/drawing/2014/main" id="{04824E2E-F5CE-4E81-B9A0-FC802C07DE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92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613</xdr:row>
      <xdr:rowOff>0</xdr:rowOff>
    </xdr:from>
    <xdr:to>
      <xdr:col>0</xdr:col>
      <xdr:colOff>171450</xdr:colOff>
      <xdr:row>613</xdr:row>
      <xdr:rowOff>133350</xdr:rowOff>
    </xdr:to>
    <xdr:pic>
      <xdr:nvPicPr>
        <xdr:cNvPr id="2004" name="Picture@5C\QPendientes@" descr="@5C\QPendientes@">
          <a:extLst>
            <a:ext uri="{FF2B5EF4-FFF2-40B4-BE49-F238E27FC236}">
              <a16:creationId xmlns:a16="http://schemas.microsoft.com/office/drawing/2014/main" id="{06E3C1D3-035E-4CDD-80F2-B9C14B7B44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10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614</xdr:row>
      <xdr:rowOff>0</xdr:rowOff>
    </xdr:from>
    <xdr:to>
      <xdr:col>0</xdr:col>
      <xdr:colOff>171450</xdr:colOff>
      <xdr:row>614</xdr:row>
      <xdr:rowOff>133350</xdr:rowOff>
    </xdr:to>
    <xdr:pic>
      <xdr:nvPicPr>
        <xdr:cNvPr id="2005" name="Picture@5C\QPendientes@" descr="@5C\QPendientes@">
          <a:extLst>
            <a:ext uri="{FF2B5EF4-FFF2-40B4-BE49-F238E27FC236}">
              <a16:creationId xmlns:a16="http://schemas.microsoft.com/office/drawing/2014/main" id="{644D9443-03B4-4366-8808-3210C6BCA1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28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615</xdr:row>
      <xdr:rowOff>0</xdr:rowOff>
    </xdr:from>
    <xdr:to>
      <xdr:col>0</xdr:col>
      <xdr:colOff>171450</xdr:colOff>
      <xdr:row>615</xdr:row>
      <xdr:rowOff>133350</xdr:rowOff>
    </xdr:to>
    <xdr:pic>
      <xdr:nvPicPr>
        <xdr:cNvPr id="2006" name="Picture@5C\QPendientes@" descr="@5C\QPendientes@">
          <a:extLst>
            <a:ext uri="{FF2B5EF4-FFF2-40B4-BE49-F238E27FC236}">
              <a16:creationId xmlns:a16="http://schemas.microsoft.com/office/drawing/2014/main" id="{A17ED4B1-D51D-44B3-8D59-37BDA1E32F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47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616</xdr:row>
      <xdr:rowOff>0</xdr:rowOff>
    </xdr:from>
    <xdr:to>
      <xdr:col>0</xdr:col>
      <xdr:colOff>171450</xdr:colOff>
      <xdr:row>616</xdr:row>
      <xdr:rowOff>133350</xdr:rowOff>
    </xdr:to>
    <xdr:pic>
      <xdr:nvPicPr>
        <xdr:cNvPr id="2007" name="Picture@5C\QPendientes@" descr="@5C\QPendientes@">
          <a:extLst>
            <a:ext uri="{FF2B5EF4-FFF2-40B4-BE49-F238E27FC236}">
              <a16:creationId xmlns:a16="http://schemas.microsoft.com/office/drawing/2014/main" id="{31EC24E7-C809-4E3D-9645-1B177133B9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65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617</xdr:row>
      <xdr:rowOff>0</xdr:rowOff>
    </xdr:from>
    <xdr:to>
      <xdr:col>0</xdr:col>
      <xdr:colOff>171450</xdr:colOff>
      <xdr:row>617</xdr:row>
      <xdr:rowOff>133350</xdr:rowOff>
    </xdr:to>
    <xdr:pic>
      <xdr:nvPicPr>
        <xdr:cNvPr id="2008" name="Picture@5C\QPendientes@" descr="@5C\QPendientes@">
          <a:extLst>
            <a:ext uri="{FF2B5EF4-FFF2-40B4-BE49-F238E27FC236}">
              <a16:creationId xmlns:a16="http://schemas.microsoft.com/office/drawing/2014/main" id="{34549886-36F9-48ED-8ED6-71CFA46FB7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83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618</xdr:row>
      <xdr:rowOff>0</xdr:rowOff>
    </xdr:from>
    <xdr:to>
      <xdr:col>0</xdr:col>
      <xdr:colOff>171450</xdr:colOff>
      <xdr:row>618</xdr:row>
      <xdr:rowOff>133350</xdr:rowOff>
    </xdr:to>
    <xdr:pic>
      <xdr:nvPicPr>
        <xdr:cNvPr id="2009" name="Picture@5C\QPendientes@" descr="@5C\QPendientes@">
          <a:extLst>
            <a:ext uri="{FF2B5EF4-FFF2-40B4-BE49-F238E27FC236}">
              <a16:creationId xmlns:a16="http://schemas.microsoft.com/office/drawing/2014/main" id="{FC1F44FB-C024-4AC0-BEC4-16D1F4D6B1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01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619</xdr:row>
      <xdr:rowOff>0</xdr:rowOff>
    </xdr:from>
    <xdr:to>
      <xdr:col>0</xdr:col>
      <xdr:colOff>171450</xdr:colOff>
      <xdr:row>619</xdr:row>
      <xdr:rowOff>133350</xdr:rowOff>
    </xdr:to>
    <xdr:pic>
      <xdr:nvPicPr>
        <xdr:cNvPr id="2010" name="Picture@5C\QPendientes@" descr="@5C\QPendientes@">
          <a:extLst>
            <a:ext uri="{FF2B5EF4-FFF2-40B4-BE49-F238E27FC236}">
              <a16:creationId xmlns:a16="http://schemas.microsoft.com/office/drawing/2014/main" id="{7C927260-B9B9-4707-9F6F-F5364F784A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20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620</xdr:row>
      <xdr:rowOff>0</xdr:rowOff>
    </xdr:from>
    <xdr:to>
      <xdr:col>0</xdr:col>
      <xdr:colOff>171450</xdr:colOff>
      <xdr:row>620</xdr:row>
      <xdr:rowOff>133350</xdr:rowOff>
    </xdr:to>
    <xdr:pic>
      <xdr:nvPicPr>
        <xdr:cNvPr id="2011" name="Picture@5C\QPendientes@" descr="@5C\QPendientes@">
          <a:extLst>
            <a:ext uri="{FF2B5EF4-FFF2-40B4-BE49-F238E27FC236}">
              <a16:creationId xmlns:a16="http://schemas.microsoft.com/office/drawing/2014/main" id="{147562C4-FD0F-423D-9710-BE98088D6A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38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621</xdr:row>
      <xdr:rowOff>0</xdr:rowOff>
    </xdr:from>
    <xdr:to>
      <xdr:col>0</xdr:col>
      <xdr:colOff>171450</xdr:colOff>
      <xdr:row>621</xdr:row>
      <xdr:rowOff>133350</xdr:rowOff>
    </xdr:to>
    <xdr:pic>
      <xdr:nvPicPr>
        <xdr:cNvPr id="2012" name="Picture@5C\QPendientes@" descr="@5C\QPendientes@">
          <a:extLst>
            <a:ext uri="{FF2B5EF4-FFF2-40B4-BE49-F238E27FC236}">
              <a16:creationId xmlns:a16="http://schemas.microsoft.com/office/drawing/2014/main" id="{6D2C74A8-B408-4FC1-B918-79577DD11C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56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622</xdr:row>
      <xdr:rowOff>0</xdr:rowOff>
    </xdr:from>
    <xdr:to>
      <xdr:col>0</xdr:col>
      <xdr:colOff>171450</xdr:colOff>
      <xdr:row>622</xdr:row>
      <xdr:rowOff>133350</xdr:rowOff>
    </xdr:to>
    <xdr:pic>
      <xdr:nvPicPr>
        <xdr:cNvPr id="2013" name="Picture@5C\QPendientes@" descr="@5C\QPendientes@">
          <a:extLst>
            <a:ext uri="{FF2B5EF4-FFF2-40B4-BE49-F238E27FC236}">
              <a16:creationId xmlns:a16="http://schemas.microsoft.com/office/drawing/2014/main" id="{0EF21904-1C04-4803-8E8F-418B00C980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75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623</xdr:row>
      <xdr:rowOff>0</xdr:rowOff>
    </xdr:from>
    <xdr:to>
      <xdr:col>0</xdr:col>
      <xdr:colOff>171450</xdr:colOff>
      <xdr:row>623</xdr:row>
      <xdr:rowOff>133350</xdr:rowOff>
    </xdr:to>
    <xdr:pic>
      <xdr:nvPicPr>
        <xdr:cNvPr id="2014" name="Picture@5C\QPendientes@" descr="@5C\QPendientes@">
          <a:extLst>
            <a:ext uri="{FF2B5EF4-FFF2-40B4-BE49-F238E27FC236}">
              <a16:creationId xmlns:a16="http://schemas.microsoft.com/office/drawing/2014/main" id="{E8A29AFB-A286-4ADF-8798-75B6EB8CF1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93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624</xdr:row>
      <xdr:rowOff>0</xdr:rowOff>
    </xdr:from>
    <xdr:to>
      <xdr:col>0</xdr:col>
      <xdr:colOff>171450</xdr:colOff>
      <xdr:row>624</xdr:row>
      <xdr:rowOff>133350</xdr:rowOff>
    </xdr:to>
    <xdr:pic>
      <xdr:nvPicPr>
        <xdr:cNvPr id="2015" name="Picture@5C\QPendientes@" descr="@5C\QPendientes@">
          <a:extLst>
            <a:ext uri="{FF2B5EF4-FFF2-40B4-BE49-F238E27FC236}">
              <a16:creationId xmlns:a16="http://schemas.microsoft.com/office/drawing/2014/main" id="{32624223-89BE-4751-870A-48DEBBDFA8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11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625</xdr:row>
      <xdr:rowOff>0</xdr:rowOff>
    </xdr:from>
    <xdr:to>
      <xdr:col>0</xdr:col>
      <xdr:colOff>171450</xdr:colOff>
      <xdr:row>625</xdr:row>
      <xdr:rowOff>133350</xdr:rowOff>
    </xdr:to>
    <xdr:pic>
      <xdr:nvPicPr>
        <xdr:cNvPr id="2016" name="Picture@5C\QPendientes@" descr="@5C\QPendientes@">
          <a:extLst>
            <a:ext uri="{FF2B5EF4-FFF2-40B4-BE49-F238E27FC236}">
              <a16:creationId xmlns:a16="http://schemas.microsoft.com/office/drawing/2014/main" id="{38F0C06C-C474-4A82-9C64-CFA08E3856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30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626</xdr:row>
      <xdr:rowOff>0</xdr:rowOff>
    </xdr:from>
    <xdr:to>
      <xdr:col>0</xdr:col>
      <xdr:colOff>171450</xdr:colOff>
      <xdr:row>626</xdr:row>
      <xdr:rowOff>133350</xdr:rowOff>
    </xdr:to>
    <xdr:pic>
      <xdr:nvPicPr>
        <xdr:cNvPr id="2017" name="Picture@5C\QPendientes@" descr="@5C\QPendientes@">
          <a:extLst>
            <a:ext uri="{FF2B5EF4-FFF2-40B4-BE49-F238E27FC236}">
              <a16:creationId xmlns:a16="http://schemas.microsoft.com/office/drawing/2014/main" id="{077842E3-3C5B-42C9-827F-814705E0B0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48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627</xdr:row>
      <xdr:rowOff>0</xdr:rowOff>
    </xdr:from>
    <xdr:to>
      <xdr:col>0</xdr:col>
      <xdr:colOff>171450</xdr:colOff>
      <xdr:row>627</xdr:row>
      <xdr:rowOff>133350</xdr:rowOff>
    </xdr:to>
    <xdr:pic>
      <xdr:nvPicPr>
        <xdr:cNvPr id="2018" name="Picture@5C\QPendientes@" descr="@5C\QPendientes@">
          <a:extLst>
            <a:ext uri="{FF2B5EF4-FFF2-40B4-BE49-F238E27FC236}">
              <a16:creationId xmlns:a16="http://schemas.microsoft.com/office/drawing/2014/main" id="{8D1E649F-F1F3-43F3-A666-6C3D00842A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66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628</xdr:row>
      <xdr:rowOff>0</xdr:rowOff>
    </xdr:from>
    <xdr:to>
      <xdr:col>0</xdr:col>
      <xdr:colOff>171450</xdr:colOff>
      <xdr:row>628</xdr:row>
      <xdr:rowOff>133350</xdr:rowOff>
    </xdr:to>
    <xdr:pic>
      <xdr:nvPicPr>
        <xdr:cNvPr id="2019" name="Picture@5C\QPendientes@" descr="@5C\QPendientes@">
          <a:extLst>
            <a:ext uri="{FF2B5EF4-FFF2-40B4-BE49-F238E27FC236}">
              <a16:creationId xmlns:a16="http://schemas.microsoft.com/office/drawing/2014/main" id="{0250D143-4B79-47A7-8C99-22F2AA7145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84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629</xdr:row>
      <xdr:rowOff>0</xdr:rowOff>
    </xdr:from>
    <xdr:to>
      <xdr:col>0</xdr:col>
      <xdr:colOff>171450</xdr:colOff>
      <xdr:row>629</xdr:row>
      <xdr:rowOff>133350</xdr:rowOff>
    </xdr:to>
    <xdr:pic>
      <xdr:nvPicPr>
        <xdr:cNvPr id="2020" name="Picture@5C\QPendientes@" descr="@5C\QPendientes@">
          <a:extLst>
            <a:ext uri="{FF2B5EF4-FFF2-40B4-BE49-F238E27FC236}">
              <a16:creationId xmlns:a16="http://schemas.microsoft.com/office/drawing/2014/main" id="{22084917-008C-41B5-B177-B22F826B7B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03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630</xdr:row>
      <xdr:rowOff>0</xdr:rowOff>
    </xdr:from>
    <xdr:to>
      <xdr:col>0</xdr:col>
      <xdr:colOff>171450</xdr:colOff>
      <xdr:row>630</xdr:row>
      <xdr:rowOff>133350</xdr:rowOff>
    </xdr:to>
    <xdr:pic>
      <xdr:nvPicPr>
        <xdr:cNvPr id="2021" name="Picture@5C\QPendientes@" descr="@5C\QPendientes@">
          <a:extLst>
            <a:ext uri="{FF2B5EF4-FFF2-40B4-BE49-F238E27FC236}">
              <a16:creationId xmlns:a16="http://schemas.microsoft.com/office/drawing/2014/main" id="{D3EBA736-203F-46DC-AFFE-AE0E1C384D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21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631</xdr:row>
      <xdr:rowOff>0</xdr:rowOff>
    </xdr:from>
    <xdr:to>
      <xdr:col>0</xdr:col>
      <xdr:colOff>171450</xdr:colOff>
      <xdr:row>631</xdr:row>
      <xdr:rowOff>133350</xdr:rowOff>
    </xdr:to>
    <xdr:pic>
      <xdr:nvPicPr>
        <xdr:cNvPr id="2022" name="Picture@5C\QPendientes@" descr="@5C\QPendientes@">
          <a:extLst>
            <a:ext uri="{FF2B5EF4-FFF2-40B4-BE49-F238E27FC236}">
              <a16:creationId xmlns:a16="http://schemas.microsoft.com/office/drawing/2014/main" id="{02CA096F-E3D7-4A9B-AF72-454F79984B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39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632</xdr:row>
      <xdr:rowOff>0</xdr:rowOff>
    </xdr:from>
    <xdr:to>
      <xdr:col>0</xdr:col>
      <xdr:colOff>171450</xdr:colOff>
      <xdr:row>632</xdr:row>
      <xdr:rowOff>133350</xdr:rowOff>
    </xdr:to>
    <xdr:pic>
      <xdr:nvPicPr>
        <xdr:cNvPr id="2023" name="Picture@5C\QPendientes@" descr="@5C\QPendientes@">
          <a:extLst>
            <a:ext uri="{FF2B5EF4-FFF2-40B4-BE49-F238E27FC236}">
              <a16:creationId xmlns:a16="http://schemas.microsoft.com/office/drawing/2014/main" id="{C7F65697-6753-4B54-BADE-DCD7C70187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58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633</xdr:row>
      <xdr:rowOff>0</xdr:rowOff>
    </xdr:from>
    <xdr:to>
      <xdr:col>0</xdr:col>
      <xdr:colOff>171450</xdr:colOff>
      <xdr:row>633</xdr:row>
      <xdr:rowOff>133350</xdr:rowOff>
    </xdr:to>
    <xdr:pic>
      <xdr:nvPicPr>
        <xdr:cNvPr id="2024" name="Picture@5C\QPendientes@" descr="@5C\QPendientes@">
          <a:extLst>
            <a:ext uri="{FF2B5EF4-FFF2-40B4-BE49-F238E27FC236}">
              <a16:creationId xmlns:a16="http://schemas.microsoft.com/office/drawing/2014/main" id="{5945B2F5-2C65-447B-9281-DD401B3A7A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76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634</xdr:row>
      <xdr:rowOff>0</xdr:rowOff>
    </xdr:from>
    <xdr:to>
      <xdr:col>0</xdr:col>
      <xdr:colOff>171450</xdr:colOff>
      <xdr:row>634</xdr:row>
      <xdr:rowOff>133350</xdr:rowOff>
    </xdr:to>
    <xdr:pic>
      <xdr:nvPicPr>
        <xdr:cNvPr id="2025" name="Picture@5C\QPendientes@" descr="@5C\QPendientes@">
          <a:extLst>
            <a:ext uri="{FF2B5EF4-FFF2-40B4-BE49-F238E27FC236}">
              <a16:creationId xmlns:a16="http://schemas.microsoft.com/office/drawing/2014/main" id="{E569C8B7-91C8-4DDE-907E-480ACD8121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94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635</xdr:row>
      <xdr:rowOff>0</xdr:rowOff>
    </xdr:from>
    <xdr:to>
      <xdr:col>0</xdr:col>
      <xdr:colOff>171450</xdr:colOff>
      <xdr:row>635</xdr:row>
      <xdr:rowOff>133350</xdr:rowOff>
    </xdr:to>
    <xdr:pic>
      <xdr:nvPicPr>
        <xdr:cNvPr id="2026" name="Picture@5C\QPendientes@" descr="@5C\QPendientes@">
          <a:extLst>
            <a:ext uri="{FF2B5EF4-FFF2-40B4-BE49-F238E27FC236}">
              <a16:creationId xmlns:a16="http://schemas.microsoft.com/office/drawing/2014/main" id="{0876BA1A-6880-4052-A479-BEC57F23BA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12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636</xdr:row>
      <xdr:rowOff>0</xdr:rowOff>
    </xdr:from>
    <xdr:to>
      <xdr:col>0</xdr:col>
      <xdr:colOff>171450</xdr:colOff>
      <xdr:row>636</xdr:row>
      <xdr:rowOff>133350</xdr:rowOff>
    </xdr:to>
    <xdr:pic>
      <xdr:nvPicPr>
        <xdr:cNvPr id="2027" name="Picture@5C\QPendientes@" descr="@5C\QPendientes@">
          <a:extLst>
            <a:ext uri="{FF2B5EF4-FFF2-40B4-BE49-F238E27FC236}">
              <a16:creationId xmlns:a16="http://schemas.microsoft.com/office/drawing/2014/main" id="{3C1D878E-84AC-4AFF-9E8D-5C21090B0E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31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637</xdr:row>
      <xdr:rowOff>0</xdr:rowOff>
    </xdr:from>
    <xdr:to>
      <xdr:col>0</xdr:col>
      <xdr:colOff>171450</xdr:colOff>
      <xdr:row>637</xdr:row>
      <xdr:rowOff>133350</xdr:rowOff>
    </xdr:to>
    <xdr:pic>
      <xdr:nvPicPr>
        <xdr:cNvPr id="2028" name="Picture@5C\QPendientes@" descr="@5C\QPendientes@">
          <a:extLst>
            <a:ext uri="{FF2B5EF4-FFF2-40B4-BE49-F238E27FC236}">
              <a16:creationId xmlns:a16="http://schemas.microsoft.com/office/drawing/2014/main" id="{B0EA4A99-6D42-4285-91F4-99919D4347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49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638</xdr:row>
      <xdr:rowOff>0</xdr:rowOff>
    </xdr:from>
    <xdr:to>
      <xdr:col>0</xdr:col>
      <xdr:colOff>171450</xdr:colOff>
      <xdr:row>638</xdr:row>
      <xdr:rowOff>133350</xdr:rowOff>
    </xdr:to>
    <xdr:pic>
      <xdr:nvPicPr>
        <xdr:cNvPr id="2029" name="Picture@5C\QPendientes@" descr="@5C\QPendientes@">
          <a:extLst>
            <a:ext uri="{FF2B5EF4-FFF2-40B4-BE49-F238E27FC236}">
              <a16:creationId xmlns:a16="http://schemas.microsoft.com/office/drawing/2014/main" id="{7FB87660-A67D-472A-B6A8-1940705F63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67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639</xdr:row>
      <xdr:rowOff>0</xdr:rowOff>
    </xdr:from>
    <xdr:to>
      <xdr:col>0</xdr:col>
      <xdr:colOff>171450</xdr:colOff>
      <xdr:row>639</xdr:row>
      <xdr:rowOff>133350</xdr:rowOff>
    </xdr:to>
    <xdr:pic>
      <xdr:nvPicPr>
        <xdr:cNvPr id="2030" name="Picture@5C\QPendientes@" descr="@5C\QPendientes@">
          <a:extLst>
            <a:ext uri="{FF2B5EF4-FFF2-40B4-BE49-F238E27FC236}">
              <a16:creationId xmlns:a16="http://schemas.microsoft.com/office/drawing/2014/main" id="{B92A783E-81C4-4A55-914A-8096C59CD4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86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640</xdr:row>
      <xdr:rowOff>0</xdr:rowOff>
    </xdr:from>
    <xdr:to>
      <xdr:col>0</xdr:col>
      <xdr:colOff>171450</xdr:colOff>
      <xdr:row>640</xdr:row>
      <xdr:rowOff>133350</xdr:rowOff>
    </xdr:to>
    <xdr:pic>
      <xdr:nvPicPr>
        <xdr:cNvPr id="2031" name="Picture@5C\QPendientes@" descr="@5C\QPendientes@">
          <a:extLst>
            <a:ext uri="{FF2B5EF4-FFF2-40B4-BE49-F238E27FC236}">
              <a16:creationId xmlns:a16="http://schemas.microsoft.com/office/drawing/2014/main" id="{F876FF71-7544-437A-A22C-EE76BCD8D0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04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641</xdr:row>
      <xdr:rowOff>0</xdr:rowOff>
    </xdr:from>
    <xdr:to>
      <xdr:col>0</xdr:col>
      <xdr:colOff>171450</xdr:colOff>
      <xdr:row>641</xdr:row>
      <xdr:rowOff>133350</xdr:rowOff>
    </xdr:to>
    <xdr:pic>
      <xdr:nvPicPr>
        <xdr:cNvPr id="2032" name="Picture@5C\QPendientes@" descr="@5C\QPendientes@">
          <a:extLst>
            <a:ext uri="{FF2B5EF4-FFF2-40B4-BE49-F238E27FC236}">
              <a16:creationId xmlns:a16="http://schemas.microsoft.com/office/drawing/2014/main" id="{A2196A1B-3CF5-4DBB-B85B-3314C28DB1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22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642</xdr:row>
      <xdr:rowOff>0</xdr:rowOff>
    </xdr:from>
    <xdr:to>
      <xdr:col>0</xdr:col>
      <xdr:colOff>171450</xdr:colOff>
      <xdr:row>642</xdr:row>
      <xdr:rowOff>133350</xdr:rowOff>
    </xdr:to>
    <xdr:pic>
      <xdr:nvPicPr>
        <xdr:cNvPr id="2033" name="Picture@5C\QPendientes@" descr="@5C\QPendientes@">
          <a:extLst>
            <a:ext uri="{FF2B5EF4-FFF2-40B4-BE49-F238E27FC236}">
              <a16:creationId xmlns:a16="http://schemas.microsoft.com/office/drawing/2014/main" id="{53022C10-AD60-4FEC-A082-20756E973C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40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643</xdr:row>
      <xdr:rowOff>0</xdr:rowOff>
    </xdr:from>
    <xdr:to>
      <xdr:col>0</xdr:col>
      <xdr:colOff>171450</xdr:colOff>
      <xdr:row>643</xdr:row>
      <xdr:rowOff>133350</xdr:rowOff>
    </xdr:to>
    <xdr:pic>
      <xdr:nvPicPr>
        <xdr:cNvPr id="2034" name="Picture@5C\QPendientes@" descr="@5C\QPendientes@">
          <a:extLst>
            <a:ext uri="{FF2B5EF4-FFF2-40B4-BE49-F238E27FC236}">
              <a16:creationId xmlns:a16="http://schemas.microsoft.com/office/drawing/2014/main" id="{A8AEA676-7F09-4BD8-8077-05596C9ED4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59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644</xdr:row>
      <xdr:rowOff>0</xdr:rowOff>
    </xdr:from>
    <xdr:to>
      <xdr:col>0</xdr:col>
      <xdr:colOff>171450</xdr:colOff>
      <xdr:row>644</xdr:row>
      <xdr:rowOff>133350</xdr:rowOff>
    </xdr:to>
    <xdr:pic>
      <xdr:nvPicPr>
        <xdr:cNvPr id="2035" name="Picture@5C\QPendientes@" descr="@5C\QPendientes@">
          <a:extLst>
            <a:ext uri="{FF2B5EF4-FFF2-40B4-BE49-F238E27FC236}">
              <a16:creationId xmlns:a16="http://schemas.microsoft.com/office/drawing/2014/main" id="{B845CDEE-7CEE-4EB8-AB14-82F57CF8BD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77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645</xdr:row>
      <xdr:rowOff>0</xdr:rowOff>
    </xdr:from>
    <xdr:to>
      <xdr:col>0</xdr:col>
      <xdr:colOff>171450</xdr:colOff>
      <xdr:row>645</xdr:row>
      <xdr:rowOff>133350</xdr:rowOff>
    </xdr:to>
    <xdr:pic>
      <xdr:nvPicPr>
        <xdr:cNvPr id="2036" name="Picture@5C\QPendientes@" descr="@5C\QPendientes@">
          <a:extLst>
            <a:ext uri="{FF2B5EF4-FFF2-40B4-BE49-F238E27FC236}">
              <a16:creationId xmlns:a16="http://schemas.microsoft.com/office/drawing/2014/main" id="{1CED96B3-AC4E-4AC9-A37B-3703F10FAF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95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646</xdr:row>
      <xdr:rowOff>0</xdr:rowOff>
    </xdr:from>
    <xdr:to>
      <xdr:col>0</xdr:col>
      <xdr:colOff>171450</xdr:colOff>
      <xdr:row>646</xdr:row>
      <xdr:rowOff>133350</xdr:rowOff>
    </xdr:to>
    <xdr:pic>
      <xdr:nvPicPr>
        <xdr:cNvPr id="2037" name="Picture@5C\QPendientes@" descr="@5C\QPendientes@">
          <a:extLst>
            <a:ext uri="{FF2B5EF4-FFF2-40B4-BE49-F238E27FC236}">
              <a16:creationId xmlns:a16="http://schemas.microsoft.com/office/drawing/2014/main" id="{CD6F7692-0E59-4D68-B48D-C1D1551552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14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647</xdr:row>
      <xdr:rowOff>0</xdr:rowOff>
    </xdr:from>
    <xdr:to>
      <xdr:col>0</xdr:col>
      <xdr:colOff>171450</xdr:colOff>
      <xdr:row>647</xdr:row>
      <xdr:rowOff>133350</xdr:rowOff>
    </xdr:to>
    <xdr:pic>
      <xdr:nvPicPr>
        <xdr:cNvPr id="2038" name="Picture@5C\QPendientes@" descr="@5C\QPendientes@">
          <a:extLst>
            <a:ext uri="{FF2B5EF4-FFF2-40B4-BE49-F238E27FC236}">
              <a16:creationId xmlns:a16="http://schemas.microsoft.com/office/drawing/2014/main" id="{E65E90A3-1CEA-4472-8078-4721405FFF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32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648</xdr:row>
      <xdr:rowOff>0</xdr:rowOff>
    </xdr:from>
    <xdr:to>
      <xdr:col>0</xdr:col>
      <xdr:colOff>171450</xdr:colOff>
      <xdr:row>648</xdr:row>
      <xdr:rowOff>133350</xdr:rowOff>
    </xdr:to>
    <xdr:pic>
      <xdr:nvPicPr>
        <xdr:cNvPr id="2039" name="Picture@5C\QPendientes@" descr="@5C\QPendientes@">
          <a:extLst>
            <a:ext uri="{FF2B5EF4-FFF2-40B4-BE49-F238E27FC236}">
              <a16:creationId xmlns:a16="http://schemas.microsoft.com/office/drawing/2014/main" id="{21CAAB00-ED08-4432-8F53-30778EC21A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50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649</xdr:row>
      <xdr:rowOff>0</xdr:rowOff>
    </xdr:from>
    <xdr:to>
      <xdr:col>0</xdr:col>
      <xdr:colOff>171450</xdr:colOff>
      <xdr:row>649</xdr:row>
      <xdr:rowOff>133350</xdr:rowOff>
    </xdr:to>
    <xdr:pic>
      <xdr:nvPicPr>
        <xdr:cNvPr id="2040" name="Picture@5C\QPendientes@" descr="@5C\QPendientes@">
          <a:extLst>
            <a:ext uri="{FF2B5EF4-FFF2-40B4-BE49-F238E27FC236}">
              <a16:creationId xmlns:a16="http://schemas.microsoft.com/office/drawing/2014/main" id="{F9041B37-C01D-4256-B1D3-0FF846322F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68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650</xdr:row>
      <xdr:rowOff>0</xdr:rowOff>
    </xdr:from>
    <xdr:to>
      <xdr:col>0</xdr:col>
      <xdr:colOff>171450</xdr:colOff>
      <xdr:row>650</xdr:row>
      <xdr:rowOff>133350</xdr:rowOff>
    </xdr:to>
    <xdr:pic>
      <xdr:nvPicPr>
        <xdr:cNvPr id="2041" name="Picture@5C\QPendientes@" descr="@5C\QPendientes@">
          <a:extLst>
            <a:ext uri="{FF2B5EF4-FFF2-40B4-BE49-F238E27FC236}">
              <a16:creationId xmlns:a16="http://schemas.microsoft.com/office/drawing/2014/main" id="{5E8A3C74-CBAC-4747-AC4E-55C4C6CB20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87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651</xdr:row>
      <xdr:rowOff>0</xdr:rowOff>
    </xdr:from>
    <xdr:to>
      <xdr:col>0</xdr:col>
      <xdr:colOff>171450</xdr:colOff>
      <xdr:row>651</xdr:row>
      <xdr:rowOff>133350</xdr:rowOff>
    </xdr:to>
    <xdr:pic>
      <xdr:nvPicPr>
        <xdr:cNvPr id="2042" name="Picture@5C\QPendientes@" descr="@5C\QPendientes@">
          <a:extLst>
            <a:ext uri="{FF2B5EF4-FFF2-40B4-BE49-F238E27FC236}">
              <a16:creationId xmlns:a16="http://schemas.microsoft.com/office/drawing/2014/main" id="{AE1D3C98-D302-4FE2-A1FE-DC88C69D56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05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652</xdr:row>
      <xdr:rowOff>0</xdr:rowOff>
    </xdr:from>
    <xdr:to>
      <xdr:col>0</xdr:col>
      <xdr:colOff>171450</xdr:colOff>
      <xdr:row>652</xdr:row>
      <xdr:rowOff>133350</xdr:rowOff>
    </xdr:to>
    <xdr:pic>
      <xdr:nvPicPr>
        <xdr:cNvPr id="2043" name="Picture@5C\QPendientes@" descr="@5C\QPendientes@">
          <a:extLst>
            <a:ext uri="{FF2B5EF4-FFF2-40B4-BE49-F238E27FC236}">
              <a16:creationId xmlns:a16="http://schemas.microsoft.com/office/drawing/2014/main" id="{C9338A1C-366C-49CD-8A51-F76D2B3CD6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23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653</xdr:row>
      <xdr:rowOff>0</xdr:rowOff>
    </xdr:from>
    <xdr:to>
      <xdr:col>0</xdr:col>
      <xdr:colOff>171450</xdr:colOff>
      <xdr:row>653</xdr:row>
      <xdr:rowOff>133350</xdr:rowOff>
    </xdr:to>
    <xdr:pic>
      <xdr:nvPicPr>
        <xdr:cNvPr id="2044" name="Picture@5C\QPendientes@" descr="@5C\QPendientes@">
          <a:extLst>
            <a:ext uri="{FF2B5EF4-FFF2-40B4-BE49-F238E27FC236}">
              <a16:creationId xmlns:a16="http://schemas.microsoft.com/office/drawing/2014/main" id="{3F32D80C-570A-4B03-B646-4DBE0FC839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42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654</xdr:row>
      <xdr:rowOff>0</xdr:rowOff>
    </xdr:from>
    <xdr:to>
      <xdr:col>0</xdr:col>
      <xdr:colOff>171450</xdr:colOff>
      <xdr:row>654</xdr:row>
      <xdr:rowOff>133350</xdr:rowOff>
    </xdr:to>
    <xdr:pic>
      <xdr:nvPicPr>
        <xdr:cNvPr id="2045" name="Picture@5C\QPendientes@" descr="@5C\QPendientes@">
          <a:extLst>
            <a:ext uri="{FF2B5EF4-FFF2-40B4-BE49-F238E27FC236}">
              <a16:creationId xmlns:a16="http://schemas.microsoft.com/office/drawing/2014/main" id="{0BB622DB-D190-4541-9BAE-48A1F257BB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60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655</xdr:row>
      <xdr:rowOff>0</xdr:rowOff>
    </xdr:from>
    <xdr:to>
      <xdr:col>0</xdr:col>
      <xdr:colOff>171450</xdr:colOff>
      <xdr:row>655</xdr:row>
      <xdr:rowOff>133350</xdr:rowOff>
    </xdr:to>
    <xdr:pic>
      <xdr:nvPicPr>
        <xdr:cNvPr id="2046" name="Picture@5C\QPendientes@" descr="@5C\QPendientes@">
          <a:extLst>
            <a:ext uri="{FF2B5EF4-FFF2-40B4-BE49-F238E27FC236}">
              <a16:creationId xmlns:a16="http://schemas.microsoft.com/office/drawing/2014/main" id="{F8706C60-6C9D-4CC4-BD12-8CE290C301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78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656</xdr:row>
      <xdr:rowOff>0</xdr:rowOff>
    </xdr:from>
    <xdr:to>
      <xdr:col>0</xdr:col>
      <xdr:colOff>171450</xdr:colOff>
      <xdr:row>656</xdr:row>
      <xdr:rowOff>133350</xdr:rowOff>
    </xdr:to>
    <xdr:pic>
      <xdr:nvPicPr>
        <xdr:cNvPr id="2047" name="Picture@5C\QPendientes@" descr="@5C\QPendientes@">
          <a:extLst>
            <a:ext uri="{FF2B5EF4-FFF2-40B4-BE49-F238E27FC236}">
              <a16:creationId xmlns:a16="http://schemas.microsoft.com/office/drawing/2014/main" id="{2B0923E0-45E0-454E-ABA5-5E427E9DA0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96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657</xdr:row>
      <xdr:rowOff>0</xdr:rowOff>
    </xdr:from>
    <xdr:to>
      <xdr:col>0</xdr:col>
      <xdr:colOff>171450</xdr:colOff>
      <xdr:row>657</xdr:row>
      <xdr:rowOff>133350</xdr:rowOff>
    </xdr:to>
    <xdr:pic>
      <xdr:nvPicPr>
        <xdr:cNvPr id="2048" name="Picture@5C\QPendientes@" descr="@5C\QPendientes@">
          <a:extLst>
            <a:ext uri="{FF2B5EF4-FFF2-40B4-BE49-F238E27FC236}">
              <a16:creationId xmlns:a16="http://schemas.microsoft.com/office/drawing/2014/main" id="{BCB96EFA-6AA6-4415-B17B-8C3329DE14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15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658</xdr:row>
      <xdr:rowOff>0</xdr:rowOff>
    </xdr:from>
    <xdr:to>
      <xdr:col>0</xdr:col>
      <xdr:colOff>171450</xdr:colOff>
      <xdr:row>658</xdr:row>
      <xdr:rowOff>133350</xdr:rowOff>
    </xdr:to>
    <xdr:pic>
      <xdr:nvPicPr>
        <xdr:cNvPr id="2049" name="Picture@5C\QPendientes@" descr="@5C\QPendientes@">
          <a:extLst>
            <a:ext uri="{FF2B5EF4-FFF2-40B4-BE49-F238E27FC236}">
              <a16:creationId xmlns:a16="http://schemas.microsoft.com/office/drawing/2014/main" id="{BB1EB00F-1C30-40CD-9615-2155129C7A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33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659</xdr:row>
      <xdr:rowOff>0</xdr:rowOff>
    </xdr:from>
    <xdr:to>
      <xdr:col>0</xdr:col>
      <xdr:colOff>171450</xdr:colOff>
      <xdr:row>659</xdr:row>
      <xdr:rowOff>133350</xdr:rowOff>
    </xdr:to>
    <xdr:pic>
      <xdr:nvPicPr>
        <xdr:cNvPr id="2050" name="Picture@5C\QPendientes@" descr="@5C\QPendientes@">
          <a:extLst>
            <a:ext uri="{FF2B5EF4-FFF2-40B4-BE49-F238E27FC236}">
              <a16:creationId xmlns:a16="http://schemas.microsoft.com/office/drawing/2014/main" id="{3E399328-A1E2-436E-848A-E993620A9E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51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660</xdr:row>
      <xdr:rowOff>0</xdr:rowOff>
    </xdr:from>
    <xdr:to>
      <xdr:col>0</xdr:col>
      <xdr:colOff>171450</xdr:colOff>
      <xdr:row>660</xdr:row>
      <xdr:rowOff>133350</xdr:rowOff>
    </xdr:to>
    <xdr:pic>
      <xdr:nvPicPr>
        <xdr:cNvPr id="2051" name="Picture@5C\QPendientes@" descr="@5C\QPendientes@">
          <a:extLst>
            <a:ext uri="{FF2B5EF4-FFF2-40B4-BE49-F238E27FC236}">
              <a16:creationId xmlns:a16="http://schemas.microsoft.com/office/drawing/2014/main" id="{B989E837-AD97-4C09-B476-B41647E8F2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70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661</xdr:row>
      <xdr:rowOff>0</xdr:rowOff>
    </xdr:from>
    <xdr:to>
      <xdr:col>0</xdr:col>
      <xdr:colOff>171450</xdr:colOff>
      <xdr:row>661</xdr:row>
      <xdr:rowOff>133350</xdr:rowOff>
    </xdr:to>
    <xdr:pic>
      <xdr:nvPicPr>
        <xdr:cNvPr id="2052" name="Picture@5C\QPendientes@" descr="@5C\QPendientes@">
          <a:extLst>
            <a:ext uri="{FF2B5EF4-FFF2-40B4-BE49-F238E27FC236}">
              <a16:creationId xmlns:a16="http://schemas.microsoft.com/office/drawing/2014/main" id="{B91F9C99-1C84-484C-850C-066A2D9394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88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662</xdr:row>
      <xdr:rowOff>0</xdr:rowOff>
    </xdr:from>
    <xdr:to>
      <xdr:col>0</xdr:col>
      <xdr:colOff>171450</xdr:colOff>
      <xdr:row>662</xdr:row>
      <xdr:rowOff>133350</xdr:rowOff>
    </xdr:to>
    <xdr:pic>
      <xdr:nvPicPr>
        <xdr:cNvPr id="2053" name="Picture@5C\QPendientes@" descr="@5C\QPendientes@">
          <a:extLst>
            <a:ext uri="{FF2B5EF4-FFF2-40B4-BE49-F238E27FC236}">
              <a16:creationId xmlns:a16="http://schemas.microsoft.com/office/drawing/2014/main" id="{82732DEE-35F8-4CFB-8EDA-B7979CC088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06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663</xdr:row>
      <xdr:rowOff>0</xdr:rowOff>
    </xdr:from>
    <xdr:to>
      <xdr:col>0</xdr:col>
      <xdr:colOff>171450</xdr:colOff>
      <xdr:row>663</xdr:row>
      <xdr:rowOff>133350</xdr:rowOff>
    </xdr:to>
    <xdr:pic>
      <xdr:nvPicPr>
        <xdr:cNvPr id="2054" name="Picture@5C\QPendientes@" descr="@5C\QPendientes@">
          <a:extLst>
            <a:ext uri="{FF2B5EF4-FFF2-40B4-BE49-F238E27FC236}">
              <a16:creationId xmlns:a16="http://schemas.microsoft.com/office/drawing/2014/main" id="{C2D36EA3-B3DB-464B-943E-AF151E3005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24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664</xdr:row>
      <xdr:rowOff>0</xdr:rowOff>
    </xdr:from>
    <xdr:to>
      <xdr:col>0</xdr:col>
      <xdr:colOff>171450</xdr:colOff>
      <xdr:row>664</xdr:row>
      <xdr:rowOff>133350</xdr:rowOff>
    </xdr:to>
    <xdr:pic>
      <xdr:nvPicPr>
        <xdr:cNvPr id="2055" name="Picture@5C\QPendientes@" descr="@5C\QPendientes@">
          <a:extLst>
            <a:ext uri="{FF2B5EF4-FFF2-40B4-BE49-F238E27FC236}">
              <a16:creationId xmlns:a16="http://schemas.microsoft.com/office/drawing/2014/main" id="{2EBD0CED-308A-43FE-967B-3D14F2EAE2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43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665</xdr:row>
      <xdr:rowOff>0</xdr:rowOff>
    </xdr:from>
    <xdr:to>
      <xdr:col>0</xdr:col>
      <xdr:colOff>171450</xdr:colOff>
      <xdr:row>665</xdr:row>
      <xdr:rowOff>133350</xdr:rowOff>
    </xdr:to>
    <xdr:pic>
      <xdr:nvPicPr>
        <xdr:cNvPr id="2056" name="Picture@5C\QPendientes@" descr="@5C\QPendientes@">
          <a:extLst>
            <a:ext uri="{FF2B5EF4-FFF2-40B4-BE49-F238E27FC236}">
              <a16:creationId xmlns:a16="http://schemas.microsoft.com/office/drawing/2014/main" id="{9440310D-DA60-4A4C-A1C7-2F1162A53F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61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666</xdr:row>
      <xdr:rowOff>0</xdr:rowOff>
    </xdr:from>
    <xdr:to>
      <xdr:col>0</xdr:col>
      <xdr:colOff>171450</xdr:colOff>
      <xdr:row>666</xdr:row>
      <xdr:rowOff>133350</xdr:rowOff>
    </xdr:to>
    <xdr:pic>
      <xdr:nvPicPr>
        <xdr:cNvPr id="2057" name="Picture@5C\QPendientes@" descr="@5C\QPendientes@">
          <a:extLst>
            <a:ext uri="{FF2B5EF4-FFF2-40B4-BE49-F238E27FC236}">
              <a16:creationId xmlns:a16="http://schemas.microsoft.com/office/drawing/2014/main" id="{14C7D312-8812-45DF-AE75-6EEC7BA880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79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667</xdr:row>
      <xdr:rowOff>0</xdr:rowOff>
    </xdr:from>
    <xdr:to>
      <xdr:col>0</xdr:col>
      <xdr:colOff>171450</xdr:colOff>
      <xdr:row>667</xdr:row>
      <xdr:rowOff>133350</xdr:rowOff>
    </xdr:to>
    <xdr:pic>
      <xdr:nvPicPr>
        <xdr:cNvPr id="2058" name="Picture@5C\QPendientes@" descr="@5C\QPendientes@">
          <a:extLst>
            <a:ext uri="{FF2B5EF4-FFF2-40B4-BE49-F238E27FC236}">
              <a16:creationId xmlns:a16="http://schemas.microsoft.com/office/drawing/2014/main" id="{69712842-D6B3-49E4-BB22-8E4A574C80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98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668</xdr:row>
      <xdr:rowOff>0</xdr:rowOff>
    </xdr:from>
    <xdr:to>
      <xdr:col>0</xdr:col>
      <xdr:colOff>171450</xdr:colOff>
      <xdr:row>668</xdr:row>
      <xdr:rowOff>133350</xdr:rowOff>
    </xdr:to>
    <xdr:pic>
      <xdr:nvPicPr>
        <xdr:cNvPr id="2059" name="Picture@5C\QPendientes@" descr="@5C\QPendientes@">
          <a:extLst>
            <a:ext uri="{FF2B5EF4-FFF2-40B4-BE49-F238E27FC236}">
              <a16:creationId xmlns:a16="http://schemas.microsoft.com/office/drawing/2014/main" id="{6B5EC0CB-3B38-40F7-8887-121DE002E9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16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669</xdr:row>
      <xdr:rowOff>0</xdr:rowOff>
    </xdr:from>
    <xdr:to>
      <xdr:col>0</xdr:col>
      <xdr:colOff>171450</xdr:colOff>
      <xdr:row>669</xdr:row>
      <xdr:rowOff>133350</xdr:rowOff>
    </xdr:to>
    <xdr:pic>
      <xdr:nvPicPr>
        <xdr:cNvPr id="2060" name="Picture@5C\QPendientes@" descr="@5C\QPendientes@">
          <a:extLst>
            <a:ext uri="{FF2B5EF4-FFF2-40B4-BE49-F238E27FC236}">
              <a16:creationId xmlns:a16="http://schemas.microsoft.com/office/drawing/2014/main" id="{C27C9FCF-2327-4572-A824-F2CEF09B8E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34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670</xdr:row>
      <xdr:rowOff>0</xdr:rowOff>
    </xdr:from>
    <xdr:to>
      <xdr:col>0</xdr:col>
      <xdr:colOff>171450</xdr:colOff>
      <xdr:row>670</xdr:row>
      <xdr:rowOff>133350</xdr:rowOff>
    </xdr:to>
    <xdr:pic>
      <xdr:nvPicPr>
        <xdr:cNvPr id="2061" name="Picture@5C\QPendientes@" descr="@5C\QPendientes@">
          <a:extLst>
            <a:ext uri="{FF2B5EF4-FFF2-40B4-BE49-F238E27FC236}">
              <a16:creationId xmlns:a16="http://schemas.microsoft.com/office/drawing/2014/main" id="{4F3C1659-2FF0-407C-ABFF-253A050433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52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671</xdr:row>
      <xdr:rowOff>0</xdr:rowOff>
    </xdr:from>
    <xdr:to>
      <xdr:col>0</xdr:col>
      <xdr:colOff>171450</xdr:colOff>
      <xdr:row>671</xdr:row>
      <xdr:rowOff>133350</xdr:rowOff>
    </xdr:to>
    <xdr:pic>
      <xdr:nvPicPr>
        <xdr:cNvPr id="2062" name="Picture@5C\QPendientes@" descr="@5C\QPendientes@">
          <a:extLst>
            <a:ext uri="{FF2B5EF4-FFF2-40B4-BE49-F238E27FC236}">
              <a16:creationId xmlns:a16="http://schemas.microsoft.com/office/drawing/2014/main" id="{7AD77D10-2101-4C92-A2AD-F913EBEBC6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71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672</xdr:row>
      <xdr:rowOff>0</xdr:rowOff>
    </xdr:from>
    <xdr:to>
      <xdr:col>0</xdr:col>
      <xdr:colOff>171450</xdr:colOff>
      <xdr:row>672</xdr:row>
      <xdr:rowOff>133350</xdr:rowOff>
    </xdr:to>
    <xdr:pic>
      <xdr:nvPicPr>
        <xdr:cNvPr id="2063" name="Picture@5C\QPendientes@" descr="@5C\QPendientes@">
          <a:extLst>
            <a:ext uri="{FF2B5EF4-FFF2-40B4-BE49-F238E27FC236}">
              <a16:creationId xmlns:a16="http://schemas.microsoft.com/office/drawing/2014/main" id="{6DC64F6B-063C-49FA-BBAF-C86F8C8179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89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673</xdr:row>
      <xdr:rowOff>0</xdr:rowOff>
    </xdr:from>
    <xdr:to>
      <xdr:col>0</xdr:col>
      <xdr:colOff>171450</xdr:colOff>
      <xdr:row>673</xdr:row>
      <xdr:rowOff>133350</xdr:rowOff>
    </xdr:to>
    <xdr:pic>
      <xdr:nvPicPr>
        <xdr:cNvPr id="2064" name="Picture@5C\QPendientes@" descr="@5C\QPendientes@">
          <a:extLst>
            <a:ext uri="{FF2B5EF4-FFF2-40B4-BE49-F238E27FC236}">
              <a16:creationId xmlns:a16="http://schemas.microsoft.com/office/drawing/2014/main" id="{4402B1E8-595A-4E24-B3B8-FC99B8EB98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07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674</xdr:row>
      <xdr:rowOff>0</xdr:rowOff>
    </xdr:from>
    <xdr:to>
      <xdr:col>0</xdr:col>
      <xdr:colOff>171450</xdr:colOff>
      <xdr:row>674</xdr:row>
      <xdr:rowOff>133350</xdr:rowOff>
    </xdr:to>
    <xdr:pic>
      <xdr:nvPicPr>
        <xdr:cNvPr id="2065" name="Picture@5C\QPendientes@" descr="@5C\QPendientes@">
          <a:extLst>
            <a:ext uri="{FF2B5EF4-FFF2-40B4-BE49-F238E27FC236}">
              <a16:creationId xmlns:a16="http://schemas.microsoft.com/office/drawing/2014/main" id="{7D3D0642-9B85-443C-B0ED-DA51543635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26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675</xdr:row>
      <xdr:rowOff>0</xdr:rowOff>
    </xdr:from>
    <xdr:to>
      <xdr:col>0</xdr:col>
      <xdr:colOff>171450</xdr:colOff>
      <xdr:row>675</xdr:row>
      <xdr:rowOff>133350</xdr:rowOff>
    </xdr:to>
    <xdr:pic>
      <xdr:nvPicPr>
        <xdr:cNvPr id="2066" name="Picture@5C\QPendientes@" descr="@5C\QPendientes@">
          <a:extLst>
            <a:ext uri="{FF2B5EF4-FFF2-40B4-BE49-F238E27FC236}">
              <a16:creationId xmlns:a16="http://schemas.microsoft.com/office/drawing/2014/main" id="{44FCA016-39A4-4451-9D5E-6897058023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44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676</xdr:row>
      <xdr:rowOff>0</xdr:rowOff>
    </xdr:from>
    <xdr:to>
      <xdr:col>0</xdr:col>
      <xdr:colOff>171450</xdr:colOff>
      <xdr:row>676</xdr:row>
      <xdr:rowOff>133350</xdr:rowOff>
    </xdr:to>
    <xdr:pic>
      <xdr:nvPicPr>
        <xdr:cNvPr id="2067" name="Picture@5C\QPendientes@" descr="@5C\QPendientes@">
          <a:extLst>
            <a:ext uri="{FF2B5EF4-FFF2-40B4-BE49-F238E27FC236}">
              <a16:creationId xmlns:a16="http://schemas.microsoft.com/office/drawing/2014/main" id="{0764DCE4-D4B0-4D6D-9713-F04C1B98D3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62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677</xdr:row>
      <xdr:rowOff>0</xdr:rowOff>
    </xdr:from>
    <xdr:to>
      <xdr:col>0</xdr:col>
      <xdr:colOff>171450</xdr:colOff>
      <xdr:row>677</xdr:row>
      <xdr:rowOff>133350</xdr:rowOff>
    </xdr:to>
    <xdr:pic>
      <xdr:nvPicPr>
        <xdr:cNvPr id="2068" name="Picture@5C\QPendientes@" descr="@5C\QPendientes@">
          <a:extLst>
            <a:ext uri="{FF2B5EF4-FFF2-40B4-BE49-F238E27FC236}">
              <a16:creationId xmlns:a16="http://schemas.microsoft.com/office/drawing/2014/main" id="{14A5ECDD-DBA6-4F20-838E-9D965C7F21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80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678</xdr:row>
      <xdr:rowOff>0</xdr:rowOff>
    </xdr:from>
    <xdr:to>
      <xdr:col>0</xdr:col>
      <xdr:colOff>171450</xdr:colOff>
      <xdr:row>678</xdr:row>
      <xdr:rowOff>133350</xdr:rowOff>
    </xdr:to>
    <xdr:pic>
      <xdr:nvPicPr>
        <xdr:cNvPr id="2069" name="Picture@5C\QPendientes@" descr="@5C\QPendientes@">
          <a:extLst>
            <a:ext uri="{FF2B5EF4-FFF2-40B4-BE49-F238E27FC236}">
              <a16:creationId xmlns:a16="http://schemas.microsoft.com/office/drawing/2014/main" id="{EA2E21BF-5263-42A2-85CE-E2116105E3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99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679</xdr:row>
      <xdr:rowOff>0</xdr:rowOff>
    </xdr:from>
    <xdr:to>
      <xdr:col>0</xdr:col>
      <xdr:colOff>171450</xdr:colOff>
      <xdr:row>679</xdr:row>
      <xdr:rowOff>133350</xdr:rowOff>
    </xdr:to>
    <xdr:pic>
      <xdr:nvPicPr>
        <xdr:cNvPr id="2070" name="Picture@5C\QPendientes@" descr="@5C\QPendientes@">
          <a:extLst>
            <a:ext uri="{FF2B5EF4-FFF2-40B4-BE49-F238E27FC236}">
              <a16:creationId xmlns:a16="http://schemas.microsoft.com/office/drawing/2014/main" id="{FDCD6CD1-BA24-45DE-9123-0E6C15CD73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17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680</xdr:row>
      <xdr:rowOff>0</xdr:rowOff>
    </xdr:from>
    <xdr:to>
      <xdr:col>0</xdr:col>
      <xdr:colOff>171450</xdr:colOff>
      <xdr:row>680</xdr:row>
      <xdr:rowOff>133350</xdr:rowOff>
    </xdr:to>
    <xdr:pic>
      <xdr:nvPicPr>
        <xdr:cNvPr id="2071" name="Picture@5C\QPendientes@" descr="@5C\QPendientes@">
          <a:extLst>
            <a:ext uri="{FF2B5EF4-FFF2-40B4-BE49-F238E27FC236}">
              <a16:creationId xmlns:a16="http://schemas.microsoft.com/office/drawing/2014/main" id="{75C4385B-4FE8-43C4-A94E-FE8E536480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35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681</xdr:row>
      <xdr:rowOff>0</xdr:rowOff>
    </xdr:from>
    <xdr:to>
      <xdr:col>0</xdr:col>
      <xdr:colOff>171450</xdr:colOff>
      <xdr:row>681</xdr:row>
      <xdr:rowOff>133350</xdr:rowOff>
    </xdr:to>
    <xdr:pic>
      <xdr:nvPicPr>
        <xdr:cNvPr id="2072" name="Picture@5C\QPendientes@" descr="@5C\QPendientes@">
          <a:extLst>
            <a:ext uri="{FF2B5EF4-FFF2-40B4-BE49-F238E27FC236}">
              <a16:creationId xmlns:a16="http://schemas.microsoft.com/office/drawing/2014/main" id="{69AAF197-98DC-4E1E-BB01-76D4399CC7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54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682</xdr:row>
      <xdr:rowOff>0</xdr:rowOff>
    </xdr:from>
    <xdr:to>
      <xdr:col>0</xdr:col>
      <xdr:colOff>171450</xdr:colOff>
      <xdr:row>682</xdr:row>
      <xdr:rowOff>133350</xdr:rowOff>
    </xdr:to>
    <xdr:pic>
      <xdr:nvPicPr>
        <xdr:cNvPr id="2073" name="Picture@5C\QPendientes@" descr="@5C\QPendientes@">
          <a:extLst>
            <a:ext uri="{FF2B5EF4-FFF2-40B4-BE49-F238E27FC236}">
              <a16:creationId xmlns:a16="http://schemas.microsoft.com/office/drawing/2014/main" id="{33ADD156-9F9C-4BCF-B4C6-C801AEDD28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72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683</xdr:row>
      <xdr:rowOff>0</xdr:rowOff>
    </xdr:from>
    <xdr:to>
      <xdr:col>0</xdr:col>
      <xdr:colOff>171450</xdr:colOff>
      <xdr:row>683</xdr:row>
      <xdr:rowOff>133350</xdr:rowOff>
    </xdr:to>
    <xdr:pic>
      <xdr:nvPicPr>
        <xdr:cNvPr id="2074" name="Picture@5C\QPendientes@" descr="@5C\QPendientes@">
          <a:extLst>
            <a:ext uri="{FF2B5EF4-FFF2-40B4-BE49-F238E27FC236}">
              <a16:creationId xmlns:a16="http://schemas.microsoft.com/office/drawing/2014/main" id="{12C0726C-B1F3-4003-AF51-19DD0C1CB6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90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684</xdr:row>
      <xdr:rowOff>0</xdr:rowOff>
    </xdr:from>
    <xdr:to>
      <xdr:col>0</xdr:col>
      <xdr:colOff>171450</xdr:colOff>
      <xdr:row>684</xdr:row>
      <xdr:rowOff>133350</xdr:rowOff>
    </xdr:to>
    <xdr:pic>
      <xdr:nvPicPr>
        <xdr:cNvPr id="2075" name="Picture@5C\QPendientes@" descr="@5C\QPendientes@">
          <a:extLst>
            <a:ext uri="{FF2B5EF4-FFF2-40B4-BE49-F238E27FC236}">
              <a16:creationId xmlns:a16="http://schemas.microsoft.com/office/drawing/2014/main" id="{9D9E0416-3597-4A05-B8A5-78E2DBAD28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08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685</xdr:row>
      <xdr:rowOff>0</xdr:rowOff>
    </xdr:from>
    <xdr:to>
      <xdr:col>0</xdr:col>
      <xdr:colOff>171450</xdr:colOff>
      <xdr:row>685</xdr:row>
      <xdr:rowOff>133350</xdr:rowOff>
    </xdr:to>
    <xdr:pic>
      <xdr:nvPicPr>
        <xdr:cNvPr id="2076" name="Picture@5C\QPendientes@" descr="@5C\QPendientes@">
          <a:extLst>
            <a:ext uri="{FF2B5EF4-FFF2-40B4-BE49-F238E27FC236}">
              <a16:creationId xmlns:a16="http://schemas.microsoft.com/office/drawing/2014/main" id="{B34658A0-128A-481E-A3FA-5E516932A2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27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686</xdr:row>
      <xdr:rowOff>0</xdr:rowOff>
    </xdr:from>
    <xdr:to>
      <xdr:col>0</xdr:col>
      <xdr:colOff>171450</xdr:colOff>
      <xdr:row>686</xdr:row>
      <xdr:rowOff>133350</xdr:rowOff>
    </xdr:to>
    <xdr:pic>
      <xdr:nvPicPr>
        <xdr:cNvPr id="2077" name="Picture@5C\QPendientes@" descr="@5C\QPendientes@">
          <a:extLst>
            <a:ext uri="{FF2B5EF4-FFF2-40B4-BE49-F238E27FC236}">
              <a16:creationId xmlns:a16="http://schemas.microsoft.com/office/drawing/2014/main" id="{C264AC56-7A35-4805-BF45-F533DBCEC6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45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687</xdr:row>
      <xdr:rowOff>0</xdr:rowOff>
    </xdr:from>
    <xdr:to>
      <xdr:col>0</xdr:col>
      <xdr:colOff>171450</xdr:colOff>
      <xdr:row>687</xdr:row>
      <xdr:rowOff>133350</xdr:rowOff>
    </xdr:to>
    <xdr:pic>
      <xdr:nvPicPr>
        <xdr:cNvPr id="2078" name="Picture@5C\QPendientes@" descr="@5C\QPendientes@">
          <a:extLst>
            <a:ext uri="{FF2B5EF4-FFF2-40B4-BE49-F238E27FC236}">
              <a16:creationId xmlns:a16="http://schemas.microsoft.com/office/drawing/2014/main" id="{91B93D88-F6B6-483C-9265-F49F00F38C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63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688</xdr:row>
      <xdr:rowOff>0</xdr:rowOff>
    </xdr:from>
    <xdr:to>
      <xdr:col>0</xdr:col>
      <xdr:colOff>171450</xdr:colOff>
      <xdr:row>688</xdr:row>
      <xdr:rowOff>133350</xdr:rowOff>
    </xdr:to>
    <xdr:pic>
      <xdr:nvPicPr>
        <xdr:cNvPr id="2079" name="Picture@5C\QPendientes@" descr="@5C\QPendientes@">
          <a:extLst>
            <a:ext uri="{FF2B5EF4-FFF2-40B4-BE49-F238E27FC236}">
              <a16:creationId xmlns:a16="http://schemas.microsoft.com/office/drawing/2014/main" id="{96BC42AC-951E-4730-B590-BC340C0DBE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82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689</xdr:row>
      <xdr:rowOff>0</xdr:rowOff>
    </xdr:from>
    <xdr:to>
      <xdr:col>0</xdr:col>
      <xdr:colOff>171450</xdr:colOff>
      <xdr:row>689</xdr:row>
      <xdr:rowOff>133350</xdr:rowOff>
    </xdr:to>
    <xdr:pic>
      <xdr:nvPicPr>
        <xdr:cNvPr id="2080" name="Picture@5C\QPendientes@" descr="@5C\QPendientes@">
          <a:extLst>
            <a:ext uri="{FF2B5EF4-FFF2-40B4-BE49-F238E27FC236}">
              <a16:creationId xmlns:a16="http://schemas.microsoft.com/office/drawing/2014/main" id="{966932CB-1F8D-4220-8975-B082554E59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00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690</xdr:row>
      <xdr:rowOff>0</xdr:rowOff>
    </xdr:from>
    <xdr:to>
      <xdr:col>0</xdr:col>
      <xdr:colOff>171450</xdr:colOff>
      <xdr:row>690</xdr:row>
      <xdr:rowOff>133350</xdr:rowOff>
    </xdr:to>
    <xdr:pic>
      <xdr:nvPicPr>
        <xdr:cNvPr id="2081" name="Picture@5C\QPendientes@" descr="@5C\QPendientes@">
          <a:extLst>
            <a:ext uri="{FF2B5EF4-FFF2-40B4-BE49-F238E27FC236}">
              <a16:creationId xmlns:a16="http://schemas.microsoft.com/office/drawing/2014/main" id="{B3FE93F5-5ABD-4D77-BE49-7C7D20C761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18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691</xdr:row>
      <xdr:rowOff>0</xdr:rowOff>
    </xdr:from>
    <xdr:to>
      <xdr:col>0</xdr:col>
      <xdr:colOff>171450</xdr:colOff>
      <xdr:row>691</xdr:row>
      <xdr:rowOff>133350</xdr:rowOff>
    </xdr:to>
    <xdr:pic>
      <xdr:nvPicPr>
        <xdr:cNvPr id="2082" name="Picture@5C\QPendientes@" descr="@5C\QPendientes@">
          <a:extLst>
            <a:ext uri="{FF2B5EF4-FFF2-40B4-BE49-F238E27FC236}">
              <a16:creationId xmlns:a16="http://schemas.microsoft.com/office/drawing/2014/main" id="{CA8379C3-AE75-4DE3-B24D-4281C578FA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37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692</xdr:row>
      <xdr:rowOff>0</xdr:rowOff>
    </xdr:from>
    <xdr:to>
      <xdr:col>0</xdr:col>
      <xdr:colOff>171450</xdr:colOff>
      <xdr:row>692</xdr:row>
      <xdr:rowOff>133350</xdr:rowOff>
    </xdr:to>
    <xdr:pic>
      <xdr:nvPicPr>
        <xdr:cNvPr id="2083" name="Picture@5C\QPendientes@" descr="@5C\QPendientes@">
          <a:extLst>
            <a:ext uri="{FF2B5EF4-FFF2-40B4-BE49-F238E27FC236}">
              <a16:creationId xmlns:a16="http://schemas.microsoft.com/office/drawing/2014/main" id="{D201133C-CAD2-427B-AB90-A8A42AAB67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55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693</xdr:row>
      <xdr:rowOff>0</xdr:rowOff>
    </xdr:from>
    <xdr:to>
      <xdr:col>0</xdr:col>
      <xdr:colOff>171450</xdr:colOff>
      <xdr:row>693</xdr:row>
      <xdr:rowOff>133350</xdr:rowOff>
    </xdr:to>
    <xdr:pic>
      <xdr:nvPicPr>
        <xdr:cNvPr id="2084" name="Picture@5C\QPendientes@" descr="@5C\QPendientes@">
          <a:extLst>
            <a:ext uri="{FF2B5EF4-FFF2-40B4-BE49-F238E27FC236}">
              <a16:creationId xmlns:a16="http://schemas.microsoft.com/office/drawing/2014/main" id="{354921C7-7FF4-400D-A694-AA2DE6BC1D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73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694</xdr:row>
      <xdr:rowOff>0</xdr:rowOff>
    </xdr:from>
    <xdr:to>
      <xdr:col>0</xdr:col>
      <xdr:colOff>171450</xdr:colOff>
      <xdr:row>694</xdr:row>
      <xdr:rowOff>133350</xdr:rowOff>
    </xdr:to>
    <xdr:pic>
      <xdr:nvPicPr>
        <xdr:cNvPr id="2085" name="Picture@5C\QPendientes@" descr="@5C\QPendientes@">
          <a:extLst>
            <a:ext uri="{FF2B5EF4-FFF2-40B4-BE49-F238E27FC236}">
              <a16:creationId xmlns:a16="http://schemas.microsoft.com/office/drawing/2014/main" id="{015451FF-25E3-4930-986A-FE3DFDC4B5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91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695</xdr:row>
      <xdr:rowOff>0</xdr:rowOff>
    </xdr:from>
    <xdr:to>
      <xdr:col>0</xdr:col>
      <xdr:colOff>171450</xdr:colOff>
      <xdr:row>695</xdr:row>
      <xdr:rowOff>133350</xdr:rowOff>
    </xdr:to>
    <xdr:pic>
      <xdr:nvPicPr>
        <xdr:cNvPr id="2086" name="Picture@5C\QPendientes@" descr="@5C\QPendientes@">
          <a:extLst>
            <a:ext uri="{FF2B5EF4-FFF2-40B4-BE49-F238E27FC236}">
              <a16:creationId xmlns:a16="http://schemas.microsoft.com/office/drawing/2014/main" id="{74BFB02E-AB29-425A-9645-CDA7C5B6CC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710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696</xdr:row>
      <xdr:rowOff>0</xdr:rowOff>
    </xdr:from>
    <xdr:to>
      <xdr:col>0</xdr:col>
      <xdr:colOff>171450</xdr:colOff>
      <xdr:row>696</xdr:row>
      <xdr:rowOff>133350</xdr:rowOff>
    </xdr:to>
    <xdr:pic>
      <xdr:nvPicPr>
        <xdr:cNvPr id="2087" name="Picture@5C\QPendientes@" descr="@5C\QPendientes@">
          <a:extLst>
            <a:ext uri="{FF2B5EF4-FFF2-40B4-BE49-F238E27FC236}">
              <a16:creationId xmlns:a16="http://schemas.microsoft.com/office/drawing/2014/main" id="{7897CD08-9043-4A23-868C-40E89CAE34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728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697</xdr:row>
      <xdr:rowOff>0</xdr:rowOff>
    </xdr:from>
    <xdr:to>
      <xdr:col>0</xdr:col>
      <xdr:colOff>171450</xdr:colOff>
      <xdr:row>697</xdr:row>
      <xdr:rowOff>133350</xdr:rowOff>
    </xdr:to>
    <xdr:pic>
      <xdr:nvPicPr>
        <xdr:cNvPr id="2088" name="Picture@5C\QPendientes@" descr="@5C\QPendientes@">
          <a:extLst>
            <a:ext uri="{FF2B5EF4-FFF2-40B4-BE49-F238E27FC236}">
              <a16:creationId xmlns:a16="http://schemas.microsoft.com/office/drawing/2014/main" id="{63916459-40E8-4FF3-8760-CE10146311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746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698</xdr:row>
      <xdr:rowOff>0</xdr:rowOff>
    </xdr:from>
    <xdr:to>
      <xdr:col>0</xdr:col>
      <xdr:colOff>171450</xdr:colOff>
      <xdr:row>698</xdr:row>
      <xdr:rowOff>133350</xdr:rowOff>
    </xdr:to>
    <xdr:pic>
      <xdr:nvPicPr>
        <xdr:cNvPr id="2089" name="Picture@5C\QPendientes@" descr="@5C\QPendientes@">
          <a:extLst>
            <a:ext uri="{FF2B5EF4-FFF2-40B4-BE49-F238E27FC236}">
              <a16:creationId xmlns:a16="http://schemas.microsoft.com/office/drawing/2014/main" id="{1FF7A53D-8E5F-42B2-B2A5-532EF22FA1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765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699</xdr:row>
      <xdr:rowOff>0</xdr:rowOff>
    </xdr:from>
    <xdr:to>
      <xdr:col>0</xdr:col>
      <xdr:colOff>171450</xdr:colOff>
      <xdr:row>699</xdr:row>
      <xdr:rowOff>133350</xdr:rowOff>
    </xdr:to>
    <xdr:pic>
      <xdr:nvPicPr>
        <xdr:cNvPr id="2090" name="Picture@5C\QPendientes@" descr="@5C\QPendientes@">
          <a:extLst>
            <a:ext uri="{FF2B5EF4-FFF2-40B4-BE49-F238E27FC236}">
              <a16:creationId xmlns:a16="http://schemas.microsoft.com/office/drawing/2014/main" id="{99BA8D04-AB2A-4856-A2AA-7B79E417A0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783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700</xdr:row>
      <xdr:rowOff>0</xdr:rowOff>
    </xdr:from>
    <xdr:to>
      <xdr:col>0</xdr:col>
      <xdr:colOff>171450</xdr:colOff>
      <xdr:row>700</xdr:row>
      <xdr:rowOff>133350</xdr:rowOff>
    </xdr:to>
    <xdr:pic>
      <xdr:nvPicPr>
        <xdr:cNvPr id="2091" name="Picture@5C\QPendientes@" descr="@5C\QPendientes@">
          <a:extLst>
            <a:ext uri="{FF2B5EF4-FFF2-40B4-BE49-F238E27FC236}">
              <a16:creationId xmlns:a16="http://schemas.microsoft.com/office/drawing/2014/main" id="{3978E046-95F1-42CC-933E-57B7DE00F6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01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701</xdr:row>
      <xdr:rowOff>0</xdr:rowOff>
    </xdr:from>
    <xdr:to>
      <xdr:col>0</xdr:col>
      <xdr:colOff>171450</xdr:colOff>
      <xdr:row>701</xdr:row>
      <xdr:rowOff>133350</xdr:rowOff>
    </xdr:to>
    <xdr:pic>
      <xdr:nvPicPr>
        <xdr:cNvPr id="2092" name="Picture@5C\QPendientes@" descr="@5C\QPendientes@">
          <a:extLst>
            <a:ext uri="{FF2B5EF4-FFF2-40B4-BE49-F238E27FC236}">
              <a16:creationId xmlns:a16="http://schemas.microsoft.com/office/drawing/2014/main" id="{04B1557F-CBCC-4F72-B99C-B88D907461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19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702</xdr:row>
      <xdr:rowOff>0</xdr:rowOff>
    </xdr:from>
    <xdr:to>
      <xdr:col>0</xdr:col>
      <xdr:colOff>171450</xdr:colOff>
      <xdr:row>702</xdr:row>
      <xdr:rowOff>133350</xdr:rowOff>
    </xdr:to>
    <xdr:pic>
      <xdr:nvPicPr>
        <xdr:cNvPr id="2093" name="Picture@5C\QPendientes@" descr="@5C\QPendientes@">
          <a:extLst>
            <a:ext uri="{FF2B5EF4-FFF2-40B4-BE49-F238E27FC236}">
              <a16:creationId xmlns:a16="http://schemas.microsoft.com/office/drawing/2014/main" id="{A4FACCD0-0A8A-4AE9-96B2-B92C7B1FEC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38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703</xdr:row>
      <xdr:rowOff>0</xdr:rowOff>
    </xdr:from>
    <xdr:to>
      <xdr:col>0</xdr:col>
      <xdr:colOff>171450</xdr:colOff>
      <xdr:row>703</xdr:row>
      <xdr:rowOff>133350</xdr:rowOff>
    </xdr:to>
    <xdr:pic>
      <xdr:nvPicPr>
        <xdr:cNvPr id="2094" name="Picture@5C\QPendientes@" descr="@5C\QPendientes@">
          <a:extLst>
            <a:ext uri="{FF2B5EF4-FFF2-40B4-BE49-F238E27FC236}">
              <a16:creationId xmlns:a16="http://schemas.microsoft.com/office/drawing/2014/main" id="{9B270D12-62C0-420F-BBB8-F807B69B63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6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704</xdr:row>
      <xdr:rowOff>0</xdr:rowOff>
    </xdr:from>
    <xdr:to>
      <xdr:col>0</xdr:col>
      <xdr:colOff>171450</xdr:colOff>
      <xdr:row>704</xdr:row>
      <xdr:rowOff>133350</xdr:rowOff>
    </xdr:to>
    <xdr:pic>
      <xdr:nvPicPr>
        <xdr:cNvPr id="2095" name="Picture@5C\QPendientes@" descr="@5C\QPendientes@">
          <a:extLst>
            <a:ext uri="{FF2B5EF4-FFF2-40B4-BE49-F238E27FC236}">
              <a16:creationId xmlns:a16="http://schemas.microsoft.com/office/drawing/2014/main" id="{C7C7B5D3-BAEF-4AC0-8F7E-2AE411FB68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74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705</xdr:row>
      <xdr:rowOff>0</xdr:rowOff>
    </xdr:from>
    <xdr:to>
      <xdr:col>0</xdr:col>
      <xdr:colOff>171450</xdr:colOff>
      <xdr:row>705</xdr:row>
      <xdr:rowOff>133350</xdr:rowOff>
    </xdr:to>
    <xdr:pic>
      <xdr:nvPicPr>
        <xdr:cNvPr id="2096" name="Picture@5C\QPendientes@" descr="@5C\QPendientes@">
          <a:extLst>
            <a:ext uri="{FF2B5EF4-FFF2-40B4-BE49-F238E27FC236}">
              <a16:creationId xmlns:a16="http://schemas.microsoft.com/office/drawing/2014/main" id="{0FC7CD7E-1438-4725-AB13-2F3D8F52DC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93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706</xdr:row>
      <xdr:rowOff>0</xdr:rowOff>
    </xdr:from>
    <xdr:to>
      <xdr:col>0</xdr:col>
      <xdr:colOff>171450</xdr:colOff>
      <xdr:row>706</xdr:row>
      <xdr:rowOff>133350</xdr:rowOff>
    </xdr:to>
    <xdr:pic>
      <xdr:nvPicPr>
        <xdr:cNvPr id="2097" name="Picture@5C\QPendientes@" descr="@5C\QPendientes@">
          <a:extLst>
            <a:ext uri="{FF2B5EF4-FFF2-40B4-BE49-F238E27FC236}">
              <a16:creationId xmlns:a16="http://schemas.microsoft.com/office/drawing/2014/main" id="{C1B2E563-9908-4F1D-85BC-C3EFC521E3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911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707</xdr:row>
      <xdr:rowOff>0</xdr:rowOff>
    </xdr:from>
    <xdr:to>
      <xdr:col>0</xdr:col>
      <xdr:colOff>171450</xdr:colOff>
      <xdr:row>707</xdr:row>
      <xdr:rowOff>133350</xdr:rowOff>
    </xdr:to>
    <xdr:pic>
      <xdr:nvPicPr>
        <xdr:cNvPr id="2098" name="Picture@5C\QPendientes@" descr="@5C\QPendientes@">
          <a:extLst>
            <a:ext uri="{FF2B5EF4-FFF2-40B4-BE49-F238E27FC236}">
              <a16:creationId xmlns:a16="http://schemas.microsoft.com/office/drawing/2014/main" id="{7D41F65F-7A69-4392-B6DA-7447C4FF66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929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708</xdr:row>
      <xdr:rowOff>0</xdr:rowOff>
    </xdr:from>
    <xdr:to>
      <xdr:col>0</xdr:col>
      <xdr:colOff>171450</xdr:colOff>
      <xdr:row>708</xdr:row>
      <xdr:rowOff>133350</xdr:rowOff>
    </xdr:to>
    <xdr:pic>
      <xdr:nvPicPr>
        <xdr:cNvPr id="2099" name="Picture@5C\QPendientes@" descr="@5C\QPendientes@">
          <a:extLst>
            <a:ext uri="{FF2B5EF4-FFF2-40B4-BE49-F238E27FC236}">
              <a16:creationId xmlns:a16="http://schemas.microsoft.com/office/drawing/2014/main" id="{8DF390A6-78C7-4AB4-96FE-6FE4622BC2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947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709</xdr:row>
      <xdr:rowOff>0</xdr:rowOff>
    </xdr:from>
    <xdr:to>
      <xdr:col>0</xdr:col>
      <xdr:colOff>171450</xdr:colOff>
      <xdr:row>709</xdr:row>
      <xdr:rowOff>133350</xdr:rowOff>
    </xdr:to>
    <xdr:pic>
      <xdr:nvPicPr>
        <xdr:cNvPr id="2100" name="Picture@5C\QPendientes@" descr="@5C\QPendientes@">
          <a:extLst>
            <a:ext uri="{FF2B5EF4-FFF2-40B4-BE49-F238E27FC236}">
              <a16:creationId xmlns:a16="http://schemas.microsoft.com/office/drawing/2014/main" id="{3CAF116D-24EF-438F-B504-0C86CF7128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966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710</xdr:row>
      <xdr:rowOff>0</xdr:rowOff>
    </xdr:from>
    <xdr:to>
      <xdr:col>0</xdr:col>
      <xdr:colOff>171450</xdr:colOff>
      <xdr:row>710</xdr:row>
      <xdr:rowOff>133350</xdr:rowOff>
    </xdr:to>
    <xdr:pic>
      <xdr:nvPicPr>
        <xdr:cNvPr id="2101" name="Picture@5C\QPendientes@" descr="@5C\QPendientes@">
          <a:extLst>
            <a:ext uri="{FF2B5EF4-FFF2-40B4-BE49-F238E27FC236}">
              <a16:creationId xmlns:a16="http://schemas.microsoft.com/office/drawing/2014/main" id="{6F9DA022-C72A-4AAD-A46C-C9B36F1571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984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711</xdr:row>
      <xdr:rowOff>0</xdr:rowOff>
    </xdr:from>
    <xdr:to>
      <xdr:col>0</xdr:col>
      <xdr:colOff>171450</xdr:colOff>
      <xdr:row>711</xdr:row>
      <xdr:rowOff>133350</xdr:rowOff>
    </xdr:to>
    <xdr:pic>
      <xdr:nvPicPr>
        <xdr:cNvPr id="2102" name="Picture@5C\QPendientes@" descr="@5C\QPendientes@">
          <a:extLst>
            <a:ext uri="{FF2B5EF4-FFF2-40B4-BE49-F238E27FC236}">
              <a16:creationId xmlns:a16="http://schemas.microsoft.com/office/drawing/2014/main" id="{B5006399-712E-4E76-9F66-DC9CD2829E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002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712</xdr:row>
      <xdr:rowOff>0</xdr:rowOff>
    </xdr:from>
    <xdr:to>
      <xdr:col>0</xdr:col>
      <xdr:colOff>171450</xdr:colOff>
      <xdr:row>712</xdr:row>
      <xdr:rowOff>133350</xdr:rowOff>
    </xdr:to>
    <xdr:pic>
      <xdr:nvPicPr>
        <xdr:cNvPr id="2103" name="Picture@5C\QPendientes@" descr="@5C\QPendientes@">
          <a:extLst>
            <a:ext uri="{FF2B5EF4-FFF2-40B4-BE49-F238E27FC236}">
              <a16:creationId xmlns:a16="http://schemas.microsoft.com/office/drawing/2014/main" id="{640C2791-2223-4957-8506-7E18A3C18E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021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713</xdr:row>
      <xdr:rowOff>0</xdr:rowOff>
    </xdr:from>
    <xdr:to>
      <xdr:col>0</xdr:col>
      <xdr:colOff>171450</xdr:colOff>
      <xdr:row>713</xdr:row>
      <xdr:rowOff>133350</xdr:rowOff>
    </xdr:to>
    <xdr:pic>
      <xdr:nvPicPr>
        <xdr:cNvPr id="2104" name="Picture@5C\QPendientes@" descr="@5C\QPendientes@">
          <a:extLst>
            <a:ext uri="{FF2B5EF4-FFF2-40B4-BE49-F238E27FC236}">
              <a16:creationId xmlns:a16="http://schemas.microsoft.com/office/drawing/2014/main" id="{96394225-BC64-4BEA-A3F9-8A948767C4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039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714</xdr:row>
      <xdr:rowOff>0</xdr:rowOff>
    </xdr:from>
    <xdr:to>
      <xdr:col>0</xdr:col>
      <xdr:colOff>171450</xdr:colOff>
      <xdr:row>714</xdr:row>
      <xdr:rowOff>133350</xdr:rowOff>
    </xdr:to>
    <xdr:pic>
      <xdr:nvPicPr>
        <xdr:cNvPr id="2105" name="Picture@5C\QPendientes@" descr="@5C\QPendientes@">
          <a:extLst>
            <a:ext uri="{FF2B5EF4-FFF2-40B4-BE49-F238E27FC236}">
              <a16:creationId xmlns:a16="http://schemas.microsoft.com/office/drawing/2014/main" id="{E95E1705-656D-4E93-B44F-81E308B19F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057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715</xdr:row>
      <xdr:rowOff>0</xdr:rowOff>
    </xdr:from>
    <xdr:to>
      <xdr:col>0</xdr:col>
      <xdr:colOff>171450</xdr:colOff>
      <xdr:row>715</xdr:row>
      <xdr:rowOff>133350</xdr:rowOff>
    </xdr:to>
    <xdr:pic>
      <xdr:nvPicPr>
        <xdr:cNvPr id="2106" name="Picture@5C\QPendientes@" descr="@5C\QPendientes@">
          <a:extLst>
            <a:ext uri="{FF2B5EF4-FFF2-40B4-BE49-F238E27FC236}">
              <a16:creationId xmlns:a16="http://schemas.microsoft.com/office/drawing/2014/main" id="{AF937390-E2F3-47D9-8DCD-13FCAD2A53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075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716</xdr:row>
      <xdr:rowOff>0</xdr:rowOff>
    </xdr:from>
    <xdr:to>
      <xdr:col>0</xdr:col>
      <xdr:colOff>171450</xdr:colOff>
      <xdr:row>716</xdr:row>
      <xdr:rowOff>133350</xdr:rowOff>
    </xdr:to>
    <xdr:pic>
      <xdr:nvPicPr>
        <xdr:cNvPr id="2107" name="Picture@5C\QPendientes@" descr="@5C\QPendientes@">
          <a:extLst>
            <a:ext uri="{FF2B5EF4-FFF2-40B4-BE49-F238E27FC236}">
              <a16:creationId xmlns:a16="http://schemas.microsoft.com/office/drawing/2014/main" id="{BFBADE3A-7371-4450-9A1F-B553A76264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094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717</xdr:row>
      <xdr:rowOff>0</xdr:rowOff>
    </xdr:from>
    <xdr:to>
      <xdr:col>0</xdr:col>
      <xdr:colOff>171450</xdr:colOff>
      <xdr:row>717</xdr:row>
      <xdr:rowOff>133350</xdr:rowOff>
    </xdr:to>
    <xdr:pic>
      <xdr:nvPicPr>
        <xdr:cNvPr id="2108" name="Picture@5C\QPendientes@" descr="@5C\QPendientes@">
          <a:extLst>
            <a:ext uri="{FF2B5EF4-FFF2-40B4-BE49-F238E27FC236}">
              <a16:creationId xmlns:a16="http://schemas.microsoft.com/office/drawing/2014/main" id="{BCCFD6C2-63F7-496D-AEA1-3288388D7C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112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718</xdr:row>
      <xdr:rowOff>0</xdr:rowOff>
    </xdr:from>
    <xdr:to>
      <xdr:col>0</xdr:col>
      <xdr:colOff>171450</xdr:colOff>
      <xdr:row>718</xdr:row>
      <xdr:rowOff>133350</xdr:rowOff>
    </xdr:to>
    <xdr:pic>
      <xdr:nvPicPr>
        <xdr:cNvPr id="2109" name="Picture@5C\QPendientes@" descr="@5C\QPendientes@">
          <a:extLst>
            <a:ext uri="{FF2B5EF4-FFF2-40B4-BE49-F238E27FC236}">
              <a16:creationId xmlns:a16="http://schemas.microsoft.com/office/drawing/2014/main" id="{230AB51F-0523-4947-9B84-4C4D49D8B5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130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719</xdr:row>
      <xdr:rowOff>0</xdr:rowOff>
    </xdr:from>
    <xdr:to>
      <xdr:col>0</xdr:col>
      <xdr:colOff>171450</xdr:colOff>
      <xdr:row>719</xdr:row>
      <xdr:rowOff>133350</xdr:rowOff>
    </xdr:to>
    <xdr:pic>
      <xdr:nvPicPr>
        <xdr:cNvPr id="2110" name="Picture@5C\QPendientes@" descr="@5C\QPendientes@">
          <a:extLst>
            <a:ext uri="{FF2B5EF4-FFF2-40B4-BE49-F238E27FC236}">
              <a16:creationId xmlns:a16="http://schemas.microsoft.com/office/drawing/2014/main" id="{044D90B9-E4DD-471B-9C59-3BB262829D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149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720</xdr:row>
      <xdr:rowOff>0</xdr:rowOff>
    </xdr:from>
    <xdr:to>
      <xdr:col>0</xdr:col>
      <xdr:colOff>171450</xdr:colOff>
      <xdr:row>720</xdr:row>
      <xdr:rowOff>133350</xdr:rowOff>
    </xdr:to>
    <xdr:pic>
      <xdr:nvPicPr>
        <xdr:cNvPr id="2111" name="Picture@5C\QPendientes@" descr="@5C\QPendientes@">
          <a:extLst>
            <a:ext uri="{FF2B5EF4-FFF2-40B4-BE49-F238E27FC236}">
              <a16:creationId xmlns:a16="http://schemas.microsoft.com/office/drawing/2014/main" id="{82E9C01C-C66E-4B11-BCAA-7286E605A6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167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721</xdr:row>
      <xdr:rowOff>0</xdr:rowOff>
    </xdr:from>
    <xdr:to>
      <xdr:col>0</xdr:col>
      <xdr:colOff>171450</xdr:colOff>
      <xdr:row>721</xdr:row>
      <xdr:rowOff>133350</xdr:rowOff>
    </xdr:to>
    <xdr:pic>
      <xdr:nvPicPr>
        <xdr:cNvPr id="2112" name="Picture@5C\QPendientes@" descr="@5C\QPendientes@">
          <a:extLst>
            <a:ext uri="{FF2B5EF4-FFF2-40B4-BE49-F238E27FC236}">
              <a16:creationId xmlns:a16="http://schemas.microsoft.com/office/drawing/2014/main" id="{6681BB10-25C4-4B1D-B54E-0479CD9BE5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185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722</xdr:row>
      <xdr:rowOff>0</xdr:rowOff>
    </xdr:from>
    <xdr:to>
      <xdr:col>0</xdr:col>
      <xdr:colOff>171450</xdr:colOff>
      <xdr:row>722</xdr:row>
      <xdr:rowOff>133350</xdr:rowOff>
    </xdr:to>
    <xdr:pic>
      <xdr:nvPicPr>
        <xdr:cNvPr id="2113" name="Picture@5C\QPendientes@" descr="@5C\QPendientes@">
          <a:extLst>
            <a:ext uri="{FF2B5EF4-FFF2-40B4-BE49-F238E27FC236}">
              <a16:creationId xmlns:a16="http://schemas.microsoft.com/office/drawing/2014/main" id="{567BF763-F235-48F7-ADAA-6A74DF1021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203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723</xdr:row>
      <xdr:rowOff>0</xdr:rowOff>
    </xdr:from>
    <xdr:to>
      <xdr:col>0</xdr:col>
      <xdr:colOff>171450</xdr:colOff>
      <xdr:row>723</xdr:row>
      <xdr:rowOff>133350</xdr:rowOff>
    </xdr:to>
    <xdr:pic>
      <xdr:nvPicPr>
        <xdr:cNvPr id="2114" name="Picture@5C\QPendientes@" descr="@5C\QPendientes@">
          <a:extLst>
            <a:ext uri="{FF2B5EF4-FFF2-40B4-BE49-F238E27FC236}">
              <a16:creationId xmlns:a16="http://schemas.microsoft.com/office/drawing/2014/main" id="{D2ECB792-9711-49B5-8B53-5C90E3FBC1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222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724</xdr:row>
      <xdr:rowOff>0</xdr:rowOff>
    </xdr:from>
    <xdr:to>
      <xdr:col>0</xdr:col>
      <xdr:colOff>171450</xdr:colOff>
      <xdr:row>724</xdr:row>
      <xdr:rowOff>133350</xdr:rowOff>
    </xdr:to>
    <xdr:pic>
      <xdr:nvPicPr>
        <xdr:cNvPr id="2115" name="Picture@5C\QPendientes@" descr="@5C\QPendientes@">
          <a:extLst>
            <a:ext uri="{FF2B5EF4-FFF2-40B4-BE49-F238E27FC236}">
              <a16:creationId xmlns:a16="http://schemas.microsoft.com/office/drawing/2014/main" id="{527FBE5E-09E1-48F1-B139-B024652849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240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725</xdr:row>
      <xdr:rowOff>0</xdr:rowOff>
    </xdr:from>
    <xdr:to>
      <xdr:col>0</xdr:col>
      <xdr:colOff>171450</xdr:colOff>
      <xdr:row>725</xdr:row>
      <xdr:rowOff>133350</xdr:rowOff>
    </xdr:to>
    <xdr:pic>
      <xdr:nvPicPr>
        <xdr:cNvPr id="2116" name="Picture@5C\QPendientes@" descr="@5C\QPendientes@">
          <a:extLst>
            <a:ext uri="{FF2B5EF4-FFF2-40B4-BE49-F238E27FC236}">
              <a16:creationId xmlns:a16="http://schemas.microsoft.com/office/drawing/2014/main" id="{0BEC6C81-7619-4737-8EF6-3C5554DCBC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258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726</xdr:row>
      <xdr:rowOff>0</xdr:rowOff>
    </xdr:from>
    <xdr:to>
      <xdr:col>0</xdr:col>
      <xdr:colOff>171450</xdr:colOff>
      <xdr:row>726</xdr:row>
      <xdr:rowOff>133350</xdr:rowOff>
    </xdr:to>
    <xdr:pic>
      <xdr:nvPicPr>
        <xdr:cNvPr id="2117" name="Picture@5C\QPendientes@" descr="@5C\QPendientes@">
          <a:extLst>
            <a:ext uri="{FF2B5EF4-FFF2-40B4-BE49-F238E27FC236}">
              <a16:creationId xmlns:a16="http://schemas.microsoft.com/office/drawing/2014/main" id="{F9E1A4BF-D397-4036-B48E-254D81A6DC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277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727</xdr:row>
      <xdr:rowOff>0</xdr:rowOff>
    </xdr:from>
    <xdr:to>
      <xdr:col>0</xdr:col>
      <xdr:colOff>171450</xdr:colOff>
      <xdr:row>727</xdr:row>
      <xdr:rowOff>133350</xdr:rowOff>
    </xdr:to>
    <xdr:pic>
      <xdr:nvPicPr>
        <xdr:cNvPr id="2118" name="Picture@5C\QPendientes@" descr="@5C\QPendientes@">
          <a:extLst>
            <a:ext uri="{FF2B5EF4-FFF2-40B4-BE49-F238E27FC236}">
              <a16:creationId xmlns:a16="http://schemas.microsoft.com/office/drawing/2014/main" id="{BD5B3976-57A2-4C23-9FC3-01D8848FD5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295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728</xdr:row>
      <xdr:rowOff>0</xdr:rowOff>
    </xdr:from>
    <xdr:to>
      <xdr:col>0</xdr:col>
      <xdr:colOff>171450</xdr:colOff>
      <xdr:row>728</xdr:row>
      <xdr:rowOff>133350</xdr:rowOff>
    </xdr:to>
    <xdr:pic>
      <xdr:nvPicPr>
        <xdr:cNvPr id="2119" name="Picture@5C\QPendientes@" descr="@5C\QPendientes@">
          <a:extLst>
            <a:ext uri="{FF2B5EF4-FFF2-40B4-BE49-F238E27FC236}">
              <a16:creationId xmlns:a16="http://schemas.microsoft.com/office/drawing/2014/main" id="{3E77933F-D466-4AFB-B8C0-8589A23EA5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13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729</xdr:row>
      <xdr:rowOff>0</xdr:rowOff>
    </xdr:from>
    <xdr:to>
      <xdr:col>0</xdr:col>
      <xdr:colOff>171450</xdr:colOff>
      <xdr:row>729</xdr:row>
      <xdr:rowOff>133350</xdr:rowOff>
    </xdr:to>
    <xdr:pic>
      <xdr:nvPicPr>
        <xdr:cNvPr id="2120" name="Picture@5C\QPendientes@" descr="@5C\QPendientes@">
          <a:extLst>
            <a:ext uri="{FF2B5EF4-FFF2-40B4-BE49-F238E27FC236}">
              <a16:creationId xmlns:a16="http://schemas.microsoft.com/office/drawing/2014/main" id="{B3BD4056-80AA-4C06-9222-5A4D3497DF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31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730</xdr:row>
      <xdr:rowOff>0</xdr:rowOff>
    </xdr:from>
    <xdr:to>
      <xdr:col>0</xdr:col>
      <xdr:colOff>171450</xdr:colOff>
      <xdr:row>730</xdr:row>
      <xdr:rowOff>133350</xdr:rowOff>
    </xdr:to>
    <xdr:pic>
      <xdr:nvPicPr>
        <xdr:cNvPr id="2121" name="Picture@5C\QPendientes@" descr="@5C\QPendientes@">
          <a:extLst>
            <a:ext uri="{FF2B5EF4-FFF2-40B4-BE49-F238E27FC236}">
              <a16:creationId xmlns:a16="http://schemas.microsoft.com/office/drawing/2014/main" id="{B3DA4ECE-9577-488A-BE4A-53059C2E5B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50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731</xdr:row>
      <xdr:rowOff>0</xdr:rowOff>
    </xdr:from>
    <xdr:to>
      <xdr:col>0</xdr:col>
      <xdr:colOff>171450</xdr:colOff>
      <xdr:row>731</xdr:row>
      <xdr:rowOff>133350</xdr:rowOff>
    </xdr:to>
    <xdr:pic>
      <xdr:nvPicPr>
        <xdr:cNvPr id="2122" name="Picture@5C\QPendientes@" descr="@5C\QPendientes@">
          <a:extLst>
            <a:ext uri="{FF2B5EF4-FFF2-40B4-BE49-F238E27FC236}">
              <a16:creationId xmlns:a16="http://schemas.microsoft.com/office/drawing/2014/main" id="{BB6E764F-F062-4A44-AEEE-640C24473A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68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732</xdr:row>
      <xdr:rowOff>0</xdr:rowOff>
    </xdr:from>
    <xdr:to>
      <xdr:col>0</xdr:col>
      <xdr:colOff>171450</xdr:colOff>
      <xdr:row>732</xdr:row>
      <xdr:rowOff>133350</xdr:rowOff>
    </xdr:to>
    <xdr:pic>
      <xdr:nvPicPr>
        <xdr:cNvPr id="2123" name="Picture@5C\QPendientes@" descr="@5C\QPendientes@">
          <a:extLst>
            <a:ext uri="{FF2B5EF4-FFF2-40B4-BE49-F238E27FC236}">
              <a16:creationId xmlns:a16="http://schemas.microsoft.com/office/drawing/2014/main" id="{86FE2A52-A3F7-4591-98DF-8074ECA71F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86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733</xdr:row>
      <xdr:rowOff>0</xdr:rowOff>
    </xdr:from>
    <xdr:to>
      <xdr:col>0</xdr:col>
      <xdr:colOff>171450</xdr:colOff>
      <xdr:row>733</xdr:row>
      <xdr:rowOff>133350</xdr:rowOff>
    </xdr:to>
    <xdr:pic>
      <xdr:nvPicPr>
        <xdr:cNvPr id="2124" name="Picture@5C\QPendientes@" descr="@5C\QPendientes@">
          <a:extLst>
            <a:ext uri="{FF2B5EF4-FFF2-40B4-BE49-F238E27FC236}">
              <a16:creationId xmlns:a16="http://schemas.microsoft.com/office/drawing/2014/main" id="{8ACE1145-97F0-492E-B237-EB69243CBA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405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734</xdr:row>
      <xdr:rowOff>0</xdr:rowOff>
    </xdr:from>
    <xdr:to>
      <xdr:col>0</xdr:col>
      <xdr:colOff>171450</xdr:colOff>
      <xdr:row>734</xdr:row>
      <xdr:rowOff>133350</xdr:rowOff>
    </xdr:to>
    <xdr:pic>
      <xdr:nvPicPr>
        <xdr:cNvPr id="2125" name="Picture@5C\QPendientes@" descr="@5C\QPendientes@">
          <a:extLst>
            <a:ext uri="{FF2B5EF4-FFF2-40B4-BE49-F238E27FC236}">
              <a16:creationId xmlns:a16="http://schemas.microsoft.com/office/drawing/2014/main" id="{3B66ABC4-C188-495A-8B67-E9CABFFA3D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423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735</xdr:row>
      <xdr:rowOff>0</xdr:rowOff>
    </xdr:from>
    <xdr:to>
      <xdr:col>0</xdr:col>
      <xdr:colOff>171450</xdr:colOff>
      <xdr:row>735</xdr:row>
      <xdr:rowOff>133350</xdr:rowOff>
    </xdr:to>
    <xdr:pic>
      <xdr:nvPicPr>
        <xdr:cNvPr id="2126" name="Picture@5C\QPendientes@" descr="@5C\QPendientes@">
          <a:extLst>
            <a:ext uri="{FF2B5EF4-FFF2-40B4-BE49-F238E27FC236}">
              <a16:creationId xmlns:a16="http://schemas.microsoft.com/office/drawing/2014/main" id="{27F8C913-A83D-4ABB-AFB4-A06AC5E26B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441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736</xdr:row>
      <xdr:rowOff>0</xdr:rowOff>
    </xdr:from>
    <xdr:to>
      <xdr:col>0</xdr:col>
      <xdr:colOff>171450</xdr:colOff>
      <xdr:row>736</xdr:row>
      <xdr:rowOff>133350</xdr:rowOff>
    </xdr:to>
    <xdr:pic>
      <xdr:nvPicPr>
        <xdr:cNvPr id="2127" name="Picture@5C\QPendientes@" descr="@5C\QPendientes@">
          <a:extLst>
            <a:ext uri="{FF2B5EF4-FFF2-40B4-BE49-F238E27FC236}">
              <a16:creationId xmlns:a16="http://schemas.microsoft.com/office/drawing/2014/main" id="{3B07DE1D-5A64-49A1-8469-D2124EA6A4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459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737</xdr:row>
      <xdr:rowOff>0</xdr:rowOff>
    </xdr:from>
    <xdr:to>
      <xdr:col>0</xdr:col>
      <xdr:colOff>171450</xdr:colOff>
      <xdr:row>737</xdr:row>
      <xdr:rowOff>133350</xdr:rowOff>
    </xdr:to>
    <xdr:pic>
      <xdr:nvPicPr>
        <xdr:cNvPr id="2128" name="Picture@5C\QPendientes@" descr="@5C\QPendientes@">
          <a:extLst>
            <a:ext uri="{FF2B5EF4-FFF2-40B4-BE49-F238E27FC236}">
              <a16:creationId xmlns:a16="http://schemas.microsoft.com/office/drawing/2014/main" id="{75896BA8-EC37-4843-BEA5-302B4BEB49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478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738</xdr:row>
      <xdr:rowOff>0</xdr:rowOff>
    </xdr:from>
    <xdr:to>
      <xdr:col>0</xdr:col>
      <xdr:colOff>171450</xdr:colOff>
      <xdr:row>738</xdr:row>
      <xdr:rowOff>133350</xdr:rowOff>
    </xdr:to>
    <xdr:pic>
      <xdr:nvPicPr>
        <xdr:cNvPr id="2129" name="Picture@5C\QPendientes@" descr="@5C\QPendientes@">
          <a:extLst>
            <a:ext uri="{FF2B5EF4-FFF2-40B4-BE49-F238E27FC236}">
              <a16:creationId xmlns:a16="http://schemas.microsoft.com/office/drawing/2014/main" id="{15811CC0-9AB8-45C6-A42A-B5E3043056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496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739</xdr:row>
      <xdr:rowOff>0</xdr:rowOff>
    </xdr:from>
    <xdr:to>
      <xdr:col>0</xdr:col>
      <xdr:colOff>171450</xdr:colOff>
      <xdr:row>739</xdr:row>
      <xdr:rowOff>133350</xdr:rowOff>
    </xdr:to>
    <xdr:pic>
      <xdr:nvPicPr>
        <xdr:cNvPr id="2130" name="Picture@5C\QPendientes@" descr="@5C\QPendientes@">
          <a:extLst>
            <a:ext uri="{FF2B5EF4-FFF2-40B4-BE49-F238E27FC236}">
              <a16:creationId xmlns:a16="http://schemas.microsoft.com/office/drawing/2014/main" id="{7418AC02-B53B-4ADD-A550-80905B357F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14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740</xdr:row>
      <xdr:rowOff>0</xdr:rowOff>
    </xdr:from>
    <xdr:to>
      <xdr:col>0</xdr:col>
      <xdr:colOff>171450</xdr:colOff>
      <xdr:row>740</xdr:row>
      <xdr:rowOff>133350</xdr:rowOff>
    </xdr:to>
    <xdr:pic>
      <xdr:nvPicPr>
        <xdr:cNvPr id="2131" name="Picture@5C\QPendientes@" descr="@5C\QPendientes@">
          <a:extLst>
            <a:ext uri="{FF2B5EF4-FFF2-40B4-BE49-F238E27FC236}">
              <a16:creationId xmlns:a16="http://schemas.microsoft.com/office/drawing/2014/main" id="{112FB834-F466-4F29-B0FE-311E36920C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33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741</xdr:row>
      <xdr:rowOff>0</xdr:rowOff>
    </xdr:from>
    <xdr:to>
      <xdr:col>0</xdr:col>
      <xdr:colOff>171450</xdr:colOff>
      <xdr:row>741</xdr:row>
      <xdr:rowOff>133350</xdr:rowOff>
    </xdr:to>
    <xdr:pic>
      <xdr:nvPicPr>
        <xdr:cNvPr id="2132" name="Picture@5C\QPendientes@" descr="@5C\QPendientes@">
          <a:extLst>
            <a:ext uri="{FF2B5EF4-FFF2-40B4-BE49-F238E27FC236}">
              <a16:creationId xmlns:a16="http://schemas.microsoft.com/office/drawing/2014/main" id="{714FC6BB-D7C6-4046-A135-5C70708448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51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742</xdr:row>
      <xdr:rowOff>0</xdr:rowOff>
    </xdr:from>
    <xdr:to>
      <xdr:col>0</xdr:col>
      <xdr:colOff>171450</xdr:colOff>
      <xdr:row>742</xdr:row>
      <xdr:rowOff>133350</xdr:rowOff>
    </xdr:to>
    <xdr:pic>
      <xdr:nvPicPr>
        <xdr:cNvPr id="2133" name="Picture@5C\QPendientes@" descr="@5C\QPendientes@">
          <a:extLst>
            <a:ext uri="{FF2B5EF4-FFF2-40B4-BE49-F238E27FC236}">
              <a16:creationId xmlns:a16="http://schemas.microsoft.com/office/drawing/2014/main" id="{DCC993F9-F1EA-4B96-B9CF-D6DA8A0C8C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69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743</xdr:row>
      <xdr:rowOff>0</xdr:rowOff>
    </xdr:from>
    <xdr:to>
      <xdr:col>0</xdr:col>
      <xdr:colOff>171450</xdr:colOff>
      <xdr:row>743</xdr:row>
      <xdr:rowOff>133350</xdr:rowOff>
    </xdr:to>
    <xdr:pic>
      <xdr:nvPicPr>
        <xdr:cNvPr id="2134" name="Picture@5C\QPendientes@" descr="@5C\QPendientes@">
          <a:extLst>
            <a:ext uri="{FF2B5EF4-FFF2-40B4-BE49-F238E27FC236}">
              <a16:creationId xmlns:a16="http://schemas.microsoft.com/office/drawing/2014/main" id="{148CF92D-C318-4049-A30F-28DCDFF4E1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87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744</xdr:row>
      <xdr:rowOff>0</xdr:rowOff>
    </xdr:from>
    <xdr:to>
      <xdr:col>0</xdr:col>
      <xdr:colOff>171450</xdr:colOff>
      <xdr:row>744</xdr:row>
      <xdr:rowOff>133350</xdr:rowOff>
    </xdr:to>
    <xdr:pic>
      <xdr:nvPicPr>
        <xdr:cNvPr id="2135" name="Picture@5C\QPendientes@" descr="@5C\QPendientes@">
          <a:extLst>
            <a:ext uri="{FF2B5EF4-FFF2-40B4-BE49-F238E27FC236}">
              <a16:creationId xmlns:a16="http://schemas.microsoft.com/office/drawing/2014/main" id="{77057C97-B743-43B2-BC1C-7C0AC735F8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606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745</xdr:row>
      <xdr:rowOff>0</xdr:rowOff>
    </xdr:from>
    <xdr:to>
      <xdr:col>0</xdr:col>
      <xdr:colOff>171450</xdr:colOff>
      <xdr:row>745</xdr:row>
      <xdr:rowOff>133350</xdr:rowOff>
    </xdr:to>
    <xdr:pic>
      <xdr:nvPicPr>
        <xdr:cNvPr id="2136" name="Picture@5C\QPendientes@" descr="@5C\QPendientes@">
          <a:extLst>
            <a:ext uri="{FF2B5EF4-FFF2-40B4-BE49-F238E27FC236}">
              <a16:creationId xmlns:a16="http://schemas.microsoft.com/office/drawing/2014/main" id="{52BF2F58-15E2-418B-9531-6C2A36D43D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624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746</xdr:row>
      <xdr:rowOff>0</xdr:rowOff>
    </xdr:from>
    <xdr:to>
      <xdr:col>0</xdr:col>
      <xdr:colOff>171450</xdr:colOff>
      <xdr:row>746</xdr:row>
      <xdr:rowOff>133350</xdr:rowOff>
    </xdr:to>
    <xdr:pic>
      <xdr:nvPicPr>
        <xdr:cNvPr id="2137" name="Picture@5C\QPendientes@" descr="@5C\QPendientes@">
          <a:extLst>
            <a:ext uri="{FF2B5EF4-FFF2-40B4-BE49-F238E27FC236}">
              <a16:creationId xmlns:a16="http://schemas.microsoft.com/office/drawing/2014/main" id="{8F244709-96BF-430A-8EC5-2FC6D7FDD9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642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747</xdr:row>
      <xdr:rowOff>0</xdr:rowOff>
    </xdr:from>
    <xdr:to>
      <xdr:col>0</xdr:col>
      <xdr:colOff>171450</xdr:colOff>
      <xdr:row>747</xdr:row>
      <xdr:rowOff>133350</xdr:rowOff>
    </xdr:to>
    <xdr:pic>
      <xdr:nvPicPr>
        <xdr:cNvPr id="2138" name="Picture@5C\QPendientes@" descr="@5C\QPendientes@">
          <a:extLst>
            <a:ext uri="{FF2B5EF4-FFF2-40B4-BE49-F238E27FC236}">
              <a16:creationId xmlns:a16="http://schemas.microsoft.com/office/drawing/2014/main" id="{D1FD810A-188D-4E45-B06F-FB663F11E2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661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748</xdr:row>
      <xdr:rowOff>0</xdr:rowOff>
    </xdr:from>
    <xdr:to>
      <xdr:col>0</xdr:col>
      <xdr:colOff>171450</xdr:colOff>
      <xdr:row>748</xdr:row>
      <xdr:rowOff>133350</xdr:rowOff>
    </xdr:to>
    <xdr:pic>
      <xdr:nvPicPr>
        <xdr:cNvPr id="2139" name="Picture@5C\QPendientes@" descr="@5C\QPendientes@">
          <a:extLst>
            <a:ext uri="{FF2B5EF4-FFF2-40B4-BE49-F238E27FC236}">
              <a16:creationId xmlns:a16="http://schemas.microsoft.com/office/drawing/2014/main" id="{B24B9BB4-C91D-4320-B234-BD8C96CE0E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679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749</xdr:row>
      <xdr:rowOff>0</xdr:rowOff>
    </xdr:from>
    <xdr:to>
      <xdr:col>0</xdr:col>
      <xdr:colOff>171450</xdr:colOff>
      <xdr:row>749</xdr:row>
      <xdr:rowOff>133350</xdr:rowOff>
    </xdr:to>
    <xdr:pic>
      <xdr:nvPicPr>
        <xdr:cNvPr id="2140" name="Picture@5C\QPendientes@" descr="@5C\QPendientes@">
          <a:extLst>
            <a:ext uri="{FF2B5EF4-FFF2-40B4-BE49-F238E27FC236}">
              <a16:creationId xmlns:a16="http://schemas.microsoft.com/office/drawing/2014/main" id="{36D7A31D-B2C0-4297-AD0F-C850405C83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697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750</xdr:row>
      <xdr:rowOff>0</xdr:rowOff>
    </xdr:from>
    <xdr:to>
      <xdr:col>0</xdr:col>
      <xdr:colOff>171450</xdr:colOff>
      <xdr:row>750</xdr:row>
      <xdr:rowOff>133350</xdr:rowOff>
    </xdr:to>
    <xdr:pic>
      <xdr:nvPicPr>
        <xdr:cNvPr id="2141" name="Picture@5C\QPendientes@" descr="@5C\QPendientes@">
          <a:extLst>
            <a:ext uri="{FF2B5EF4-FFF2-40B4-BE49-F238E27FC236}">
              <a16:creationId xmlns:a16="http://schemas.microsoft.com/office/drawing/2014/main" id="{8FBB203D-F18D-44E5-B50C-511BB80F5F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716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751</xdr:row>
      <xdr:rowOff>0</xdr:rowOff>
    </xdr:from>
    <xdr:to>
      <xdr:col>0</xdr:col>
      <xdr:colOff>171450</xdr:colOff>
      <xdr:row>751</xdr:row>
      <xdr:rowOff>133350</xdr:rowOff>
    </xdr:to>
    <xdr:pic>
      <xdr:nvPicPr>
        <xdr:cNvPr id="2142" name="Picture@5C\QPendientes@" descr="@5C\QPendientes@">
          <a:extLst>
            <a:ext uri="{FF2B5EF4-FFF2-40B4-BE49-F238E27FC236}">
              <a16:creationId xmlns:a16="http://schemas.microsoft.com/office/drawing/2014/main" id="{2B56104C-6DFE-4A3B-AFB6-ACAC6B8C13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734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752</xdr:row>
      <xdr:rowOff>0</xdr:rowOff>
    </xdr:from>
    <xdr:to>
      <xdr:col>0</xdr:col>
      <xdr:colOff>171450</xdr:colOff>
      <xdr:row>752</xdr:row>
      <xdr:rowOff>133350</xdr:rowOff>
    </xdr:to>
    <xdr:pic>
      <xdr:nvPicPr>
        <xdr:cNvPr id="2143" name="Picture@5C\QPendientes@" descr="@5C\QPendientes@">
          <a:extLst>
            <a:ext uri="{FF2B5EF4-FFF2-40B4-BE49-F238E27FC236}">
              <a16:creationId xmlns:a16="http://schemas.microsoft.com/office/drawing/2014/main" id="{26920E7F-47AB-43F8-BB91-887310BC56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752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753</xdr:row>
      <xdr:rowOff>0</xdr:rowOff>
    </xdr:from>
    <xdr:to>
      <xdr:col>0</xdr:col>
      <xdr:colOff>171450</xdr:colOff>
      <xdr:row>753</xdr:row>
      <xdr:rowOff>133350</xdr:rowOff>
    </xdr:to>
    <xdr:pic>
      <xdr:nvPicPr>
        <xdr:cNvPr id="2144" name="Picture@5C\QPendientes@" descr="@5C\QPendientes@">
          <a:extLst>
            <a:ext uri="{FF2B5EF4-FFF2-40B4-BE49-F238E27FC236}">
              <a16:creationId xmlns:a16="http://schemas.microsoft.com/office/drawing/2014/main" id="{7A7DA722-29AD-4136-8A5C-4F266CA3D3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770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754</xdr:row>
      <xdr:rowOff>0</xdr:rowOff>
    </xdr:from>
    <xdr:to>
      <xdr:col>0</xdr:col>
      <xdr:colOff>171450</xdr:colOff>
      <xdr:row>754</xdr:row>
      <xdr:rowOff>133350</xdr:rowOff>
    </xdr:to>
    <xdr:pic>
      <xdr:nvPicPr>
        <xdr:cNvPr id="2145" name="Picture@5C\QPendientes@" descr="@5C\QPendientes@">
          <a:extLst>
            <a:ext uri="{FF2B5EF4-FFF2-40B4-BE49-F238E27FC236}">
              <a16:creationId xmlns:a16="http://schemas.microsoft.com/office/drawing/2014/main" id="{A3C00DFC-9AF9-4703-8156-1BF3D07903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789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755</xdr:row>
      <xdr:rowOff>0</xdr:rowOff>
    </xdr:from>
    <xdr:to>
      <xdr:col>0</xdr:col>
      <xdr:colOff>171450</xdr:colOff>
      <xdr:row>755</xdr:row>
      <xdr:rowOff>133350</xdr:rowOff>
    </xdr:to>
    <xdr:pic>
      <xdr:nvPicPr>
        <xdr:cNvPr id="2146" name="Picture@5C\QPendientes@" descr="@5C\QPendientes@">
          <a:extLst>
            <a:ext uri="{FF2B5EF4-FFF2-40B4-BE49-F238E27FC236}">
              <a16:creationId xmlns:a16="http://schemas.microsoft.com/office/drawing/2014/main" id="{628BD67F-A91F-4C62-AC10-A64315AEB0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807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756</xdr:row>
      <xdr:rowOff>0</xdr:rowOff>
    </xdr:from>
    <xdr:to>
      <xdr:col>0</xdr:col>
      <xdr:colOff>171450</xdr:colOff>
      <xdr:row>756</xdr:row>
      <xdr:rowOff>133350</xdr:rowOff>
    </xdr:to>
    <xdr:pic>
      <xdr:nvPicPr>
        <xdr:cNvPr id="2147" name="Picture@5C\QPendientes@" descr="@5C\QPendientes@">
          <a:extLst>
            <a:ext uri="{FF2B5EF4-FFF2-40B4-BE49-F238E27FC236}">
              <a16:creationId xmlns:a16="http://schemas.microsoft.com/office/drawing/2014/main" id="{36E24544-3ABB-4528-AEFE-D3495470FA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825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757</xdr:row>
      <xdr:rowOff>0</xdr:rowOff>
    </xdr:from>
    <xdr:to>
      <xdr:col>0</xdr:col>
      <xdr:colOff>171450</xdr:colOff>
      <xdr:row>757</xdr:row>
      <xdr:rowOff>133350</xdr:rowOff>
    </xdr:to>
    <xdr:pic>
      <xdr:nvPicPr>
        <xdr:cNvPr id="2148" name="Picture@5C\QPendientes@" descr="@5C\QPendientes@">
          <a:extLst>
            <a:ext uri="{FF2B5EF4-FFF2-40B4-BE49-F238E27FC236}">
              <a16:creationId xmlns:a16="http://schemas.microsoft.com/office/drawing/2014/main" id="{AF241BBD-8F83-4F88-BF32-29641C75E0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844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758</xdr:row>
      <xdr:rowOff>0</xdr:rowOff>
    </xdr:from>
    <xdr:to>
      <xdr:col>0</xdr:col>
      <xdr:colOff>171450</xdr:colOff>
      <xdr:row>758</xdr:row>
      <xdr:rowOff>133350</xdr:rowOff>
    </xdr:to>
    <xdr:pic>
      <xdr:nvPicPr>
        <xdr:cNvPr id="2149" name="Picture@5C\QPendientes@" descr="@5C\QPendientes@">
          <a:extLst>
            <a:ext uri="{FF2B5EF4-FFF2-40B4-BE49-F238E27FC236}">
              <a16:creationId xmlns:a16="http://schemas.microsoft.com/office/drawing/2014/main" id="{01A3191E-7D3F-4DAE-8C1D-FE632368AE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862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759</xdr:row>
      <xdr:rowOff>0</xdr:rowOff>
    </xdr:from>
    <xdr:to>
      <xdr:col>0</xdr:col>
      <xdr:colOff>171450</xdr:colOff>
      <xdr:row>759</xdr:row>
      <xdr:rowOff>133350</xdr:rowOff>
    </xdr:to>
    <xdr:pic>
      <xdr:nvPicPr>
        <xdr:cNvPr id="2150" name="Picture@5C\QPendientes@" descr="@5C\QPendientes@">
          <a:extLst>
            <a:ext uri="{FF2B5EF4-FFF2-40B4-BE49-F238E27FC236}">
              <a16:creationId xmlns:a16="http://schemas.microsoft.com/office/drawing/2014/main" id="{61744719-67DB-405B-BF06-F038667346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880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760</xdr:row>
      <xdr:rowOff>0</xdr:rowOff>
    </xdr:from>
    <xdr:to>
      <xdr:col>0</xdr:col>
      <xdr:colOff>171450</xdr:colOff>
      <xdr:row>760</xdr:row>
      <xdr:rowOff>133350</xdr:rowOff>
    </xdr:to>
    <xdr:pic>
      <xdr:nvPicPr>
        <xdr:cNvPr id="2151" name="Picture@5C\QPendientes@" descr="@5C\QPendientes@">
          <a:extLst>
            <a:ext uri="{FF2B5EF4-FFF2-40B4-BE49-F238E27FC236}">
              <a16:creationId xmlns:a16="http://schemas.microsoft.com/office/drawing/2014/main" id="{896C948D-B5B6-4DCE-A871-F9A4FC447F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898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761</xdr:row>
      <xdr:rowOff>0</xdr:rowOff>
    </xdr:from>
    <xdr:to>
      <xdr:col>0</xdr:col>
      <xdr:colOff>171450</xdr:colOff>
      <xdr:row>761</xdr:row>
      <xdr:rowOff>133350</xdr:rowOff>
    </xdr:to>
    <xdr:pic>
      <xdr:nvPicPr>
        <xdr:cNvPr id="2152" name="Picture@5C\QPendientes@" descr="@5C\QPendientes@">
          <a:extLst>
            <a:ext uri="{FF2B5EF4-FFF2-40B4-BE49-F238E27FC236}">
              <a16:creationId xmlns:a16="http://schemas.microsoft.com/office/drawing/2014/main" id="{928F4650-A2C5-46C3-A67A-971FC70AB3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917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762</xdr:row>
      <xdr:rowOff>0</xdr:rowOff>
    </xdr:from>
    <xdr:to>
      <xdr:col>0</xdr:col>
      <xdr:colOff>171450</xdr:colOff>
      <xdr:row>762</xdr:row>
      <xdr:rowOff>133350</xdr:rowOff>
    </xdr:to>
    <xdr:pic>
      <xdr:nvPicPr>
        <xdr:cNvPr id="2153" name="Picture@5C\QPendientes@" descr="@5C\QPendientes@">
          <a:extLst>
            <a:ext uri="{FF2B5EF4-FFF2-40B4-BE49-F238E27FC236}">
              <a16:creationId xmlns:a16="http://schemas.microsoft.com/office/drawing/2014/main" id="{C55F55F5-4E59-4155-B933-DA1ABC3B17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935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763</xdr:row>
      <xdr:rowOff>0</xdr:rowOff>
    </xdr:from>
    <xdr:to>
      <xdr:col>0</xdr:col>
      <xdr:colOff>171450</xdr:colOff>
      <xdr:row>763</xdr:row>
      <xdr:rowOff>133350</xdr:rowOff>
    </xdr:to>
    <xdr:pic>
      <xdr:nvPicPr>
        <xdr:cNvPr id="2154" name="Picture@5C\QPendientes@" descr="@5C\QPendientes@">
          <a:extLst>
            <a:ext uri="{FF2B5EF4-FFF2-40B4-BE49-F238E27FC236}">
              <a16:creationId xmlns:a16="http://schemas.microsoft.com/office/drawing/2014/main" id="{97A5F655-B3D6-411D-AFAA-69D065020C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953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764</xdr:row>
      <xdr:rowOff>0</xdr:rowOff>
    </xdr:from>
    <xdr:to>
      <xdr:col>0</xdr:col>
      <xdr:colOff>171450</xdr:colOff>
      <xdr:row>764</xdr:row>
      <xdr:rowOff>133350</xdr:rowOff>
    </xdr:to>
    <xdr:pic>
      <xdr:nvPicPr>
        <xdr:cNvPr id="2155" name="Picture@5C\QPendientes@" descr="@5C\QPendientes@">
          <a:extLst>
            <a:ext uri="{FF2B5EF4-FFF2-40B4-BE49-F238E27FC236}">
              <a16:creationId xmlns:a16="http://schemas.microsoft.com/office/drawing/2014/main" id="{5C9E985F-2BA7-4886-881B-7475491745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972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765</xdr:row>
      <xdr:rowOff>0</xdr:rowOff>
    </xdr:from>
    <xdr:to>
      <xdr:col>0</xdr:col>
      <xdr:colOff>171450</xdr:colOff>
      <xdr:row>765</xdr:row>
      <xdr:rowOff>133350</xdr:rowOff>
    </xdr:to>
    <xdr:pic>
      <xdr:nvPicPr>
        <xdr:cNvPr id="2156" name="Picture@5C\QPendientes@" descr="@5C\QPendientes@">
          <a:extLst>
            <a:ext uri="{FF2B5EF4-FFF2-40B4-BE49-F238E27FC236}">
              <a16:creationId xmlns:a16="http://schemas.microsoft.com/office/drawing/2014/main" id="{D33CE808-7159-476B-A1AE-A0F08200E2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990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766</xdr:row>
      <xdr:rowOff>0</xdr:rowOff>
    </xdr:from>
    <xdr:to>
      <xdr:col>0</xdr:col>
      <xdr:colOff>171450</xdr:colOff>
      <xdr:row>766</xdr:row>
      <xdr:rowOff>133350</xdr:rowOff>
    </xdr:to>
    <xdr:pic>
      <xdr:nvPicPr>
        <xdr:cNvPr id="2157" name="Picture@5C\QPendientes@" descr="@5C\QPendientes@">
          <a:extLst>
            <a:ext uri="{FF2B5EF4-FFF2-40B4-BE49-F238E27FC236}">
              <a16:creationId xmlns:a16="http://schemas.microsoft.com/office/drawing/2014/main" id="{754A576E-40E7-42C6-8E37-7E3DEC44F9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008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767</xdr:row>
      <xdr:rowOff>0</xdr:rowOff>
    </xdr:from>
    <xdr:to>
      <xdr:col>0</xdr:col>
      <xdr:colOff>171450</xdr:colOff>
      <xdr:row>767</xdr:row>
      <xdr:rowOff>133350</xdr:rowOff>
    </xdr:to>
    <xdr:pic>
      <xdr:nvPicPr>
        <xdr:cNvPr id="2158" name="Picture@5C\QPendientes@" descr="@5C\QPendientes@">
          <a:extLst>
            <a:ext uri="{FF2B5EF4-FFF2-40B4-BE49-F238E27FC236}">
              <a16:creationId xmlns:a16="http://schemas.microsoft.com/office/drawing/2014/main" id="{D6FC645E-6EDA-48D9-9143-173757A247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026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768</xdr:row>
      <xdr:rowOff>0</xdr:rowOff>
    </xdr:from>
    <xdr:to>
      <xdr:col>0</xdr:col>
      <xdr:colOff>171450</xdr:colOff>
      <xdr:row>768</xdr:row>
      <xdr:rowOff>133350</xdr:rowOff>
    </xdr:to>
    <xdr:pic>
      <xdr:nvPicPr>
        <xdr:cNvPr id="2159" name="Picture@5C\QPendientes@" descr="@5C\QPendientes@">
          <a:extLst>
            <a:ext uri="{FF2B5EF4-FFF2-40B4-BE49-F238E27FC236}">
              <a16:creationId xmlns:a16="http://schemas.microsoft.com/office/drawing/2014/main" id="{F61440D8-DE29-4C15-A58C-8D119CA398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045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769</xdr:row>
      <xdr:rowOff>0</xdr:rowOff>
    </xdr:from>
    <xdr:to>
      <xdr:col>0</xdr:col>
      <xdr:colOff>171450</xdr:colOff>
      <xdr:row>769</xdr:row>
      <xdr:rowOff>133350</xdr:rowOff>
    </xdr:to>
    <xdr:pic>
      <xdr:nvPicPr>
        <xdr:cNvPr id="2160" name="Picture@5C\QPendientes@" descr="@5C\QPendientes@">
          <a:extLst>
            <a:ext uri="{FF2B5EF4-FFF2-40B4-BE49-F238E27FC236}">
              <a16:creationId xmlns:a16="http://schemas.microsoft.com/office/drawing/2014/main" id="{1C1A4B09-EED0-49DC-91C0-0CEB010A68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063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770</xdr:row>
      <xdr:rowOff>0</xdr:rowOff>
    </xdr:from>
    <xdr:to>
      <xdr:col>0</xdr:col>
      <xdr:colOff>171450</xdr:colOff>
      <xdr:row>770</xdr:row>
      <xdr:rowOff>133350</xdr:rowOff>
    </xdr:to>
    <xdr:pic>
      <xdr:nvPicPr>
        <xdr:cNvPr id="2161" name="Picture@5C\QPendientes@" descr="@5C\QPendientes@">
          <a:extLst>
            <a:ext uri="{FF2B5EF4-FFF2-40B4-BE49-F238E27FC236}">
              <a16:creationId xmlns:a16="http://schemas.microsoft.com/office/drawing/2014/main" id="{75A1B1CF-EF8A-45D1-A0CC-90A58833C4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081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771</xdr:row>
      <xdr:rowOff>0</xdr:rowOff>
    </xdr:from>
    <xdr:to>
      <xdr:col>0</xdr:col>
      <xdr:colOff>171450</xdr:colOff>
      <xdr:row>771</xdr:row>
      <xdr:rowOff>133350</xdr:rowOff>
    </xdr:to>
    <xdr:pic>
      <xdr:nvPicPr>
        <xdr:cNvPr id="2162" name="Picture@5C\QPendientes@" descr="@5C\QPendientes@">
          <a:extLst>
            <a:ext uri="{FF2B5EF4-FFF2-40B4-BE49-F238E27FC236}">
              <a16:creationId xmlns:a16="http://schemas.microsoft.com/office/drawing/2014/main" id="{42BC222A-0E8B-49D2-8D79-4B663AB8EF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100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772</xdr:row>
      <xdr:rowOff>0</xdr:rowOff>
    </xdr:from>
    <xdr:to>
      <xdr:col>0</xdr:col>
      <xdr:colOff>171450</xdr:colOff>
      <xdr:row>772</xdr:row>
      <xdr:rowOff>133350</xdr:rowOff>
    </xdr:to>
    <xdr:pic>
      <xdr:nvPicPr>
        <xdr:cNvPr id="2163" name="Picture@5C\QPendientes@" descr="@5C\QPendientes@">
          <a:extLst>
            <a:ext uri="{FF2B5EF4-FFF2-40B4-BE49-F238E27FC236}">
              <a16:creationId xmlns:a16="http://schemas.microsoft.com/office/drawing/2014/main" id="{4FB9D216-9245-4D80-9C25-D49A270FFD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118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773</xdr:row>
      <xdr:rowOff>0</xdr:rowOff>
    </xdr:from>
    <xdr:to>
      <xdr:col>0</xdr:col>
      <xdr:colOff>171450</xdr:colOff>
      <xdr:row>773</xdr:row>
      <xdr:rowOff>133350</xdr:rowOff>
    </xdr:to>
    <xdr:pic>
      <xdr:nvPicPr>
        <xdr:cNvPr id="2164" name="Picture@5C\QPendientes@" descr="@5C\QPendientes@">
          <a:extLst>
            <a:ext uri="{FF2B5EF4-FFF2-40B4-BE49-F238E27FC236}">
              <a16:creationId xmlns:a16="http://schemas.microsoft.com/office/drawing/2014/main" id="{F3798871-BE61-4891-B9D6-D160984681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136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774</xdr:row>
      <xdr:rowOff>0</xdr:rowOff>
    </xdr:from>
    <xdr:to>
      <xdr:col>0</xdr:col>
      <xdr:colOff>171450</xdr:colOff>
      <xdr:row>774</xdr:row>
      <xdr:rowOff>133350</xdr:rowOff>
    </xdr:to>
    <xdr:pic>
      <xdr:nvPicPr>
        <xdr:cNvPr id="2165" name="Picture@5C\QPendientes@" descr="@5C\QPendientes@">
          <a:extLst>
            <a:ext uri="{FF2B5EF4-FFF2-40B4-BE49-F238E27FC236}">
              <a16:creationId xmlns:a16="http://schemas.microsoft.com/office/drawing/2014/main" id="{3ACCA54F-717B-42F7-9B62-BD358D86B3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154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775</xdr:row>
      <xdr:rowOff>0</xdr:rowOff>
    </xdr:from>
    <xdr:to>
      <xdr:col>0</xdr:col>
      <xdr:colOff>171450</xdr:colOff>
      <xdr:row>775</xdr:row>
      <xdr:rowOff>133350</xdr:rowOff>
    </xdr:to>
    <xdr:pic>
      <xdr:nvPicPr>
        <xdr:cNvPr id="2166" name="Picture@5C\QPendientes@" descr="@5C\QPendientes@">
          <a:extLst>
            <a:ext uri="{FF2B5EF4-FFF2-40B4-BE49-F238E27FC236}">
              <a16:creationId xmlns:a16="http://schemas.microsoft.com/office/drawing/2014/main" id="{B8F386C6-0ECC-4FFD-81AE-85A52514E2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173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776</xdr:row>
      <xdr:rowOff>0</xdr:rowOff>
    </xdr:from>
    <xdr:to>
      <xdr:col>0</xdr:col>
      <xdr:colOff>171450</xdr:colOff>
      <xdr:row>776</xdr:row>
      <xdr:rowOff>133350</xdr:rowOff>
    </xdr:to>
    <xdr:pic>
      <xdr:nvPicPr>
        <xdr:cNvPr id="2167" name="Picture@5C\QPendientes@" descr="@5C\QPendientes@">
          <a:extLst>
            <a:ext uri="{FF2B5EF4-FFF2-40B4-BE49-F238E27FC236}">
              <a16:creationId xmlns:a16="http://schemas.microsoft.com/office/drawing/2014/main" id="{033FED8F-3301-4AF9-8CDA-D93BCCA9F6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191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777</xdr:row>
      <xdr:rowOff>0</xdr:rowOff>
    </xdr:from>
    <xdr:to>
      <xdr:col>0</xdr:col>
      <xdr:colOff>171450</xdr:colOff>
      <xdr:row>777</xdr:row>
      <xdr:rowOff>133350</xdr:rowOff>
    </xdr:to>
    <xdr:pic>
      <xdr:nvPicPr>
        <xdr:cNvPr id="2168" name="Picture@5C\QPendientes@" descr="@5C\QPendientes@">
          <a:extLst>
            <a:ext uri="{FF2B5EF4-FFF2-40B4-BE49-F238E27FC236}">
              <a16:creationId xmlns:a16="http://schemas.microsoft.com/office/drawing/2014/main" id="{B2AA8526-A7A8-4A18-81B3-629D33736B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209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778</xdr:row>
      <xdr:rowOff>0</xdr:rowOff>
    </xdr:from>
    <xdr:to>
      <xdr:col>0</xdr:col>
      <xdr:colOff>171450</xdr:colOff>
      <xdr:row>778</xdr:row>
      <xdr:rowOff>133350</xdr:rowOff>
    </xdr:to>
    <xdr:pic>
      <xdr:nvPicPr>
        <xdr:cNvPr id="2169" name="Picture@5C\QPendientes@" descr="@5C\QPendientes@">
          <a:extLst>
            <a:ext uri="{FF2B5EF4-FFF2-40B4-BE49-F238E27FC236}">
              <a16:creationId xmlns:a16="http://schemas.microsoft.com/office/drawing/2014/main" id="{00D1794F-4B7C-4206-8123-3DB2FCB60C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228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779</xdr:row>
      <xdr:rowOff>0</xdr:rowOff>
    </xdr:from>
    <xdr:to>
      <xdr:col>0</xdr:col>
      <xdr:colOff>171450</xdr:colOff>
      <xdr:row>779</xdr:row>
      <xdr:rowOff>133350</xdr:rowOff>
    </xdr:to>
    <xdr:pic>
      <xdr:nvPicPr>
        <xdr:cNvPr id="2170" name="Picture@5C\QPendientes@" descr="@5C\QPendientes@">
          <a:extLst>
            <a:ext uri="{FF2B5EF4-FFF2-40B4-BE49-F238E27FC236}">
              <a16:creationId xmlns:a16="http://schemas.microsoft.com/office/drawing/2014/main" id="{6033654C-39D5-4A08-8275-A2031E7ED9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246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780</xdr:row>
      <xdr:rowOff>0</xdr:rowOff>
    </xdr:from>
    <xdr:to>
      <xdr:col>0</xdr:col>
      <xdr:colOff>171450</xdr:colOff>
      <xdr:row>780</xdr:row>
      <xdr:rowOff>133350</xdr:rowOff>
    </xdr:to>
    <xdr:pic>
      <xdr:nvPicPr>
        <xdr:cNvPr id="2171" name="Picture@5C\QPendientes@" descr="@5C\QPendientes@">
          <a:extLst>
            <a:ext uri="{FF2B5EF4-FFF2-40B4-BE49-F238E27FC236}">
              <a16:creationId xmlns:a16="http://schemas.microsoft.com/office/drawing/2014/main" id="{B7BA8B4E-902A-4F78-A91F-0CAADC39C7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264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781</xdr:row>
      <xdr:rowOff>0</xdr:rowOff>
    </xdr:from>
    <xdr:to>
      <xdr:col>0</xdr:col>
      <xdr:colOff>171450</xdr:colOff>
      <xdr:row>781</xdr:row>
      <xdr:rowOff>133350</xdr:rowOff>
    </xdr:to>
    <xdr:pic>
      <xdr:nvPicPr>
        <xdr:cNvPr id="2172" name="Picture@5C\QPendientes@" descr="@5C\QPendientes@">
          <a:extLst>
            <a:ext uri="{FF2B5EF4-FFF2-40B4-BE49-F238E27FC236}">
              <a16:creationId xmlns:a16="http://schemas.microsoft.com/office/drawing/2014/main" id="{B62E8D6F-88A4-42B1-A8D6-406168F852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282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782</xdr:row>
      <xdr:rowOff>0</xdr:rowOff>
    </xdr:from>
    <xdr:to>
      <xdr:col>0</xdr:col>
      <xdr:colOff>171450</xdr:colOff>
      <xdr:row>782</xdr:row>
      <xdr:rowOff>133350</xdr:rowOff>
    </xdr:to>
    <xdr:pic>
      <xdr:nvPicPr>
        <xdr:cNvPr id="2173" name="Picture@5C\QPendientes@" descr="@5C\QPendientes@">
          <a:extLst>
            <a:ext uri="{FF2B5EF4-FFF2-40B4-BE49-F238E27FC236}">
              <a16:creationId xmlns:a16="http://schemas.microsoft.com/office/drawing/2014/main" id="{7C9A92C2-1216-4911-A9C0-5B6EB6ED5F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301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783</xdr:row>
      <xdr:rowOff>0</xdr:rowOff>
    </xdr:from>
    <xdr:to>
      <xdr:col>0</xdr:col>
      <xdr:colOff>171450</xdr:colOff>
      <xdr:row>783</xdr:row>
      <xdr:rowOff>133350</xdr:rowOff>
    </xdr:to>
    <xdr:pic>
      <xdr:nvPicPr>
        <xdr:cNvPr id="2174" name="Picture@5C\QPendientes@" descr="@5C\QPendientes@">
          <a:extLst>
            <a:ext uri="{FF2B5EF4-FFF2-40B4-BE49-F238E27FC236}">
              <a16:creationId xmlns:a16="http://schemas.microsoft.com/office/drawing/2014/main" id="{0C3A4D09-49A0-4AE6-8CF2-C522FE4129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319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784</xdr:row>
      <xdr:rowOff>0</xdr:rowOff>
    </xdr:from>
    <xdr:to>
      <xdr:col>0</xdr:col>
      <xdr:colOff>171450</xdr:colOff>
      <xdr:row>784</xdr:row>
      <xdr:rowOff>133350</xdr:rowOff>
    </xdr:to>
    <xdr:pic>
      <xdr:nvPicPr>
        <xdr:cNvPr id="2175" name="Picture@5C\QPendientes@" descr="@5C\QPendientes@">
          <a:extLst>
            <a:ext uri="{FF2B5EF4-FFF2-40B4-BE49-F238E27FC236}">
              <a16:creationId xmlns:a16="http://schemas.microsoft.com/office/drawing/2014/main" id="{08F74205-CCB7-41D3-93F4-AFC4A03457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337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785</xdr:row>
      <xdr:rowOff>0</xdr:rowOff>
    </xdr:from>
    <xdr:to>
      <xdr:col>0</xdr:col>
      <xdr:colOff>171450</xdr:colOff>
      <xdr:row>785</xdr:row>
      <xdr:rowOff>133350</xdr:rowOff>
    </xdr:to>
    <xdr:pic>
      <xdr:nvPicPr>
        <xdr:cNvPr id="2176" name="Picture@5C\QPendientes@" descr="@5C\QPendientes@">
          <a:extLst>
            <a:ext uri="{FF2B5EF4-FFF2-40B4-BE49-F238E27FC236}">
              <a16:creationId xmlns:a16="http://schemas.microsoft.com/office/drawing/2014/main" id="{F7C919E2-EF7F-4725-B267-624B8982FE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356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786</xdr:row>
      <xdr:rowOff>0</xdr:rowOff>
    </xdr:from>
    <xdr:to>
      <xdr:col>0</xdr:col>
      <xdr:colOff>171450</xdr:colOff>
      <xdr:row>786</xdr:row>
      <xdr:rowOff>133350</xdr:rowOff>
    </xdr:to>
    <xdr:pic>
      <xdr:nvPicPr>
        <xdr:cNvPr id="2177" name="Picture@5C\QPendientes@" descr="@5C\QPendientes@">
          <a:extLst>
            <a:ext uri="{FF2B5EF4-FFF2-40B4-BE49-F238E27FC236}">
              <a16:creationId xmlns:a16="http://schemas.microsoft.com/office/drawing/2014/main" id="{6992CED9-F0C3-4654-B767-FE836F1B91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374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787</xdr:row>
      <xdr:rowOff>0</xdr:rowOff>
    </xdr:from>
    <xdr:to>
      <xdr:col>0</xdr:col>
      <xdr:colOff>171450</xdr:colOff>
      <xdr:row>787</xdr:row>
      <xdr:rowOff>133350</xdr:rowOff>
    </xdr:to>
    <xdr:pic>
      <xdr:nvPicPr>
        <xdr:cNvPr id="2178" name="Picture@5C\QPendientes@" descr="@5C\QPendientes@">
          <a:extLst>
            <a:ext uri="{FF2B5EF4-FFF2-40B4-BE49-F238E27FC236}">
              <a16:creationId xmlns:a16="http://schemas.microsoft.com/office/drawing/2014/main" id="{9E36217F-DA4A-4B7A-954C-7AB168013C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392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788</xdr:row>
      <xdr:rowOff>0</xdr:rowOff>
    </xdr:from>
    <xdr:to>
      <xdr:col>0</xdr:col>
      <xdr:colOff>171450</xdr:colOff>
      <xdr:row>788</xdr:row>
      <xdr:rowOff>133350</xdr:rowOff>
    </xdr:to>
    <xdr:pic>
      <xdr:nvPicPr>
        <xdr:cNvPr id="2179" name="Picture@5C\QPendientes@" descr="@5C\QPendientes@">
          <a:extLst>
            <a:ext uri="{FF2B5EF4-FFF2-40B4-BE49-F238E27FC236}">
              <a16:creationId xmlns:a16="http://schemas.microsoft.com/office/drawing/2014/main" id="{1FC0236C-2067-4491-B13B-C8EAF2313E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410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789</xdr:row>
      <xdr:rowOff>0</xdr:rowOff>
    </xdr:from>
    <xdr:to>
      <xdr:col>0</xdr:col>
      <xdr:colOff>171450</xdr:colOff>
      <xdr:row>789</xdr:row>
      <xdr:rowOff>133350</xdr:rowOff>
    </xdr:to>
    <xdr:pic>
      <xdr:nvPicPr>
        <xdr:cNvPr id="2180" name="Picture@5C\QPendientes@" descr="@5C\QPendientes@">
          <a:extLst>
            <a:ext uri="{FF2B5EF4-FFF2-40B4-BE49-F238E27FC236}">
              <a16:creationId xmlns:a16="http://schemas.microsoft.com/office/drawing/2014/main" id="{B0160B2F-5EAC-4009-8F11-1192ADBFCF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429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790</xdr:row>
      <xdr:rowOff>0</xdr:rowOff>
    </xdr:from>
    <xdr:to>
      <xdr:col>0</xdr:col>
      <xdr:colOff>171450</xdr:colOff>
      <xdr:row>790</xdr:row>
      <xdr:rowOff>133350</xdr:rowOff>
    </xdr:to>
    <xdr:pic>
      <xdr:nvPicPr>
        <xdr:cNvPr id="2181" name="Picture@5C\QPendientes@" descr="@5C\QPendientes@">
          <a:extLst>
            <a:ext uri="{FF2B5EF4-FFF2-40B4-BE49-F238E27FC236}">
              <a16:creationId xmlns:a16="http://schemas.microsoft.com/office/drawing/2014/main" id="{E435B9F1-D543-4C51-992F-96A45F7896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447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791</xdr:row>
      <xdr:rowOff>0</xdr:rowOff>
    </xdr:from>
    <xdr:to>
      <xdr:col>0</xdr:col>
      <xdr:colOff>171450</xdr:colOff>
      <xdr:row>791</xdr:row>
      <xdr:rowOff>133350</xdr:rowOff>
    </xdr:to>
    <xdr:pic>
      <xdr:nvPicPr>
        <xdr:cNvPr id="2182" name="Picture@5C\QPendientes@" descr="@5C\QPendientes@">
          <a:extLst>
            <a:ext uri="{FF2B5EF4-FFF2-40B4-BE49-F238E27FC236}">
              <a16:creationId xmlns:a16="http://schemas.microsoft.com/office/drawing/2014/main" id="{FA7B99D6-8EF2-49E7-BC09-F142FBB23D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465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792</xdr:row>
      <xdr:rowOff>0</xdr:rowOff>
    </xdr:from>
    <xdr:to>
      <xdr:col>0</xdr:col>
      <xdr:colOff>171450</xdr:colOff>
      <xdr:row>792</xdr:row>
      <xdr:rowOff>133350</xdr:rowOff>
    </xdr:to>
    <xdr:pic>
      <xdr:nvPicPr>
        <xdr:cNvPr id="2183" name="Picture@5C\QPendientes@" descr="@5C\QPendientes@">
          <a:extLst>
            <a:ext uri="{FF2B5EF4-FFF2-40B4-BE49-F238E27FC236}">
              <a16:creationId xmlns:a16="http://schemas.microsoft.com/office/drawing/2014/main" id="{C2B47359-84BB-495C-9231-FDB6FA9DF3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484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793</xdr:row>
      <xdr:rowOff>0</xdr:rowOff>
    </xdr:from>
    <xdr:to>
      <xdr:col>0</xdr:col>
      <xdr:colOff>171450</xdr:colOff>
      <xdr:row>793</xdr:row>
      <xdr:rowOff>133350</xdr:rowOff>
    </xdr:to>
    <xdr:pic>
      <xdr:nvPicPr>
        <xdr:cNvPr id="2184" name="Picture@5C\QPendientes@" descr="@5C\QPendientes@">
          <a:extLst>
            <a:ext uri="{FF2B5EF4-FFF2-40B4-BE49-F238E27FC236}">
              <a16:creationId xmlns:a16="http://schemas.microsoft.com/office/drawing/2014/main" id="{33132464-1563-479E-978C-1810C867FB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502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794</xdr:row>
      <xdr:rowOff>0</xdr:rowOff>
    </xdr:from>
    <xdr:to>
      <xdr:col>0</xdr:col>
      <xdr:colOff>171450</xdr:colOff>
      <xdr:row>794</xdr:row>
      <xdr:rowOff>133350</xdr:rowOff>
    </xdr:to>
    <xdr:pic>
      <xdr:nvPicPr>
        <xdr:cNvPr id="2185" name="Picture@5C\QPendientes@" descr="@5C\QPendientes@">
          <a:extLst>
            <a:ext uri="{FF2B5EF4-FFF2-40B4-BE49-F238E27FC236}">
              <a16:creationId xmlns:a16="http://schemas.microsoft.com/office/drawing/2014/main" id="{B4A967C1-43A4-4A92-88A5-E5F8DBD0D0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520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795</xdr:row>
      <xdr:rowOff>0</xdr:rowOff>
    </xdr:from>
    <xdr:to>
      <xdr:col>0</xdr:col>
      <xdr:colOff>171450</xdr:colOff>
      <xdr:row>795</xdr:row>
      <xdr:rowOff>133350</xdr:rowOff>
    </xdr:to>
    <xdr:pic>
      <xdr:nvPicPr>
        <xdr:cNvPr id="2186" name="Picture@5C\QPendientes@" descr="@5C\QPendientes@">
          <a:extLst>
            <a:ext uri="{FF2B5EF4-FFF2-40B4-BE49-F238E27FC236}">
              <a16:creationId xmlns:a16="http://schemas.microsoft.com/office/drawing/2014/main" id="{4C79E623-72BB-4C2B-868F-7BB4DA44AB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538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796</xdr:row>
      <xdr:rowOff>0</xdr:rowOff>
    </xdr:from>
    <xdr:to>
      <xdr:col>0</xdr:col>
      <xdr:colOff>171450</xdr:colOff>
      <xdr:row>796</xdr:row>
      <xdr:rowOff>133350</xdr:rowOff>
    </xdr:to>
    <xdr:pic>
      <xdr:nvPicPr>
        <xdr:cNvPr id="2187" name="Picture@5C\QPendientes@" descr="@5C\QPendientes@">
          <a:extLst>
            <a:ext uri="{FF2B5EF4-FFF2-40B4-BE49-F238E27FC236}">
              <a16:creationId xmlns:a16="http://schemas.microsoft.com/office/drawing/2014/main" id="{EB3AE38D-5648-4338-8F90-84FF9E8B2B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557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797</xdr:row>
      <xdr:rowOff>0</xdr:rowOff>
    </xdr:from>
    <xdr:to>
      <xdr:col>0</xdr:col>
      <xdr:colOff>171450</xdr:colOff>
      <xdr:row>797</xdr:row>
      <xdr:rowOff>133350</xdr:rowOff>
    </xdr:to>
    <xdr:pic>
      <xdr:nvPicPr>
        <xdr:cNvPr id="2188" name="Picture@5C\QPendientes@" descr="@5C\QPendientes@">
          <a:extLst>
            <a:ext uri="{FF2B5EF4-FFF2-40B4-BE49-F238E27FC236}">
              <a16:creationId xmlns:a16="http://schemas.microsoft.com/office/drawing/2014/main" id="{CA83266A-FB0F-41EA-8E18-249AA85835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575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798</xdr:row>
      <xdr:rowOff>0</xdr:rowOff>
    </xdr:from>
    <xdr:to>
      <xdr:col>0</xdr:col>
      <xdr:colOff>171450</xdr:colOff>
      <xdr:row>798</xdr:row>
      <xdr:rowOff>133350</xdr:rowOff>
    </xdr:to>
    <xdr:pic>
      <xdr:nvPicPr>
        <xdr:cNvPr id="2189" name="Picture@5C\QPendientes@" descr="@5C\QPendientes@">
          <a:extLst>
            <a:ext uri="{FF2B5EF4-FFF2-40B4-BE49-F238E27FC236}">
              <a16:creationId xmlns:a16="http://schemas.microsoft.com/office/drawing/2014/main" id="{3CF0931E-EDBF-4F9B-B75A-EFE29CFBBC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593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799</xdr:row>
      <xdr:rowOff>0</xdr:rowOff>
    </xdr:from>
    <xdr:to>
      <xdr:col>0</xdr:col>
      <xdr:colOff>171450</xdr:colOff>
      <xdr:row>799</xdr:row>
      <xdr:rowOff>133350</xdr:rowOff>
    </xdr:to>
    <xdr:pic>
      <xdr:nvPicPr>
        <xdr:cNvPr id="2190" name="Picture@5C\QPendientes@" descr="@5C\QPendientes@">
          <a:extLst>
            <a:ext uri="{FF2B5EF4-FFF2-40B4-BE49-F238E27FC236}">
              <a16:creationId xmlns:a16="http://schemas.microsoft.com/office/drawing/2014/main" id="{D5B3EBF3-2DCA-4747-9730-2B4D31F33B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12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800</xdr:row>
      <xdr:rowOff>0</xdr:rowOff>
    </xdr:from>
    <xdr:to>
      <xdr:col>0</xdr:col>
      <xdr:colOff>171450</xdr:colOff>
      <xdr:row>800</xdr:row>
      <xdr:rowOff>133350</xdr:rowOff>
    </xdr:to>
    <xdr:pic>
      <xdr:nvPicPr>
        <xdr:cNvPr id="2191" name="Picture@5C\QPendientes@" descr="@5C\QPendientes@">
          <a:extLst>
            <a:ext uri="{FF2B5EF4-FFF2-40B4-BE49-F238E27FC236}">
              <a16:creationId xmlns:a16="http://schemas.microsoft.com/office/drawing/2014/main" id="{0580134B-BFB7-484B-ABF7-6CC074F77D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30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801</xdr:row>
      <xdr:rowOff>0</xdr:rowOff>
    </xdr:from>
    <xdr:to>
      <xdr:col>0</xdr:col>
      <xdr:colOff>171450</xdr:colOff>
      <xdr:row>801</xdr:row>
      <xdr:rowOff>133350</xdr:rowOff>
    </xdr:to>
    <xdr:pic>
      <xdr:nvPicPr>
        <xdr:cNvPr id="2192" name="Picture@5C\QPendientes@" descr="@5C\QPendientes@">
          <a:extLst>
            <a:ext uri="{FF2B5EF4-FFF2-40B4-BE49-F238E27FC236}">
              <a16:creationId xmlns:a16="http://schemas.microsoft.com/office/drawing/2014/main" id="{B2E9046B-9E5C-4547-8765-7AF8142EB7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48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802</xdr:row>
      <xdr:rowOff>0</xdr:rowOff>
    </xdr:from>
    <xdr:to>
      <xdr:col>0</xdr:col>
      <xdr:colOff>171450</xdr:colOff>
      <xdr:row>802</xdr:row>
      <xdr:rowOff>133350</xdr:rowOff>
    </xdr:to>
    <xdr:pic>
      <xdr:nvPicPr>
        <xdr:cNvPr id="2193" name="Picture@5C\QPendientes@" descr="@5C\QPendientes@">
          <a:extLst>
            <a:ext uri="{FF2B5EF4-FFF2-40B4-BE49-F238E27FC236}">
              <a16:creationId xmlns:a16="http://schemas.microsoft.com/office/drawing/2014/main" id="{42311C31-9646-4D92-ADF2-757A062D1B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6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803</xdr:row>
      <xdr:rowOff>0</xdr:rowOff>
    </xdr:from>
    <xdr:to>
      <xdr:col>0</xdr:col>
      <xdr:colOff>171450</xdr:colOff>
      <xdr:row>803</xdr:row>
      <xdr:rowOff>133350</xdr:rowOff>
    </xdr:to>
    <xdr:pic>
      <xdr:nvPicPr>
        <xdr:cNvPr id="2194" name="Picture@5C\QPendientes@" descr="@5C\QPendientes@">
          <a:extLst>
            <a:ext uri="{FF2B5EF4-FFF2-40B4-BE49-F238E27FC236}">
              <a16:creationId xmlns:a16="http://schemas.microsoft.com/office/drawing/2014/main" id="{F8A297C2-09C6-4B7D-98BA-6D5D9894A6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85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804</xdr:row>
      <xdr:rowOff>0</xdr:rowOff>
    </xdr:from>
    <xdr:to>
      <xdr:col>0</xdr:col>
      <xdr:colOff>171450</xdr:colOff>
      <xdr:row>804</xdr:row>
      <xdr:rowOff>133350</xdr:rowOff>
    </xdr:to>
    <xdr:pic>
      <xdr:nvPicPr>
        <xdr:cNvPr id="2195" name="Picture@5C\QPendientes@" descr="@5C\QPendientes@">
          <a:extLst>
            <a:ext uri="{FF2B5EF4-FFF2-40B4-BE49-F238E27FC236}">
              <a16:creationId xmlns:a16="http://schemas.microsoft.com/office/drawing/2014/main" id="{0134CD3F-34CF-4B9D-A8C6-3258F975AD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703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805</xdr:row>
      <xdr:rowOff>0</xdr:rowOff>
    </xdr:from>
    <xdr:to>
      <xdr:col>0</xdr:col>
      <xdr:colOff>171450</xdr:colOff>
      <xdr:row>805</xdr:row>
      <xdr:rowOff>133350</xdr:rowOff>
    </xdr:to>
    <xdr:pic>
      <xdr:nvPicPr>
        <xdr:cNvPr id="2196" name="Picture@5C\QPendientes@" descr="@5C\QPendientes@">
          <a:extLst>
            <a:ext uri="{FF2B5EF4-FFF2-40B4-BE49-F238E27FC236}">
              <a16:creationId xmlns:a16="http://schemas.microsoft.com/office/drawing/2014/main" id="{FF913C20-BEC3-494C-BF1E-6A1BD19FFA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721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806</xdr:row>
      <xdr:rowOff>0</xdr:rowOff>
    </xdr:from>
    <xdr:to>
      <xdr:col>0</xdr:col>
      <xdr:colOff>171450</xdr:colOff>
      <xdr:row>806</xdr:row>
      <xdr:rowOff>133350</xdr:rowOff>
    </xdr:to>
    <xdr:pic>
      <xdr:nvPicPr>
        <xdr:cNvPr id="2197" name="Picture@5C\QPendientes@" descr="@5C\QPendientes@">
          <a:extLst>
            <a:ext uri="{FF2B5EF4-FFF2-40B4-BE49-F238E27FC236}">
              <a16:creationId xmlns:a16="http://schemas.microsoft.com/office/drawing/2014/main" id="{E19EB965-C989-4266-87EC-4A5CBBABB0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740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807</xdr:row>
      <xdr:rowOff>0</xdr:rowOff>
    </xdr:from>
    <xdr:to>
      <xdr:col>0</xdr:col>
      <xdr:colOff>171450</xdr:colOff>
      <xdr:row>807</xdr:row>
      <xdr:rowOff>133350</xdr:rowOff>
    </xdr:to>
    <xdr:pic>
      <xdr:nvPicPr>
        <xdr:cNvPr id="2198" name="Picture@5C\QPendientes@" descr="@5C\QPendientes@">
          <a:extLst>
            <a:ext uri="{FF2B5EF4-FFF2-40B4-BE49-F238E27FC236}">
              <a16:creationId xmlns:a16="http://schemas.microsoft.com/office/drawing/2014/main" id="{68056B03-ED18-4C95-B233-B79BD0DB4C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758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808</xdr:row>
      <xdr:rowOff>0</xdr:rowOff>
    </xdr:from>
    <xdr:to>
      <xdr:col>0</xdr:col>
      <xdr:colOff>171450</xdr:colOff>
      <xdr:row>808</xdr:row>
      <xdr:rowOff>133350</xdr:rowOff>
    </xdr:to>
    <xdr:pic>
      <xdr:nvPicPr>
        <xdr:cNvPr id="2199" name="Picture@5C\QPendientes@" descr="@5C\QPendientes@">
          <a:extLst>
            <a:ext uri="{FF2B5EF4-FFF2-40B4-BE49-F238E27FC236}">
              <a16:creationId xmlns:a16="http://schemas.microsoft.com/office/drawing/2014/main" id="{8AE9E36E-2A44-4F85-92C1-63B985B410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776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809</xdr:row>
      <xdr:rowOff>0</xdr:rowOff>
    </xdr:from>
    <xdr:to>
      <xdr:col>0</xdr:col>
      <xdr:colOff>171450</xdr:colOff>
      <xdr:row>809</xdr:row>
      <xdr:rowOff>133350</xdr:rowOff>
    </xdr:to>
    <xdr:pic>
      <xdr:nvPicPr>
        <xdr:cNvPr id="2200" name="Picture@5C\QPendientes@" descr="@5C\QPendientes@">
          <a:extLst>
            <a:ext uri="{FF2B5EF4-FFF2-40B4-BE49-F238E27FC236}">
              <a16:creationId xmlns:a16="http://schemas.microsoft.com/office/drawing/2014/main" id="{682D7823-CDC8-4A80-97CF-B793AF4A0E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794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810</xdr:row>
      <xdr:rowOff>0</xdr:rowOff>
    </xdr:from>
    <xdr:to>
      <xdr:col>0</xdr:col>
      <xdr:colOff>171450</xdr:colOff>
      <xdr:row>810</xdr:row>
      <xdr:rowOff>133350</xdr:rowOff>
    </xdr:to>
    <xdr:pic>
      <xdr:nvPicPr>
        <xdr:cNvPr id="2201" name="Picture@5C\QPendientes@" descr="@5C\QPendientes@">
          <a:extLst>
            <a:ext uri="{FF2B5EF4-FFF2-40B4-BE49-F238E27FC236}">
              <a16:creationId xmlns:a16="http://schemas.microsoft.com/office/drawing/2014/main" id="{B1D07CBF-A0F9-4A51-8B73-EC16161E04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813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811</xdr:row>
      <xdr:rowOff>0</xdr:rowOff>
    </xdr:from>
    <xdr:to>
      <xdr:col>0</xdr:col>
      <xdr:colOff>171450</xdr:colOff>
      <xdr:row>811</xdr:row>
      <xdr:rowOff>133350</xdr:rowOff>
    </xdr:to>
    <xdr:pic>
      <xdr:nvPicPr>
        <xdr:cNvPr id="2202" name="Picture@5C\QPendientes@" descr="@5C\QPendientes@">
          <a:extLst>
            <a:ext uri="{FF2B5EF4-FFF2-40B4-BE49-F238E27FC236}">
              <a16:creationId xmlns:a16="http://schemas.microsoft.com/office/drawing/2014/main" id="{590B189A-9605-4605-89CE-F4D4957806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831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812</xdr:row>
      <xdr:rowOff>0</xdr:rowOff>
    </xdr:from>
    <xdr:to>
      <xdr:col>0</xdr:col>
      <xdr:colOff>171450</xdr:colOff>
      <xdr:row>812</xdr:row>
      <xdr:rowOff>133350</xdr:rowOff>
    </xdr:to>
    <xdr:pic>
      <xdr:nvPicPr>
        <xdr:cNvPr id="2203" name="Picture@5C\QPendientes@" descr="@5C\QPendientes@">
          <a:extLst>
            <a:ext uri="{FF2B5EF4-FFF2-40B4-BE49-F238E27FC236}">
              <a16:creationId xmlns:a16="http://schemas.microsoft.com/office/drawing/2014/main" id="{8D62C10D-699E-4A6C-82F2-B745DD9123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849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813</xdr:row>
      <xdr:rowOff>0</xdr:rowOff>
    </xdr:from>
    <xdr:to>
      <xdr:col>0</xdr:col>
      <xdr:colOff>171450</xdr:colOff>
      <xdr:row>813</xdr:row>
      <xdr:rowOff>133350</xdr:rowOff>
    </xdr:to>
    <xdr:pic>
      <xdr:nvPicPr>
        <xdr:cNvPr id="2204" name="Picture@5C\QPendientes@" descr="@5C\QPendientes@">
          <a:extLst>
            <a:ext uri="{FF2B5EF4-FFF2-40B4-BE49-F238E27FC236}">
              <a16:creationId xmlns:a16="http://schemas.microsoft.com/office/drawing/2014/main" id="{16FAC7CC-E89F-4C70-809C-2BA56B22BE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868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814</xdr:row>
      <xdr:rowOff>0</xdr:rowOff>
    </xdr:from>
    <xdr:to>
      <xdr:col>0</xdr:col>
      <xdr:colOff>171450</xdr:colOff>
      <xdr:row>814</xdr:row>
      <xdr:rowOff>133350</xdr:rowOff>
    </xdr:to>
    <xdr:pic>
      <xdr:nvPicPr>
        <xdr:cNvPr id="2205" name="Picture@5C\QPendientes@" descr="@5C\QPendientes@">
          <a:extLst>
            <a:ext uri="{FF2B5EF4-FFF2-40B4-BE49-F238E27FC236}">
              <a16:creationId xmlns:a16="http://schemas.microsoft.com/office/drawing/2014/main" id="{24AFD809-85E6-4F8F-9055-CCE314F482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886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815</xdr:row>
      <xdr:rowOff>0</xdr:rowOff>
    </xdr:from>
    <xdr:to>
      <xdr:col>0</xdr:col>
      <xdr:colOff>171450</xdr:colOff>
      <xdr:row>815</xdr:row>
      <xdr:rowOff>133350</xdr:rowOff>
    </xdr:to>
    <xdr:pic>
      <xdr:nvPicPr>
        <xdr:cNvPr id="2206" name="Picture@5C\QPendientes@" descr="@5C\QPendientes@">
          <a:extLst>
            <a:ext uri="{FF2B5EF4-FFF2-40B4-BE49-F238E27FC236}">
              <a16:creationId xmlns:a16="http://schemas.microsoft.com/office/drawing/2014/main" id="{F65EF3B2-D060-4D87-AF3B-ED51A89CEC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904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816</xdr:row>
      <xdr:rowOff>0</xdr:rowOff>
    </xdr:from>
    <xdr:to>
      <xdr:col>0</xdr:col>
      <xdr:colOff>171450</xdr:colOff>
      <xdr:row>816</xdr:row>
      <xdr:rowOff>133350</xdr:rowOff>
    </xdr:to>
    <xdr:pic>
      <xdr:nvPicPr>
        <xdr:cNvPr id="2207" name="Picture@5C\QPendientes@" descr="@5C\QPendientes@">
          <a:extLst>
            <a:ext uri="{FF2B5EF4-FFF2-40B4-BE49-F238E27FC236}">
              <a16:creationId xmlns:a16="http://schemas.microsoft.com/office/drawing/2014/main" id="{6815021A-3D11-42D9-A848-C910FF0AD9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923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817</xdr:row>
      <xdr:rowOff>0</xdr:rowOff>
    </xdr:from>
    <xdr:to>
      <xdr:col>0</xdr:col>
      <xdr:colOff>171450</xdr:colOff>
      <xdr:row>817</xdr:row>
      <xdr:rowOff>133350</xdr:rowOff>
    </xdr:to>
    <xdr:pic>
      <xdr:nvPicPr>
        <xdr:cNvPr id="2208" name="Picture@5C\QPendientes@" descr="@5C\QPendientes@">
          <a:extLst>
            <a:ext uri="{FF2B5EF4-FFF2-40B4-BE49-F238E27FC236}">
              <a16:creationId xmlns:a16="http://schemas.microsoft.com/office/drawing/2014/main" id="{3E9D95FD-1581-4035-AB30-BCFD83D13A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941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818</xdr:row>
      <xdr:rowOff>0</xdr:rowOff>
    </xdr:from>
    <xdr:to>
      <xdr:col>0</xdr:col>
      <xdr:colOff>171450</xdr:colOff>
      <xdr:row>818</xdr:row>
      <xdr:rowOff>133350</xdr:rowOff>
    </xdr:to>
    <xdr:pic>
      <xdr:nvPicPr>
        <xdr:cNvPr id="2209" name="Picture@5C\QPendientes@" descr="@5C\QPendientes@">
          <a:extLst>
            <a:ext uri="{FF2B5EF4-FFF2-40B4-BE49-F238E27FC236}">
              <a16:creationId xmlns:a16="http://schemas.microsoft.com/office/drawing/2014/main" id="{C590B114-EE90-4CE6-9229-6F4F7454E5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959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819</xdr:row>
      <xdr:rowOff>0</xdr:rowOff>
    </xdr:from>
    <xdr:to>
      <xdr:col>0</xdr:col>
      <xdr:colOff>171450</xdr:colOff>
      <xdr:row>819</xdr:row>
      <xdr:rowOff>133350</xdr:rowOff>
    </xdr:to>
    <xdr:pic>
      <xdr:nvPicPr>
        <xdr:cNvPr id="2210" name="Picture@5C\QPendientes@" descr="@5C\QPendientes@">
          <a:extLst>
            <a:ext uri="{FF2B5EF4-FFF2-40B4-BE49-F238E27FC236}">
              <a16:creationId xmlns:a16="http://schemas.microsoft.com/office/drawing/2014/main" id="{2CDA7E1C-4131-4715-9781-FBAB7CC1DD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977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820</xdr:row>
      <xdr:rowOff>0</xdr:rowOff>
    </xdr:from>
    <xdr:to>
      <xdr:col>0</xdr:col>
      <xdr:colOff>171450</xdr:colOff>
      <xdr:row>820</xdr:row>
      <xdr:rowOff>133350</xdr:rowOff>
    </xdr:to>
    <xdr:pic>
      <xdr:nvPicPr>
        <xdr:cNvPr id="2211" name="Picture@5C\QPendientes@" descr="@5C\QPendientes@">
          <a:extLst>
            <a:ext uri="{FF2B5EF4-FFF2-40B4-BE49-F238E27FC236}">
              <a16:creationId xmlns:a16="http://schemas.microsoft.com/office/drawing/2014/main" id="{30A8C216-1B7F-4E2E-9B69-5AFE7CD326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996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821</xdr:row>
      <xdr:rowOff>0</xdr:rowOff>
    </xdr:from>
    <xdr:to>
      <xdr:col>0</xdr:col>
      <xdr:colOff>171450</xdr:colOff>
      <xdr:row>821</xdr:row>
      <xdr:rowOff>133350</xdr:rowOff>
    </xdr:to>
    <xdr:pic>
      <xdr:nvPicPr>
        <xdr:cNvPr id="2212" name="Picture@5C\QPendientes@" descr="@5C\QPendientes@">
          <a:extLst>
            <a:ext uri="{FF2B5EF4-FFF2-40B4-BE49-F238E27FC236}">
              <a16:creationId xmlns:a16="http://schemas.microsoft.com/office/drawing/2014/main" id="{972F1100-2307-4ED4-AD5F-E77A5E0350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014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822</xdr:row>
      <xdr:rowOff>0</xdr:rowOff>
    </xdr:from>
    <xdr:to>
      <xdr:col>0</xdr:col>
      <xdr:colOff>171450</xdr:colOff>
      <xdr:row>822</xdr:row>
      <xdr:rowOff>133350</xdr:rowOff>
    </xdr:to>
    <xdr:pic>
      <xdr:nvPicPr>
        <xdr:cNvPr id="2213" name="Picture@5C\QPendientes@" descr="@5C\QPendientes@">
          <a:extLst>
            <a:ext uri="{FF2B5EF4-FFF2-40B4-BE49-F238E27FC236}">
              <a16:creationId xmlns:a16="http://schemas.microsoft.com/office/drawing/2014/main" id="{22E1FB3B-0438-4CB7-A4E5-8EC46E90D1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032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823</xdr:row>
      <xdr:rowOff>0</xdr:rowOff>
    </xdr:from>
    <xdr:to>
      <xdr:col>0</xdr:col>
      <xdr:colOff>171450</xdr:colOff>
      <xdr:row>823</xdr:row>
      <xdr:rowOff>133350</xdr:rowOff>
    </xdr:to>
    <xdr:pic>
      <xdr:nvPicPr>
        <xdr:cNvPr id="2214" name="Picture@5C\QPendientes@" descr="@5C\QPendientes@">
          <a:extLst>
            <a:ext uri="{FF2B5EF4-FFF2-40B4-BE49-F238E27FC236}">
              <a16:creationId xmlns:a16="http://schemas.microsoft.com/office/drawing/2014/main" id="{1FB85B03-2088-4569-A314-FF8710BA3D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051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824</xdr:row>
      <xdr:rowOff>0</xdr:rowOff>
    </xdr:from>
    <xdr:to>
      <xdr:col>0</xdr:col>
      <xdr:colOff>171450</xdr:colOff>
      <xdr:row>824</xdr:row>
      <xdr:rowOff>133350</xdr:rowOff>
    </xdr:to>
    <xdr:pic>
      <xdr:nvPicPr>
        <xdr:cNvPr id="2215" name="Picture@5C\QPendientes@" descr="@5C\QPendientes@">
          <a:extLst>
            <a:ext uri="{FF2B5EF4-FFF2-40B4-BE49-F238E27FC236}">
              <a16:creationId xmlns:a16="http://schemas.microsoft.com/office/drawing/2014/main" id="{211B69A0-9B04-4B9C-88A0-155C4D34E8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069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825</xdr:row>
      <xdr:rowOff>0</xdr:rowOff>
    </xdr:from>
    <xdr:to>
      <xdr:col>0</xdr:col>
      <xdr:colOff>171450</xdr:colOff>
      <xdr:row>825</xdr:row>
      <xdr:rowOff>133350</xdr:rowOff>
    </xdr:to>
    <xdr:pic>
      <xdr:nvPicPr>
        <xdr:cNvPr id="2216" name="Picture@5C\QPendientes@" descr="@5C\QPendientes@">
          <a:extLst>
            <a:ext uri="{FF2B5EF4-FFF2-40B4-BE49-F238E27FC236}">
              <a16:creationId xmlns:a16="http://schemas.microsoft.com/office/drawing/2014/main" id="{7FF5A6FD-CAF2-4052-A0B6-319B2A6B3D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087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826</xdr:row>
      <xdr:rowOff>0</xdr:rowOff>
    </xdr:from>
    <xdr:to>
      <xdr:col>0</xdr:col>
      <xdr:colOff>171450</xdr:colOff>
      <xdr:row>826</xdr:row>
      <xdr:rowOff>133350</xdr:rowOff>
    </xdr:to>
    <xdr:pic>
      <xdr:nvPicPr>
        <xdr:cNvPr id="2217" name="Picture@5C\QPendientes@" descr="@5C\QPendientes@">
          <a:extLst>
            <a:ext uri="{FF2B5EF4-FFF2-40B4-BE49-F238E27FC236}">
              <a16:creationId xmlns:a16="http://schemas.microsoft.com/office/drawing/2014/main" id="{78ACC9E2-68EF-4115-83A0-77627A6434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105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827</xdr:row>
      <xdr:rowOff>0</xdr:rowOff>
    </xdr:from>
    <xdr:to>
      <xdr:col>0</xdr:col>
      <xdr:colOff>171450</xdr:colOff>
      <xdr:row>827</xdr:row>
      <xdr:rowOff>133350</xdr:rowOff>
    </xdr:to>
    <xdr:pic>
      <xdr:nvPicPr>
        <xdr:cNvPr id="2218" name="Picture@5C\QPendientes@" descr="@5C\QPendientes@">
          <a:extLst>
            <a:ext uri="{FF2B5EF4-FFF2-40B4-BE49-F238E27FC236}">
              <a16:creationId xmlns:a16="http://schemas.microsoft.com/office/drawing/2014/main" id="{6C46B2D2-1B3D-4B8F-BA82-13DF7457A9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124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828</xdr:row>
      <xdr:rowOff>0</xdr:rowOff>
    </xdr:from>
    <xdr:to>
      <xdr:col>0</xdr:col>
      <xdr:colOff>171450</xdr:colOff>
      <xdr:row>828</xdr:row>
      <xdr:rowOff>133350</xdr:rowOff>
    </xdr:to>
    <xdr:pic>
      <xdr:nvPicPr>
        <xdr:cNvPr id="2219" name="Picture@5C\QPendientes@" descr="@5C\QPendientes@">
          <a:extLst>
            <a:ext uri="{FF2B5EF4-FFF2-40B4-BE49-F238E27FC236}">
              <a16:creationId xmlns:a16="http://schemas.microsoft.com/office/drawing/2014/main" id="{758B3F74-2742-436D-B8B5-E9C20D1C67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142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829</xdr:row>
      <xdr:rowOff>0</xdr:rowOff>
    </xdr:from>
    <xdr:to>
      <xdr:col>0</xdr:col>
      <xdr:colOff>171450</xdr:colOff>
      <xdr:row>829</xdr:row>
      <xdr:rowOff>133350</xdr:rowOff>
    </xdr:to>
    <xdr:pic>
      <xdr:nvPicPr>
        <xdr:cNvPr id="2220" name="Picture@5C\QPendientes@" descr="@5C\QPendientes@">
          <a:extLst>
            <a:ext uri="{FF2B5EF4-FFF2-40B4-BE49-F238E27FC236}">
              <a16:creationId xmlns:a16="http://schemas.microsoft.com/office/drawing/2014/main" id="{49F05302-BF8D-4424-9C9B-5BBB110153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160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830</xdr:row>
      <xdr:rowOff>0</xdr:rowOff>
    </xdr:from>
    <xdr:to>
      <xdr:col>0</xdr:col>
      <xdr:colOff>171450</xdr:colOff>
      <xdr:row>830</xdr:row>
      <xdr:rowOff>133350</xdr:rowOff>
    </xdr:to>
    <xdr:pic>
      <xdr:nvPicPr>
        <xdr:cNvPr id="2221" name="Picture@5C\QPendientes@" descr="@5C\QPendientes@">
          <a:extLst>
            <a:ext uri="{FF2B5EF4-FFF2-40B4-BE49-F238E27FC236}">
              <a16:creationId xmlns:a16="http://schemas.microsoft.com/office/drawing/2014/main" id="{F557F92B-0F08-40EA-AB2A-EF2568DE00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179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831</xdr:row>
      <xdr:rowOff>0</xdr:rowOff>
    </xdr:from>
    <xdr:to>
      <xdr:col>0</xdr:col>
      <xdr:colOff>171450</xdr:colOff>
      <xdr:row>831</xdr:row>
      <xdr:rowOff>133350</xdr:rowOff>
    </xdr:to>
    <xdr:pic>
      <xdr:nvPicPr>
        <xdr:cNvPr id="2222" name="Picture@5C\QPendientes@" descr="@5C\QPendientes@">
          <a:extLst>
            <a:ext uri="{FF2B5EF4-FFF2-40B4-BE49-F238E27FC236}">
              <a16:creationId xmlns:a16="http://schemas.microsoft.com/office/drawing/2014/main" id="{2E38B442-4CC7-4DA2-98D6-3B23A1D4E8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197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832</xdr:row>
      <xdr:rowOff>0</xdr:rowOff>
    </xdr:from>
    <xdr:to>
      <xdr:col>0</xdr:col>
      <xdr:colOff>171450</xdr:colOff>
      <xdr:row>832</xdr:row>
      <xdr:rowOff>133350</xdr:rowOff>
    </xdr:to>
    <xdr:pic>
      <xdr:nvPicPr>
        <xdr:cNvPr id="2223" name="Picture@5C\QPendientes@" descr="@5C\QPendientes@">
          <a:extLst>
            <a:ext uri="{FF2B5EF4-FFF2-40B4-BE49-F238E27FC236}">
              <a16:creationId xmlns:a16="http://schemas.microsoft.com/office/drawing/2014/main" id="{A5CB3E2A-ED3E-4C27-BFBC-C93CEC1A4E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215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833</xdr:row>
      <xdr:rowOff>0</xdr:rowOff>
    </xdr:from>
    <xdr:to>
      <xdr:col>0</xdr:col>
      <xdr:colOff>171450</xdr:colOff>
      <xdr:row>833</xdr:row>
      <xdr:rowOff>133350</xdr:rowOff>
    </xdr:to>
    <xdr:pic>
      <xdr:nvPicPr>
        <xdr:cNvPr id="2224" name="Picture@5C\QPendientes@" descr="@5C\QPendientes@">
          <a:extLst>
            <a:ext uri="{FF2B5EF4-FFF2-40B4-BE49-F238E27FC236}">
              <a16:creationId xmlns:a16="http://schemas.microsoft.com/office/drawing/2014/main" id="{65082642-FE87-42A4-8542-561C039CB7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233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834</xdr:row>
      <xdr:rowOff>0</xdr:rowOff>
    </xdr:from>
    <xdr:to>
      <xdr:col>0</xdr:col>
      <xdr:colOff>171450</xdr:colOff>
      <xdr:row>834</xdr:row>
      <xdr:rowOff>133350</xdr:rowOff>
    </xdr:to>
    <xdr:pic>
      <xdr:nvPicPr>
        <xdr:cNvPr id="2225" name="Picture@5C\QPendientes@" descr="@5C\QPendientes@">
          <a:extLst>
            <a:ext uri="{FF2B5EF4-FFF2-40B4-BE49-F238E27FC236}">
              <a16:creationId xmlns:a16="http://schemas.microsoft.com/office/drawing/2014/main" id="{9E2511BC-6CF3-4C08-B7A4-76BD1ACD8D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252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835</xdr:row>
      <xdr:rowOff>0</xdr:rowOff>
    </xdr:from>
    <xdr:to>
      <xdr:col>0</xdr:col>
      <xdr:colOff>171450</xdr:colOff>
      <xdr:row>835</xdr:row>
      <xdr:rowOff>133350</xdr:rowOff>
    </xdr:to>
    <xdr:pic>
      <xdr:nvPicPr>
        <xdr:cNvPr id="2226" name="Picture@5C\QPendientes@" descr="@5C\QPendientes@">
          <a:extLst>
            <a:ext uri="{FF2B5EF4-FFF2-40B4-BE49-F238E27FC236}">
              <a16:creationId xmlns:a16="http://schemas.microsoft.com/office/drawing/2014/main" id="{EF6F2E09-7460-4F87-A180-9387988714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270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836</xdr:row>
      <xdr:rowOff>0</xdr:rowOff>
    </xdr:from>
    <xdr:to>
      <xdr:col>0</xdr:col>
      <xdr:colOff>171450</xdr:colOff>
      <xdr:row>836</xdr:row>
      <xdr:rowOff>133350</xdr:rowOff>
    </xdr:to>
    <xdr:pic>
      <xdr:nvPicPr>
        <xdr:cNvPr id="2227" name="Picture@5C\QPendientes@" descr="@5C\QPendientes@">
          <a:extLst>
            <a:ext uri="{FF2B5EF4-FFF2-40B4-BE49-F238E27FC236}">
              <a16:creationId xmlns:a16="http://schemas.microsoft.com/office/drawing/2014/main" id="{5625B664-A5DA-4F25-AFE4-8635724540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288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837</xdr:row>
      <xdr:rowOff>0</xdr:rowOff>
    </xdr:from>
    <xdr:to>
      <xdr:col>0</xdr:col>
      <xdr:colOff>171450</xdr:colOff>
      <xdr:row>837</xdr:row>
      <xdr:rowOff>133350</xdr:rowOff>
    </xdr:to>
    <xdr:pic>
      <xdr:nvPicPr>
        <xdr:cNvPr id="2228" name="Picture@5C\QPendientes@" descr="@5C\QPendientes@">
          <a:extLst>
            <a:ext uri="{FF2B5EF4-FFF2-40B4-BE49-F238E27FC236}">
              <a16:creationId xmlns:a16="http://schemas.microsoft.com/office/drawing/2014/main" id="{B84AF9E6-5005-49A3-A7D7-8F51A38DE9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307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838</xdr:row>
      <xdr:rowOff>0</xdr:rowOff>
    </xdr:from>
    <xdr:to>
      <xdr:col>0</xdr:col>
      <xdr:colOff>171450</xdr:colOff>
      <xdr:row>838</xdr:row>
      <xdr:rowOff>133350</xdr:rowOff>
    </xdr:to>
    <xdr:pic>
      <xdr:nvPicPr>
        <xdr:cNvPr id="2229" name="Picture@5C\QPendientes@" descr="@5C\QPendientes@">
          <a:extLst>
            <a:ext uri="{FF2B5EF4-FFF2-40B4-BE49-F238E27FC236}">
              <a16:creationId xmlns:a16="http://schemas.microsoft.com/office/drawing/2014/main" id="{55868DE5-A448-4574-BFF7-801D94DC94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325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839</xdr:row>
      <xdr:rowOff>0</xdr:rowOff>
    </xdr:from>
    <xdr:to>
      <xdr:col>0</xdr:col>
      <xdr:colOff>171450</xdr:colOff>
      <xdr:row>839</xdr:row>
      <xdr:rowOff>133350</xdr:rowOff>
    </xdr:to>
    <xdr:pic>
      <xdr:nvPicPr>
        <xdr:cNvPr id="2230" name="Picture@5C\QPendientes@" descr="@5C\QPendientes@">
          <a:extLst>
            <a:ext uri="{FF2B5EF4-FFF2-40B4-BE49-F238E27FC236}">
              <a16:creationId xmlns:a16="http://schemas.microsoft.com/office/drawing/2014/main" id="{8D23E467-51BC-4891-99CE-DE9164BB24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343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840</xdr:row>
      <xdr:rowOff>0</xdr:rowOff>
    </xdr:from>
    <xdr:to>
      <xdr:col>0</xdr:col>
      <xdr:colOff>171450</xdr:colOff>
      <xdr:row>840</xdr:row>
      <xdr:rowOff>133350</xdr:rowOff>
    </xdr:to>
    <xdr:pic>
      <xdr:nvPicPr>
        <xdr:cNvPr id="2231" name="Picture@5C\QPendientes@" descr="@5C\QPendientes@">
          <a:extLst>
            <a:ext uri="{FF2B5EF4-FFF2-40B4-BE49-F238E27FC236}">
              <a16:creationId xmlns:a16="http://schemas.microsoft.com/office/drawing/2014/main" id="{850CF72D-BCCA-4484-AB02-0368F7528D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361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841</xdr:row>
      <xdr:rowOff>0</xdr:rowOff>
    </xdr:from>
    <xdr:to>
      <xdr:col>0</xdr:col>
      <xdr:colOff>171450</xdr:colOff>
      <xdr:row>841</xdr:row>
      <xdr:rowOff>133350</xdr:rowOff>
    </xdr:to>
    <xdr:pic>
      <xdr:nvPicPr>
        <xdr:cNvPr id="2232" name="Picture@5C\QPendientes@" descr="@5C\QPendientes@">
          <a:extLst>
            <a:ext uri="{FF2B5EF4-FFF2-40B4-BE49-F238E27FC236}">
              <a16:creationId xmlns:a16="http://schemas.microsoft.com/office/drawing/2014/main" id="{CC1DF0D9-6640-4BE6-8F7A-C3BAA485F0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380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842</xdr:row>
      <xdr:rowOff>0</xdr:rowOff>
    </xdr:from>
    <xdr:to>
      <xdr:col>0</xdr:col>
      <xdr:colOff>171450</xdr:colOff>
      <xdr:row>842</xdr:row>
      <xdr:rowOff>133350</xdr:rowOff>
    </xdr:to>
    <xdr:pic>
      <xdr:nvPicPr>
        <xdr:cNvPr id="2233" name="Picture@5C\QPendientes@" descr="@5C\QPendientes@">
          <a:extLst>
            <a:ext uri="{FF2B5EF4-FFF2-40B4-BE49-F238E27FC236}">
              <a16:creationId xmlns:a16="http://schemas.microsoft.com/office/drawing/2014/main" id="{0DDAF8EF-211F-452C-BA31-7E7B68CA64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398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843</xdr:row>
      <xdr:rowOff>0</xdr:rowOff>
    </xdr:from>
    <xdr:to>
      <xdr:col>0</xdr:col>
      <xdr:colOff>171450</xdr:colOff>
      <xdr:row>843</xdr:row>
      <xdr:rowOff>133350</xdr:rowOff>
    </xdr:to>
    <xdr:pic>
      <xdr:nvPicPr>
        <xdr:cNvPr id="2234" name="Picture@5C\QPendientes@" descr="@5C\QPendientes@">
          <a:extLst>
            <a:ext uri="{FF2B5EF4-FFF2-40B4-BE49-F238E27FC236}">
              <a16:creationId xmlns:a16="http://schemas.microsoft.com/office/drawing/2014/main" id="{2FDE436F-F8A9-460B-B981-5BCE9023A2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416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844</xdr:row>
      <xdr:rowOff>0</xdr:rowOff>
    </xdr:from>
    <xdr:to>
      <xdr:col>0</xdr:col>
      <xdr:colOff>171450</xdr:colOff>
      <xdr:row>844</xdr:row>
      <xdr:rowOff>133350</xdr:rowOff>
    </xdr:to>
    <xdr:pic>
      <xdr:nvPicPr>
        <xdr:cNvPr id="2235" name="Picture@5C\QPendientes@" descr="@5C\QPendientes@">
          <a:extLst>
            <a:ext uri="{FF2B5EF4-FFF2-40B4-BE49-F238E27FC236}">
              <a16:creationId xmlns:a16="http://schemas.microsoft.com/office/drawing/2014/main" id="{E0AA70C2-DF5F-44E5-9D54-81B17CE8BA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435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845</xdr:row>
      <xdr:rowOff>0</xdr:rowOff>
    </xdr:from>
    <xdr:to>
      <xdr:col>0</xdr:col>
      <xdr:colOff>171450</xdr:colOff>
      <xdr:row>845</xdr:row>
      <xdr:rowOff>133350</xdr:rowOff>
    </xdr:to>
    <xdr:pic>
      <xdr:nvPicPr>
        <xdr:cNvPr id="2236" name="Picture@5C\QPendientes@" descr="@5C\QPendientes@">
          <a:extLst>
            <a:ext uri="{FF2B5EF4-FFF2-40B4-BE49-F238E27FC236}">
              <a16:creationId xmlns:a16="http://schemas.microsoft.com/office/drawing/2014/main" id="{7B535D2C-4DB8-4B07-ADA0-DE9629392C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453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846</xdr:row>
      <xdr:rowOff>0</xdr:rowOff>
    </xdr:from>
    <xdr:to>
      <xdr:col>0</xdr:col>
      <xdr:colOff>171450</xdr:colOff>
      <xdr:row>846</xdr:row>
      <xdr:rowOff>133350</xdr:rowOff>
    </xdr:to>
    <xdr:pic>
      <xdr:nvPicPr>
        <xdr:cNvPr id="2237" name="Picture@5C\QPendientes@" descr="@5C\QPendientes@">
          <a:extLst>
            <a:ext uri="{FF2B5EF4-FFF2-40B4-BE49-F238E27FC236}">
              <a16:creationId xmlns:a16="http://schemas.microsoft.com/office/drawing/2014/main" id="{2930ABB9-6DCC-4FD4-904F-A147BF506D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471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847</xdr:row>
      <xdr:rowOff>0</xdr:rowOff>
    </xdr:from>
    <xdr:to>
      <xdr:col>0</xdr:col>
      <xdr:colOff>171450</xdr:colOff>
      <xdr:row>847</xdr:row>
      <xdr:rowOff>133350</xdr:rowOff>
    </xdr:to>
    <xdr:pic>
      <xdr:nvPicPr>
        <xdr:cNvPr id="2238" name="Picture@5C\QPendientes@" descr="@5C\QPendientes@">
          <a:extLst>
            <a:ext uri="{FF2B5EF4-FFF2-40B4-BE49-F238E27FC236}">
              <a16:creationId xmlns:a16="http://schemas.microsoft.com/office/drawing/2014/main" id="{14089517-C87E-41A8-94F0-436BEB58B6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489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848</xdr:row>
      <xdr:rowOff>0</xdr:rowOff>
    </xdr:from>
    <xdr:to>
      <xdr:col>0</xdr:col>
      <xdr:colOff>171450</xdr:colOff>
      <xdr:row>848</xdr:row>
      <xdr:rowOff>133350</xdr:rowOff>
    </xdr:to>
    <xdr:pic>
      <xdr:nvPicPr>
        <xdr:cNvPr id="2239" name="Picture@5C\QPendientes@" descr="@5C\QPendientes@">
          <a:extLst>
            <a:ext uri="{FF2B5EF4-FFF2-40B4-BE49-F238E27FC236}">
              <a16:creationId xmlns:a16="http://schemas.microsoft.com/office/drawing/2014/main" id="{C5DD3EC7-4C7C-475B-B21F-A5D1E97A78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508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849</xdr:row>
      <xdr:rowOff>0</xdr:rowOff>
    </xdr:from>
    <xdr:to>
      <xdr:col>0</xdr:col>
      <xdr:colOff>171450</xdr:colOff>
      <xdr:row>849</xdr:row>
      <xdr:rowOff>133350</xdr:rowOff>
    </xdr:to>
    <xdr:pic>
      <xdr:nvPicPr>
        <xdr:cNvPr id="2240" name="Picture@5C\QPendientes@" descr="@5C\QPendientes@">
          <a:extLst>
            <a:ext uri="{FF2B5EF4-FFF2-40B4-BE49-F238E27FC236}">
              <a16:creationId xmlns:a16="http://schemas.microsoft.com/office/drawing/2014/main" id="{6617FECE-1A57-47ED-BBAA-50EB10132F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526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850</xdr:row>
      <xdr:rowOff>0</xdr:rowOff>
    </xdr:from>
    <xdr:to>
      <xdr:col>0</xdr:col>
      <xdr:colOff>171450</xdr:colOff>
      <xdr:row>850</xdr:row>
      <xdr:rowOff>133350</xdr:rowOff>
    </xdr:to>
    <xdr:pic>
      <xdr:nvPicPr>
        <xdr:cNvPr id="2241" name="Picture@5C\QPendientes@" descr="@5C\QPendientes@">
          <a:extLst>
            <a:ext uri="{FF2B5EF4-FFF2-40B4-BE49-F238E27FC236}">
              <a16:creationId xmlns:a16="http://schemas.microsoft.com/office/drawing/2014/main" id="{4B905900-DE60-4C2F-9280-7E6922D0EA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544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851</xdr:row>
      <xdr:rowOff>0</xdr:rowOff>
    </xdr:from>
    <xdr:to>
      <xdr:col>0</xdr:col>
      <xdr:colOff>171450</xdr:colOff>
      <xdr:row>851</xdr:row>
      <xdr:rowOff>133350</xdr:rowOff>
    </xdr:to>
    <xdr:pic>
      <xdr:nvPicPr>
        <xdr:cNvPr id="2242" name="Picture@5C\QPendientes@" descr="@5C\QPendientes@">
          <a:extLst>
            <a:ext uri="{FF2B5EF4-FFF2-40B4-BE49-F238E27FC236}">
              <a16:creationId xmlns:a16="http://schemas.microsoft.com/office/drawing/2014/main" id="{3C96C4D6-2501-4D55-AC37-9F54F905F4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563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852</xdr:row>
      <xdr:rowOff>0</xdr:rowOff>
    </xdr:from>
    <xdr:to>
      <xdr:col>0</xdr:col>
      <xdr:colOff>171450</xdr:colOff>
      <xdr:row>852</xdr:row>
      <xdr:rowOff>133350</xdr:rowOff>
    </xdr:to>
    <xdr:pic>
      <xdr:nvPicPr>
        <xdr:cNvPr id="2243" name="Picture@5C\QPendientes@" descr="@5C\QPendientes@">
          <a:extLst>
            <a:ext uri="{FF2B5EF4-FFF2-40B4-BE49-F238E27FC236}">
              <a16:creationId xmlns:a16="http://schemas.microsoft.com/office/drawing/2014/main" id="{2ED53914-70A1-427B-82C4-4EAF08CDAA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581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853</xdr:row>
      <xdr:rowOff>0</xdr:rowOff>
    </xdr:from>
    <xdr:to>
      <xdr:col>0</xdr:col>
      <xdr:colOff>171450</xdr:colOff>
      <xdr:row>853</xdr:row>
      <xdr:rowOff>133350</xdr:rowOff>
    </xdr:to>
    <xdr:pic>
      <xdr:nvPicPr>
        <xdr:cNvPr id="2244" name="Picture@5C\QPendientes@" descr="@5C\QPendientes@">
          <a:extLst>
            <a:ext uri="{FF2B5EF4-FFF2-40B4-BE49-F238E27FC236}">
              <a16:creationId xmlns:a16="http://schemas.microsoft.com/office/drawing/2014/main" id="{5543D3A5-BC8F-4507-B9B8-6419B5C44D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599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854</xdr:row>
      <xdr:rowOff>0</xdr:rowOff>
    </xdr:from>
    <xdr:to>
      <xdr:col>0</xdr:col>
      <xdr:colOff>171450</xdr:colOff>
      <xdr:row>854</xdr:row>
      <xdr:rowOff>133350</xdr:rowOff>
    </xdr:to>
    <xdr:pic>
      <xdr:nvPicPr>
        <xdr:cNvPr id="2245" name="Picture@5C\QPendientes@" descr="@5C\QPendientes@">
          <a:extLst>
            <a:ext uri="{FF2B5EF4-FFF2-40B4-BE49-F238E27FC236}">
              <a16:creationId xmlns:a16="http://schemas.microsoft.com/office/drawing/2014/main" id="{A525911E-9787-4436-B8B7-0E0D72FDE6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617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855</xdr:row>
      <xdr:rowOff>0</xdr:rowOff>
    </xdr:from>
    <xdr:to>
      <xdr:col>0</xdr:col>
      <xdr:colOff>171450</xdr:colOff>
      <xdr:row>855</xdr:row>
      <xdr:rowOff>133350</xdr:rowOff>
    </xdr:to>
    <xdr:pic>
      <xdr:nvPicPr>
        <xdr:cNvPr id="2246" name="Picture@5C\QPendientes@" descr="@5C\QPendientes@">
          <a:extLst>
            <a:ext uri="{FF2B5EF4-FFF2-40B4-BE49-F238E27FC236}">
              <a16:creationId xmlns:a16="http://schemas.microsoft.com/office/drawing/2014/main" id="{4C1A767E-E52E-43F9-85FC-7388507CF6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636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856</xdr:row>
      <xdr:rowOff>0</xdr:rowOff>
    </xdr:from>
    <xdr:to>
      <xdr:col>0</xdr:col>
      <xdr:colOff>171450</xdr:colOff>
      <xdr:row>856</xdr:row>
      <xdr:rowOff>133350</xdr:rowOff>
    </xdr:to>
    <xdr:pic>
      <xdr:nvPicPr>
        <xdr:cNvPr id="2247" name="Picture@5C\QPendientes@" descr="@5C\QPendientes@">
          <a:extLst>
            <a:ext uri="{FF2B5EF4-FFF2-40B4-BE49-F238E27FC236}">
              <a16:creationId xmlns:a16="http://schemas.microsoft.com/office/drawing/2014/main" id="{E9F544D0-668C-46F9-BB87-80433B89F7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654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857</xdr:row>
      <xdr:rowOff>0</xdr:rowOff>
    </xdr:from>
    <xdr:to>
      <xdr:col>0</xdr:col>
      <xdr:colOff>171450</xdr:colOff>
      <xdr:row>857</xdr:row>
      <xdr:rowOff>133350</xdr:rowOff>
    </xdr:to>
    <xdr:pic>
      <xdr:nvPicPr>
        <xdr:cNvPr id="2248" name="Picture@5C\QPendientes@" descr="@5C\QPendientes@">
          <a:extLst>
            <a:ext uri="{FF2B5EF4-FFF2-40B4-BE49-F238E27FC236}">
              <a16:creationId xmlns:a16="http://schemas.microsoft.com/office/drawing/2014/main" id="{9744D371-4CE9-422D-AB63-134892A5B7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672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858</xdr:row>
      <xdr:rowOff>0</xdr:rowOff>
    </xdr:from>
    <xdr:to>
      <xdr:col>0</xdr:col>
      <xdr:colOff>171450</xdr:colOff>
      <xdr:row>858</xdr:row>
      <xdr:rowOff>133350</xdr:rowOff>
    </xdr:to>
    <xdr:pic>
      <xdr:nvPicPr>
        <xdr:cNvPr id="2249" name="Picture@5C\QPendientes@" descr="@5C\QPendientes@">
          <a:extLst>
            <a:ext uri="{FF2B5EF4-FFF2-40B4-BE49-F238E27FC236}">
              <a16:creationId xmlns:a16="http://schemas.microsoft.com/office/drawing/2014/main" id="{75B4873C-606F-4DFA-998C-17F27AA28B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691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859</xdr:row>
      <xdr:rowOff>0</xdr:rowOff>
    </xdr:from>
    <xdr:to>
      <xdr:col>0</xdr:col>
      <xdr:colOff>171450</xdr:colOff>
      <xdr:row>859</xdr:row>
      <xdr:rowOff>133350</xdr:rowOff>
    </xdr:to>
    <xdr:pic>
      <xdr:nvPicPr>
        <xdr:cNvPr id="2250" name="Picture@5C\QPendientes@" descr="@5C\QPendientes@">
          <a:extLst>
            <a:ext uri="{FF2B5EF4-FFF2-40B4-BE49-F238E27FC236}">
              <a16:creationId xmlns:a16="http://schemas.microsoft.com/office/drawing/2014/main" id="{1327F0DA-112D-425E-9656-5AB0F3B5FA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709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860</xdr:row>
      <xdr:rowOff>0</xdr:rowOff>
    </xdr:from>
    <xdr:to>
      <xdr:col>0</xdr:col>
      <xdr:colOff>171450</xdr:colOff>
      <xdr:row>860</xdr:row>
      <xdr:rowOff>133350</xdr:rowOff>
    </xdr:to>
    <xdr:pic>
      <xdr:nvPicPr>
        <xdr:cNvPr id="2251" name="Picture@5C\QPendientes@" descr="@5C\QPendientes@">
          <a:extLst>
            <a:ext uri="{FF2B5EF4-FFF2-40B4-BE49-F238E27FC236}">
              <a16:creationId xmlns:a16="http://schemas.microsoft.com/office/drawing/2014/main" id="{18988D93-8174-437D-AD15-57F45B9147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727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861</xdr:row>
      <xdr:rowOff>0</xdr:rowOff>
    </xdr:from>
    <xdr:to>
      <xdr:col>0</xdr:col>
      <xdr:colOff>171450</xdr:colOff>
      <xdr:row>861</xdr:row>
      <xdr:rowOff>133350</xdr:rowOff>
    </xdr:to>
    <xdr:pic>
      <xdr:nvPicPr>
        <xdr:cNvPr id="2252" name="Picture@5C\QPendientes@" descr="@5C\QPendientes@">
          <a:extLst>
            <a:ext uri="{FF2B5EF4-FFF2-40B4-BE49-F238E27FC236}">
              <a16:creationId xmlns:a16="http://schemas.microsoft.com/office/drawing/2014/main" id="{FA4B0D21-C20B-43B9-8C81-2D43A0A027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745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862</xdr:row>
      <xdr:rowOff>0</xdr:rowOff>
    </xdr:from>
    <xdr:to>
      <xdr:col>0</xdr:col>
      <xdr:colOff>171450</xdr:colOff>
      <xdr:row>862</xdr:row>
      <xdr:rowOff>133350</xdr:rowOff>
    </xdr:to>
    <xdr:pic>
      <xdr:nvPicPr>
        <xdr:cNvPr id="2253" name="Picture@5C\QPendientes@" descr="@5C\QPendientes@">
          <a:extLst>
            <a:ext uri="{FF2B5EF4-FFF2-40B4-BE49-F238E27FC236}">
              <a16:creationId xmlns:a16="http://schemas.microsoft.com/office/drawing/2014/main" id="{C20F7AC5-C2D3-46DC-A948-28960AFAC5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764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863</xdr:row>
      <xdr:rowOff>0</xdr:rowOff>
    </xdr:from>
    <xdr:to>
      <xdr:col>0</xdr:col>
      <xdr:colOff>171450</xdr:colOff>
      <xdr:row>863</xdr:row>
      <xdr:rowOff>133350</xdr:rowOff>
    </xdr:to>
    <xdr:pic>
      <xdr:nvPicPr>
        <xdr:cNvPr id="2254" name="Picture@5C\QPendientes@" descr="@5C\QPendientes@">
          <a:extLst>
            <a:ext uri="{FF2B5EF4-FFF2-40B4-BE49-F238E27FC236}">
              <a16:creationId xmlns:a16="http://schemas.microsoft.com/office/drawing/2014/main" id="{53D045BE-3E71-4B3D-B880-B691396DAF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782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864</xdr:row>
      <xdr:rowOff>0</xdr:rowOff>
    </xdr:from>
    <xdr:to>
      <xdr:col>0</xdr:col>
      <xdr:colOff>171450</xdr:colOff>
      <xdr:row>864</xdr:row>
      <xdr:rowOff>133350</xdr:rowOff>
    </xdr:to>
    <xdr:pic>
      <xdr:nvPicPr>
        <xdr:cNvPr id="2255" name="Picture@5C\QPendientes@" descr="@5C\QPendientes@">
          <a:extLst>
            <a:ext uri="{FF2B5EF4-FFF2-40B4-BE49-F238E27FC236}">
              <a16:creationId xmlns:a16="http://schemas.microsoft.com/office/drawing/2014/main" id="{DEB100C6-9479-45CA-A6A2-F695B270B5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800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865</xdr:row>
      <xdr:rowOff>0</xdr:rowOff>
    </xdr:from>
    <xdr:to>
      <xdr:col>0</xdr:col>
      <xdr:colOff>171450</xdr:colOff>
      <xdr:row>865</xdr:row>
      <xdr:rowOff>133350</xdr:rowOff>
    </xdr:to>
    <xdr:pic>
      <xdr:nvPicPr>
        <xdr:cNvPr id="2256" name="Picture@5C\QPendientes@" descr="@5C\QPendientes@">
          <a:extLst>
            <a:ext uri="{FF2B5EF4-FFF2-40B4-BE49-F238E27FC236}">
              <a16:creationId xmlns:a16="http://schemas.microsoft.com/office/drawing/2014/main" id="{6BAB52AF-11F3-466C-A9D0-3158499A92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819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866</xdr:row>
      <xdr:rowOff>0</xdr:rowOff>
    </xdr:from>
    <xdr:to>
      <xdr:col>0</xdr:col>
      <xdr:colOff>171450</xdr:colOff>
      <xdr:row>866</xdr:row>
      <xdr:rowOff>133350</xdr:rowOff>
    </xdr:to>
    <xdr:pic>
      <xdr:nvPicPr>
        <xdr:cNvPr id="2257" name="Picture@5C\QPendientes@" descr="@5C\QPendientes@">
          <a:extLst>
            <a:ext uri="{FF2B5EF4-FFF2-40B4-BE49-F238E27FC236}">
              <a16:creationId xmlns:a16="http://schemas.microsoft.com/office/drawing/2014/main" id="{DB3C38B8-F6DD-40A8-B274-7ECECA455D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837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867</xdr:row>
      <xdr:rowOff>0</xdr:rowOff>
    </xdr:from>
    <xdr:to>
      <xdr:col>0</xdr:col>
      <xdr:colOff>171450</xdr:colOff>
      <xdr:row>867</xdr:row>
      <xdr:rowOff>133350</xdr:rowOff>
    </xdr:to>
    <xdr:pic>
      <xdr:nvPicPr>
        <xdr:cNvPr id="2258" name="Picture@5C\QPendientes@" descr="@5C\QPendientes@">
          <a:extLst>
            <a:ext uri="{FF2B5EF4-FFF2-40B4-BE49-F238E27FC236}">
              <a16:creationId xmlns:a16="http://schemas.microsoft.com/office/drawing/2014/main" id="{7D043865-72E6-4436-9C4D-FB2A57D1D3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855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868</xdr:row>
      <xdr:rowOff>0</xdr:rowOff>
    </xdr:from>
    <xdr:to>
      <xdr:col>0</xdr:col>
      <xdr:colOff>171450</xdr:colOff>
      <xdr:row>868</xdr:row>
      <xdr:rowOff>133350</xdr:rowOff>
    </xdr:to>
    <xdr:pic>
      <xdr:nvPicPr>
        <xdr:cNvPr id="2259" name="Picture@5C\QPendientes@" descr="@5C\QPendientes@">
          <a:extLst>
            <a:ext uri="{FF2B5EF4-FFF2-40B4-BE49-F238E27FC236}">
              <a16:creationId xmlns:a16="http://schemas.microsoft.com/office/drawing/2014/main" id="{E7E9175A-0990-420F-A7F3-F97FD6C652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873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869</xdr:row>
      <xdr:rowOff>0</xdr:rowOff>
    </xdr:from>
    <xdr:to>
      <xdr:col>0</xdr:col>
      <xdr:colOff>171450</xdr:colOff>
      <xdr:row>869</xdr:row>
      <xdr:rowOff>133350</xdr:rowOff>
    </xdr:to>
    <xdr:pic>
      <xdr:nvPicPr>
        <xdr:cNvPr id="2260" name="Picture@5C\QPendientes@" descr="@5C\QPendientes@">
          <a:extLst>
            <a:ext uri="{FF2B5EF4-FFF2-40B4-BE49-F238E27FC236}">
              <a16:creationId xmlns:a16="http://schemas.microsoft.com/office/drawing/2014/main" id="{06F7C48F-674A-4012-A756-3F942A6074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892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870</xdr:row>
      <xdr:rowOff>0</xdr:rowOff>
    </xdr:from>
    <xdr:to>
      <xdr:col>0</xdr:col>
      <xdr:colOff>171450</xdr:colOff>
      <xdr:row>870</xdr:row>
      <xdr:rowOff>133350</xdr:rowOff>
    </xdr:to>
    <xdr:pic>
      <xdr:nvPicPr>
        <xdr:cNvPr id="2261" name="Picture@5C\QPendientes@" descr="@5C\QPendientes@">
          <a:extLst>
            <a:ext uri="{FF2B5EF4-FFF2-40B4-BE49-F238E27FC236}">
              <a16:creationId xmlns:a16="http://schemas.microsoft.com/office/drawing/2014/main" id="{EB746275-9293-446C-8B17-6016FF2949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910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871</xdr:row>
      <xdr:rowOff>0</xdr:rowOff>
    </xdr:from>
    <xdr:to>
      <xdr:col>0</xdr:col>
      <xdr:colOff>171450</xdr:colOff>
      <xdr:row>871</xdr:row>
      <xdr:rowOff>133350</xdr:rowOff>
    </xdr:to>
    <xdr:pic>
      <xdr:nvPicPr>
        <xdr:cNvPr id="2262" name="Picture@5C\QPendientes@" descr="@5C\QPendientes@">
          <a:extLst>
            <a:ext uri="{FF2B5EF4-FFF2-40B4-BE49-F238E27FC236}">
              <a16:creationId xmlns:a16="http://schemas.microsoft.com/office/drawing/2014/main" id="{4E3B6E41-2596-420A-9386-778046CDEF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928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872</xdr:row>
      <xdr:rowOff>0</xdr:rowOff>
    </xdr:from>
    <xdr:to>
      <xdr:col>0</xdr:col>
      <xdr:colOff>171450</xdr:colOff>
      <xdr:row>872</xdr:row>
      <xdr:rowOff>133350</xdr:rowOff>
    </xdr:to>
    <xdr:pic>
      <xdr:nvPicPr>
        <xdr:cNvPr id="2263" name="Picture@5C\QPendientes@" descr="@5C\QPendientes@">
          <a:extLst>
            <a:ext uri="{FF2B5EF4-FFF2-40B4-BE49-F238E27FC236}">
              <a16:creationId xmlns:a16="http://schemas.microsoft.com/office/drawing/2014/main" id="{7762E961-8F1C-4270-BA03-A409714EEB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947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873</xdr:row>
      <xdr:rowOff>0</xdr:rowOff>
    </xdr:from>
    <xdr:to>
      <xdr:col>0</xdr:col>
      <xdr:colOff>171450</xdr:colOff>
      <xdr:row>873</xdr:row>
      <xdr:rowOff>133350</xdr:rowOff>
    </xdr:to>
    <xdr:pic>
      <xdr:nvPicPr>
        <xdr:cNvPr id="2264" name="Picture@5C\QPendientes@" descr="@5C\QPendientes@">
          <a:extLst>
            <a:ext uri="{FF2B5EF4-FFF2-40B4-BE49-F238E27FC236}">
              <a16:creationId xmlns:a16="http://schemas.microsoft.com/office/drawing/2014/main" id="{297A7799-50B4-4E28-8CCF-5ECA19B97A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965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874</xdr:row>
      <xdr:rowOff>0</xdr:rowOff>
    </xdr:from>
    <xdr:to>
      <xdr:col>0</xdr:col>
      <xdr:colOff>171450</xdr:colOff>
      <xdr:row>874</xdr:row>
      <xdr:rowOff>133350</xdr:rowOff>
    </xdr:to>
    <xdr:pic>
      <xdr:nvPicPr>
        <xdr:cNvPr id="2265" name="Picture@5C\QPendientes@" descr="@5C\QPendientes@">
          <a:extLst>
            <a:ext uri="{FF2B5EF4-FFF2-40B4-BE49-F238E27FC236}">
              <a16:creationId xmlns:a16="http://schemas.microsoft.com/office/drawing/2014/main" id="{6334402B-F8A3-4D80-99C9-C7C942B65A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983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875</xdr:row>
      <xdr:rowOff>0</xdr:rowOff>
    </xdr:from>
    <xdr:to>
      <xdr:col>0</xdr:col>
      <xdr:colOff>171450</xdr:colOff>
      <xdr:row>875</xdr:row>
      <xdr:rowOff>133350</xdr:rowOff>
    </xdr:to>
    <xdr:pic>
      <xdr:nvPicPr>
        <xdr:cNvPr id="2266" name="Picture@5C\QPendientes@" descr="@5C\QPendientes@">
          <a:extLst>
            <a:ext uri="{FF2B5EF4-FFF2-40B4-BE49-F238E27FC236}">
              <a16:creationId xmlns:a16="http://schemas.microsoft.com/office/drawing/2014/main" id="{BAB10F31-97D4-49B1-B234-12A8277D25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002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876</xdr:row>
      <xdr:rowOff>0</xdr:rowOff>
    </xdr:from>
    <xdr:to>
      <xdr:col>0</xdr:col>
      <xdr:colOff>171450</xdr:colOff>
      <xdr:row>876</xdr:row>
      <xdr:rowOff>133350</xdr:rowOff>
    </xdr:to>
    <xdr:pic>
      <xdr:nvPicPr>
        <xdr:cNvPr id="2267" name="Picture@5C\QPendientes@" descr="@5C\QPendientes@">
          <a:extLst>
            <a:ext uri="{FF2B5EF4-FFF2-40B4-BE49-F238E27FC236}">
              <a16:creationId xmlns:a16="http://schemas.microsoft.com/office/drawing/2014/main" id="{7894794F-B478-4CB4-9FEB-24EBB1B20D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020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877</xdr:row>
      <xdr:rowOff>0</xdr:rowOff>
    </xdr:from>
    <xdr:to>
      <xdr:col>0</xdr:col>
      <xdr:colOff>171450</xdr:colOff>
      <xdr:row>877</xdr:row>
      <xdr:rowOff>133350</xdr:rowOff>
    </xdr:to>
    <xdr:pic>
      <xdr:nvPicPr>
        <xdr:cNvPr id="2268" name="Picture@5C\QPendientes@" descr="@5C\QPendientes@">
          <a:extLst>
            <a:ext uri="{FF2B5EF4-FFF2-40B4-BE49-F238E27FC236}">
              <a16:creationId xmlns:a16="http://schemas.microsoft.com/office/drawing/2014/main" id="{78C96731-4C35-44D7-81A8-86409566F5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038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878</xdr:row>
      <xdr:rowOff>0</xdr:rowOff>
    </xdr:from>
    <xdr:to>
      <xdr:col>0</xdr:col>
      <xdr:colOff>171450</xdr:colOff>
      <xdr:row>878</xdr:row>
      <xdr:rowOff>133350</xdr:rowOff>
    </xdr:to>
    <xdr:pic>
      <xdr:nvPicPr>
        <xdr:cNvPr id="2269" name="Picture@5C\QPendientes@" descr="@5C\QPendientes@">
          <a:extLst>
            <a:ext uri="{FF2B5EF4-FFF2-40B4-BE49-F238E27FC236}">
              <a16:creationId xmlns:a16="http://schemas.microsoft.com/office/drawing/2014/main" id="{DB975613-AB4D-40EF-AEEB-DD143E1684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056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879</xdr:row>
      <xdr:rowOff>0</xdr:rowOff>
    </xdr:from>
    <xdr:to>
      <xdr:col>0</xdr:col>
      <xdr:colOff>171450</xdr:colOff>
      <xdr:row>879</xdr:row>
      <xdr:rowOff>133350</xdr:rowOff>
    </xdr:to>
    <xdr:pic>
      <xdr:nvPicPr>
        <xdr:cNvPr id="2270" name="Picture@5C\QPendientes@" descr="@5C\QPendientes@">
          <a:extLst>
            <a:ext uri="{FF2B5EF4-FFF2-40B4-BE49-F238E27FC236}">
              <a16:creationId xmlns:a16="http://schemas.microsoft.com/office/drawing/2014/main" id="{B523C210-A88D-42D4-8C41-37792F6BE5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075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880</xdr:row>
      <xdr:rowOff>0</xdr:rowOff>
    </xdr:from>
    <xdr:to>
      <xdr:col>0</xdr:col>
      <xdr:colOff>171450</xdr:colOff>
      <xdr:row>880</xdr:row>
      <xdr:rowOff>133350</xdr:rowOff>
    </xdr:to>
    <xdr:pic>
      <xdr:nvPicPr>
        <xdr:cNvPr id="2271" name="Picture@5C\QPendientes@" descr="@5C\QPendientes@">
          <a:extLst>
            <a:ext uri="{FF2B5EF4-FFF2-40B4-BE49-F238E27FC236}">
              <a16:creationId xmlns:a16="http://schemas.microsoft.com/office/drawing/2014/main" id="{5C29BDD3-6F37-4A07-BEF3-008A7B0D0B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093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881</xdr:row>
      <xdr:rowOff>0</xdr:rowOff>
    </xdr:from>
    <xdr:to>
      <xdr:col>0</xdr:col>
      <xdr:colOff>171450</xdr:colOff>
      <xdr:row>881</xdr:row>
      <xdr:rowOff>133350</xdr:rowOff>
    </xdr:to>
    <xdr:pic>
      <xdr:nvPicPr>
        <xdr:cNvPr id="2272" name="Picture@5C\QPendientes@" descr="@5C\QPendientes@">
          <a:extLst>
            <a:ext uri="{FF2B5EF4-FFF2-40B4-BE49-F238E27FC236}">
              <a16:creationId xmlns:a16="http://schemas.microsoft.com/office/drawing/2014/main" id="{388BFAA2-9014-441A-B1B7-8018BFF388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111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882</xdr:row>
      <xdr:rowOff>0</xdr:rowOff>
    </xdr:from>
    <xdr:to>
      <xdr:col>0</xdr:col>
      <xdr:colOff>171450</xdr:colOff>
      <xdr:row>882</xdr:row>
      <xdr:rowOff>133350</xdr:rowOff>
    </xdr:to>
    <xdr:pic>
      <xdr:nvPicPr>
        <xdr:cNvPr id="2273" name="Picture@5C\QPendientes@" descr="@5C\QPendientes@">
          <a:extLst>
            <a:ext uri="{FF2B5EF4-FFF2-40B4-BE49-F238E27FC236}">
              <a16:creationId xmlns:a16="http://schemas.microsoft.com/office/drawing/2014/main" id="{7EF99D3B-9967-4084-B12B-AC1C26F3AD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130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883</xdr:row>
      <xdr:rowOff>0</xdr:rowOff>
    </xdr:from>
    <xdr:to>
      <xdr:col>0</xdr:col>
      <xdr:colOff>171450</xdr:colOff>
      <xdr:row>883</xdr:row>
      <xdr:rowOff>133350</xdr:rowOff>
    </xdr:to>
    <xdr:pic>
      <xdr:nvPicPr>
        <xdr:cNvPr id="2274" name="Picture@5C\QPendientes@" descr="@5C\QPendientes@">
          <a:extLst>
            <a:ext uri="{FF2B5EF4-FFF2-40B4-BE49-F238E27FC236}">
              <a16:creationId xmlns:a16="http://schemas.microsoft.com/office/drawing/2014/main" id="{18C27472-552F-4A9D-B9F2-A860C1EA58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148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884</xdr:row>
      <xdr:rowOff>0</xdr:rowOff>
    </xdr:from>
    <xdr:to>
      <xdr:col>0</xdr:col>
      <xdr:colOff>171450</xdr:colOff>
      <xdr:row>884</xdr:row>
      <xdr:rowOff>133350</xdr:rowOff>
    </xdr:to>
    <xdr:pic>
      <xdr:nvPicPr>
        <xdr:cNvPr id="2275" name="Picture@5C\QPendientes@" descr="@5C\QPendientes@">
          <a:extLst>
            <a:ext uri="{FF2B5EF4-FFF2-40B4-BE49-F238E27FC236}">
              <a16:creationId xmlns:a16="http://schemas.microsoft.com/office/drawing/2014/main" id="{8C146F52-835D-461F-A2EF-B9B5B8632D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166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885</xdr:row>
      <xdr:rowOff>0</xdr:rowOff>
    </xdr:from>
    <xdr:to>
      <xdr:col>0</xdr:col>
      <xdr:colOff>171450</xdr:colOff>
      <xdr:row>885</xdr:row>
      <xdr:rowOff>133350</xdr:rowOff>
    </xdr:to>
    <xdr:pic>
      <xdr:nvPicPr>
        <xdr:cNvPr id="2276" name="Picture@5C\QPendientes@" descr="@5C\QPendientes@">
          <a:extLst>
            <a:ext uri="{FF2B5EF4-FFF2-40B4-BE49-F238E27FC236}">
              <a16:creationId xmlns:a16="http://schemas.microsoft.com/office/drawing/2014/main" id="{F978E380-885C-4833-A87A-16FC85C380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184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886</xdr:row>
      <xdr:rowOff>0</xdr:rowOff>
    </xdr:from>
    <xdr:to>
      <xdr:col>0</xdr:col>
      <xdr:colOff>171450</xdr:colOff>
      <xdr:row>886</xdr:row>
      <xdr:rowOff>133350</xdr:rowOff>
    </xdr:to>
    <xdr:pic>
      <xdr:nvPicPr>
        <xdr:cNvPr id="2277" name="Picture@5C\QPendientes@" descr="@5C\QPendientes@">
          <a:extLst>
            <a:ext uri="{FF2B5EF4-FFF2-40B4-BE49-F238E27FC236}">
              <a16:creationId xmlns:a16="http://schemas.microsoft.com/office/drawing/2014/main" id="{B2C7D84A-B66D-4E66-8395-189608984D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203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887</xdr:row>
      <xdr:rowOff>0</xdr:rowOff>
    </xdr:from>
    <xdr:to>
      <xdr:col>0</xdr:col>
      <xdr:colOff>171450</xdr:colOff>
      <xdr:row>887</xdr:row>
      <xdr:rowOff>133350</xdr:rowOff>
    </xdr:to>
    <xdr:pic>
      <xdr:nvPicPr>
        <xdr:cNvPr id="2278" name="Picture@5C\QPendientes@" descr="@5C\QPendientes@">
          <a:extLst>
            <a:ext uri="{FF2B5EF4-FFF2-40B4-BE49-F238E27FC236}">
              <a16:creationId xmlns:a16="http://schemas.microsoft.com/office/drawing/2014/main" id="{0F5C2DB6-8B11-4C0E-92C0-07DF3666DC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221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888</xdr:row>
      <xdr:rowOff>0</xdr:rowOff>
    </xdr:from>
    <xdr:to>
      <xdr:col>0</xdr:col>
      <xdr:colOff>171450</xdr:colOff>
      <xdr:row>888</xdr:row>
      <xdr:rowOff>133350</xdr:rowOff>
    </xdr:to>
    <xdr:pic>
      <xdr:nvPicPr>
        <xdr:cNvPr id="2279" name="Picture@5C\QPendientes@" descr="@5C\QPendientes@">
          <a:extLst>
            <a:ext uri="{FF2B5EF4-FFF2-40B4-BE49-F238E27FC236}">
              <a16:creationId xmlns:a16="http://schemas.microsoft.com/office/drawing/2014/main" id="{4C697B1C-B7BB-4A32-B63B-ED9B21DC4B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239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889</xdr:row>
      <xdr:rowOff>0</xdr:rowOff>
    </xdr:from>
    <xdr:to>
      <xdr:col>0</xdr:col>
      <xdr:colOff>171450</xdr:colOff>
      <xdr:row>889</xdr:row>
      <xdr:rowOff>133350</xdr:rowOff>
    </xdr:to>
    <xdr:pic>
      <xdr:nvPicPr>
        <xdr:cNvPr id="2280" name="Picture@5C\QPendientes@" descr="@5C\QPendientes@">
          <a:extLst>
            <a:ext uri="{FF2B5EF4-FFF2-40B4-BE49-F238E27FC236}">
              <a16:creationId xmlns:a16="http://schemas.microsoft.com/office/drawing/2014/main" id="{317CE693-C7CB-4E5A-AAF9-10E1AB6658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258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890</xdr:row>
      <xdr:rowOff>0</xdr:rowOff>
    </xdr:from>
    <xdr:to>
      <xdr:col>0</xdr:col>
      <xdr:colOff>171450</xdr:colOff>
      <xdr:row>890</xdr:row>
      <xdr:rowOff>133350</xdr:rowOff>
    </xdr:to>
    <xdr:pic>
      <xdr:nvPicPr>
        <xdr:cNvPr id="2281" name="Picture@5C\QPendientes@" descr="@5C\QPendientes@">
          <a:extLst>
            <a:ext uri="{FF2B5EF4-FFF2-40B4-BE49-F238E27FC236}">
              <a16:creationId xmlns:a16="http://schemas.microsoft.com/office/drawing/2014/main" id="{9CE89130-526C-4D91-AFE0-6711012423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276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891</xdr:row>
      <xdr:rowOff>0</xdr:rowOff>
    </xdr:from>
    <xdr:to>
      <xdr:col>0</xdr:col>
      <xdr:colOff>171450</xdr:colOff>
      <xdr:row>891</xdr:row>
      <xdr:rowOff>133350</xdr:rowOff>
    </xdr:to>
    <xdr:pic>
      <xdr:nvPicPr>
        <xdr:cNvPr id="2282" name="Picture@5C\QPendientes@" descr="@5C\QPendientes@">
          <a:extLst>
            <a:ext uri="{FF2B5EF4-FFF2-40B4-BE49-F238E27FC236}">
              <a16:creationId xmlns:a16="http://schemas.microsoft.com/office/drawing/2014/main" id="{73656E3A-5390-4B7F-89CD-D6C3CD89C9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294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892</xdr:row>
      <xdr:rowOff>0</xdr:rowOff>
    </xdr:from>
    <xdr:to>
      <xdr:col>0</xdr:col>
      <xdr:colOff>171450</xdr:colOff>
      <xdr:row>892</xdr:row>
      <xdr:rowOff>133350</xdr:rowOff>
    </xdr:to>
    <xdr:pic>
      <xdr:nvPicPr>
        <xdr:cNvPr id="2283" name="Picture@5C\QPendientes@" descr="@5C\QPendientes@">
          <a:extLst>
            <a:ext uri="{FF2B5EF4-FFF2-40B4-BE49-F238E27FC236}">
              <a16:creationId xmlns:a16="http://schemas.microsoft.com/office/drawing/2014/main" id="{1FC490D4-F932-4213-9CFF-80D923C4AC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312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893</xdr:row>
      <xdr:rowOff>0</xdr:rowOff>
    </xdr:from>
    <xdr:to>
      <xdr:col>0</xdr:col>
      <xdr:colOff>171450</xdr:colOff>
      <xdr:row>893</xdr:row>
      <xdr:rowOff>133350</xdr:rowOff>
    </xdr:to>
    <xdr:pic>
      <xdr:nvPicPr>
        <xdr:cNvPr id="2284" name="Picture@5C\QPendientes@" descr="@5C\QPendientes@">
          <a:extLst>
            <a:ext uri="{FF2B5EF4-FFF2-40B4-BE49-F238E27FC236}">
              <a16:creationId xmlns:a16="http://schemas.microsoft.com/office/drawing/2014/main" id="{D3620AE2-D76D-4D62-B7F1-A4EDD58B2E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331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894</xdr:row>
      <xdr:rowOff>0</xdr:rowOff>
    </xdr:from>
    <xdr:to>
      <xdr:col>0</xdr:col>
      <xdr:colOff>171450</xdr:colOff>
      <xdr:row>894</xdr:row>
      <xdr:rowOff>133350</xdr:rowOff>
    </xdr:to>
    <xdr:pic>
      <xdr:nvPicPr>
        <xdr:cNvPr id="2285" name="Picture@5C\QPendientes@" descr="@5C\QPendientes@">
          <a:extLst>
            <a:ext uri="{FF2B5EF4-FFF2-40B4-BE49-F238E27FC236}">
              <a16:creationId xmlns:a16="http://schemas.microsoft.com/office/drawing/2014/main" id="{73A53E17-6581-4A9D-83F2-059A5EB92D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349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895</xdr:row>
      <xdr:rowOff>0</xdr:rowOff>
    </xdr:from>
    <xdr:to>
      <xdr:col>0</xdr:col>
      <xdr:colOff>171450</xdr:colOff>
      <xdr:row>895</xdr:row>
      <xdr:rowOff>133350</xdr:rowOff>
    </xdr:to>
    <xdr:pic>
      <xdr:nvPicPr>
        <xdr:cNvPr id="2286" name="Picture@5C\QPendientes@" descr="@5C\QPendientes@">
          <a:extLst>
            <a:ext uri="{FF2B5EF4-FFF2-40B4-BE49-F238E27FC236}">
              <a16:creationId xmlns:a16="http://schemas.microsoft.com/office/drawing/2014/main" id="{AA7C5FBA-AEBE-4C51-A014-EFBC1C3BF6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367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896</xdr:row>
      <xdr:rowOff>0</xdr:rowOff>
    </xdr:from>
    <xdr:to>
      <xdr:col>0</xdr:col>
      <xdr:colOff>171450</xdr:colOff>
      <xdr:row>896</xdr:row>
      <xdr:rowOff>133350</xdr:rowOff>
    </xdr:to>
    <xdr:pic>
      <xdr:nvPicPr>
        <xdr:cNvPr id="2287" name="Picture@5C\QPendientes@" descr="@5C\QPendientes@">
          <a:extLst>
            <a:ext uri="{FF2B5EF4-FFF2-40B4-BE49-F238E27FC236}">
              <a16:creationId xmlns:a16="http://schemas.microsoft.com/office/drawing/2014/main" id="{72C1A7E0-02AB-4EB2-97F0-BDF7A83CFC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386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897</xdr:row>
      <xdr:rowOff>0</xdr:rowOff>
    </xdr:from>
    <xdr:to>
      <xdr:col>0</xdr:col>
      <xdr:colOff>171450</xdr:colOff>
      <xdr:row>897</xdr:row>
      <xdr:rowOff>133350</xdr:rowOff>
    </xdr:to>
    <xdr:pic>
      <xdr:nvPicPr>
        <xdr:cNvPr id="2288" name="Picture@5C\QPendientes@" descr="@5C\QPendientes@">
          <a:extLst>
            <a:ext uri="{FF2B5EF4-FFF2-40B4-BE49-F238E27FC236}">
              <a16:creationId xmlns:a16="http://schemas.microsoft.com/office/drawing/2014/main" id="{4521974F-B5E7-4710-8E3E-A010DFB8CC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04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898</xdr:row>
      <xdr:rowOff>0</xdr:rowOff>
    </xdr:from>
    <xdr:to>
      <xdr:col>0</xdr:col>
      <xdr:colOff>171450</xdr:colOff>
      <xdr:row>898</xdr:row>
      <xdr:rowOff>133350</xdr:rowOff>
    </xdr:to>
    <xdr:pic>
      <xdr:nvPicPr>
        <xdr:cNvPr id="2289" name="Picture@5C\QPendientes@" descr="@5C\QPendientes@">
          <a:extLst>
            <a:ext uri="{FF2B5EF4-FFF2-40B4-BE49-F238E27FC236}">
              <a16:creationId xmlns:a16="http://schemas.microsoft.com/office/drawing/2014/main" id="{E8C8BCBF-8300-454F-9D9F-561627A29D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22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899</xdr:row>
      <xdr:rowOff>0</xdr:rowOff>
    </xdr:from>
    <xdr:to>
      <xdr:col>0</xdr:col>
      <xdr:colOff>171450</xdr:colOff>
      <xdr:row>899</xdr:row>
      <xdr:rowOff>133350</xdr:rowOff>
    </xdr:to>
    <xdr:pic>
      <xdr:nvPicPr>
        <xdr:cNvPr id="2290" name="Picture@5C\QPendientes@" descr="@5C\QPendientes@">
          <a:extLst>
            <a:ext uri="{FF2B5EF4-FFF2-40B4-BE49-F238E27FC236}">
              <a16:creationId xmlns:a16="http://schemas.microsoft.com/office/drawing/2014/main" id="{7D6ED386-D466-46F9-8304-3689A407C8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40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900</xdr:row>
      <xdr:rowOff>0</xdr:rowOff>
    </xdr:from>
    <xdr:to>
      <xdr:col>0</xdr:col>
      <xdr:colOff>171450</xdr:colOff>
      <xdr:row>900</xdr:row>
      <xdr:rowOff>133350</xdr:rowOff>
    </xdr:to>
    <xdr:pic>
      <xdr:nvPicPr>
        <xdr:cNvPr id="2291" name="Picture@5C\QPendientes@" descr="@5C\QPendientes@">
          <a:extLst>
            <a:ext uri="{FF2B5EF4-FFF2-40B4-BE49-F238E27FC236}">
              <a16:creationId xmlns:a16="http://schemas.microsoft.com/office/drawing/2014/main" id="{3147F2E9-9FD1-492C-8997-CD4CB43745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59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02"/>
  <sheetViews>
    <sheetView tabSelected="1" topLeftCell="M1" workbookViewId="0">
      <pane ySplit="1" topLeftCell="A2" activePane="bottomLeft" state="frozen"/>
      <selection pane="bottomLeft" activeCell="Z7" sqref="Z7"/>
    </sheetView>
  </sheetViews>
  <sheetFormatPr baseColWidth="10" defaultColWidth="8.88671875" defaultRowHeight="14.4" x14ac:dyDescent="0.3"/>
  <cols>
    <col min="1" max="1" width="26" bestFit="1" customWidth="1"/>
    <col min="2" max="2" width="11" bestFit="1" customWidth="1"/>
    <col min="3" max="3" width="13" bestFit="1" customWidth="1"/>
    <col min="4" max="4" width="9" bestFit="1" customWidth="1"/>
    <col min="5" max="6" width="19" bestFit="1" customWidth="1"/>
    <col min="7" max="7" width="18" bestFit="1" customWidth="1"/>
    <col min="8" max="8" width="24" bestFit="1" customWidth="1"/>
    <col min="9" max="9" width="13" bestFit="1" customWidth="1"/>
    <col min="10" max="10" width="20" bestFit="1" customWidth="1"/>
    <col min="11" max="11" width="17" bestFit="1" customWidth="1"/>
    <col min="12" max="12" width="35" bestFit="1" customWidth="1"/>
    <col min="13" max="13" width="19" bestFit="1" customWidth="1"/>
    <col min="14" max="14" width="18" bestFit="1" customWidth="1"/>
    <col min="15" max="15" width="9" bestFit="1" customWidth="1"/>
    <col min="16" max="16" width="20.109375" customWidth="1"/>
    <col min="17" max="17" width="17.77734375" style="9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740</v>
      </c>
      <c r="N1" s="1" t="s">
        <v>12</v>
      </c>
      <c r="O1" s="1" t="s">
        <v>13</v>
      </c>
      <c r="P1" t="s">
        <v>948</v>
      </c>
      <c r="Q1" s="1" t="s">
        <v>837</v>
      </c>
      <c r="R1" s="1" t="s">
        <v>838</v>
      </c>
      <c r="S1" s="1" t="s">
        <v>839</v>
      </c>
    </row>
    <row r="2" spans="1:19" x14ac:dyDescent="0.3">
      <c r="A2" s="2" t="s">
        <v>14</v>
      </c>
      <c r="B2" s="3" t="s">
        <v>14</v>
      </c>
      <c r="C2" s="3" t="s">
        <v>741</v>
      </c>
      <c r="D2" s="3" t="s">
        <v>14</v>
      </c>
      <c r="E2" s="3" t="s">
        <v>15</v>
      </c>
      <c r="F2" s="4">
        <v>46282</v>
      </c>
      <c r="G2" s="3" t="s">
        <v>16</v>
      </c>
      <c r="H2" s="5">
        <v>150320.5</v>
      </c>
      <c r="I2" s="3" t="s">
        <v>17</v>
      </c>
      <c r="J2" s="3" t="s">
        <v>18</v>
      </c>
      <c r="K2" s="3" t="s">
        <v>14</v>
      </c>
      <c r="L2" s="3" t="s">
        <v>19</v>
      </c>
      <c r="M2" s="4">
        <v>46297</v>
      </c>
      <c r="N2" s="3" t="s">
        <v>580</v>
      </c>
      <c r="O2" s="3" t="s">
        <v>34</v>
      </c>
      <c r="P2" t="str">
        <f>_xlfn.CONCAT(N2:O2)</f>
        <v>450013870910</v>
      </c>
      <c r="Q2" s="9" cm="1">
        <f t="array" ref="Q2:S2">VLOOKUP(P2,Hoja1!C:F,{2,3,4},FALSE)</f>
        <v>46287</v>
      </c>
      <c r="R2" t="str">
        <v>F10</v>
      </c>
      <c r="S2" t="str">
        <v>1000001470 SUDAMERICANA CAMIONES SA</v>
      </c>
    </row>
    <row r="3" spans="1:19" x14ac:dyDescent="0.3">
      <c r="A3" s="2" t="s">
        <v>14</v>
      </c>
      <c r="B3" s="3" t="s">
        <v>14</v>
      </c>
      <c r="C3" s="3" t="s">
        <v>741</v>
      </c>
      <c r="D3" s="3" t="s">
        <v>14</v>
      </c>
      <c r="E3" s="3" t="s">
        <v>15</v>
      </c>
      <c r="F3" s="4">
        <v>46282</v>
      </c>
      <c r="G3" s="3" t="s">
        <v>16</v>
      </c>
      <c r="H3" s="5">
        <v>600496.80000000005</v>
      </c>
      <c r="I3" s="3" t="s">
        <v>17</v>
      </c>
      <c r="J3" s="3" t="s">
        <v>18</v>
      </c>
      <c r="K3" s="3" t="s">
        <v>14</v>
      </c>
      <c r="L3" s="3" t="s">
        <v>19</v>
      </c>
      <c r="M3" s="4">
        <v>46297</v>
      </c>
      <c r="N3" s="3" t="s">
        <v>580</v>
      </c>
      <c r="O3" s="3" t="s">
        <v>21</v>
      </c>
      <c r="P3" t="str">
        <f t="shared" ref="P3:P66" si="0">_xlfn.CONCAT(N3:O3)</f>
        <v>450013870920</v>
      </c>
      <c r="Q3" s="9" cm="1">
        <f t="array" ref="Q3:S3">VLOOKUP(P3,Hoja1!C:F,{2,3,4},FALSE)</f>
        <v>46287</v>
      </c>
      <c r="R3" t="str">
        <v>F10</v>
      </c>
      <c r="S3" t="str">
        <v>1000001470 SUDAMERICANA CAMIONES SA</v>
      </c>
    </row>
    <row r="4" spans="1:19" x14ac:dyDescent="0.3">
      <c r="A4" s="2" t="s">
        <v>14</v>
      </c>
      <c r="B4" s="3" t="s">
        <v>14</v>
      </c>
      <c r="C4" s="3" t="s">
        <v>741</v>
      </c>
      <c r="D4" s="3" t="s">
        <v>14</v>
      </c>
      <c r="E4" s="3" t="s">
        <v>15</v>
      </c>
      <c r="F4" s="4">
        <v>46282</v>
      </c>
      <c r="G4" s="3" t="s">
        <v>16</v>
      </c>
      <c r="H4" s="5">
        <v>318610</v>
      </c>
      <c r="I4" s="3" t="s">
        <v>17</v>
      </c>
      <c r="J4" s="3" t="s">
        <v>18</v>
      </c>
      <c r="K4" s="3" t="s">
        <v>14</v>
      </c>
      <c r="L4" s="3" t="s">
        <v>19</v>
      </c>
      <c r="M4" s="4">
        <v>46297</v>
      </c>
      <c r="N4" s="3" t="s">
        <v>580</v>
      </c>
      <c r="O4" s="3" t="s">
        <v>22</v>
      </c>
      <c r="P4" t="str">
        <f t="shared" si="0"/>
        <v>450013870930</v>
      </c>
      <c r="Q4" s="9" cm="1">
        <f t="array" ref="Q4:S4">VLOOKUP(P4,Hoja1!C:F,{2,3,4},FALSE)</f>
        <v>46287</v>
      </c>
      <c r="R4" t="str">
        <v>F10</v>
      </c>
      <c r="S4" t="str">
        <v>1000001470 SUDAMERICANA CAMIONES SA</v>
      </c>
    </row>
    <row r="5" spans="1:19" x14ac:dyDescent="0.3">
      <c r="A5" s="2" t="s">
        <v>14</v>
      </c>
      <c r="B5" s="3" t="s">
        <v>14</v>
      </c>
      <c r="C5" s="3" t="s">
        <v>741</v>
      </c>
      <c r="D5" s="3" t="s">
        <v>14</v>
      </c>
      <c r="E5" s="3" t="s">
        <v>15</v>
      </c>
      <c r="F5" s="4">
        <v>46282</v>
      </c>
      <c r="G5" s="3" t="s">
        <v>16</v>
      </c>
      <c r="H5" s="5">
        <v>165073.20000000001</v>
      </c>
      <c r="I5" s="3" t="s">
        <v>17</v>
      </c>
      <c r="J5" s="3" t="s">
        <v>18</v>
      </c>
      <c r="K5" s="3" t="s">
        <v>14</v>
      </c>
      <c r="L5" s="3" t="s">
        <v>19</v>
      </c>
      <c r="M5" s="4">
        <v>46297</v>
      </c>
      <c r="N5" s="3" t="s">
        <v>580</v>
      </c>
      <c r="O5" s="3" t="s">
        <v>26</v>
      </c>
      <c r="P5" t="str">
        <f t="shared" si="0"/>
        <v>450013870940</v>
      </c>
      <c r="Q5" s="9" cm="1">
        <f t="array" ref="Q5:S5">VLOOKUP(P5,Hoja1!C:F,{2,3,4},FALSE)</f>
        <v>46287</v>
      </c>
      <c r="R5" t="str">
        <v>F10</v>
      </c>
      <c r="S5" t="str">
        <v>1000001470 SUDAMERICANA CAMIONES SA</v>
      </c>
    </row>
    <row r="6" spans="1:19" x14ac:dyDescent="0.3">
      <c r="A6" s="2" t="s">
        <v>14</v>
      </c>
      <c r="B6" s="3" t="s">
        <v>14</v>
      </c>
      <c r="C6" s="3" t="s">
        <v>741</v>
      </c>
      <c r="D6" s="3" t="s">
        <v>14</v>
      </c>
      <c r="E6" s="3" t="s">
        <v>15</v>
      </c>
      <c r="F6" s="4">
        <v>46282</v>
      </c>
      <c r="G6" s="3" t="s">
        <v>16</v>
      </c>
      <c r="H6" s="5">
        <v>784097.7</v>
      </c>
      <c r="I6" s="3" t="s">
        <v>17</v>
      </c>
      <c r="J6" s="3" t="s">
        <v>18</v>
      </c>
      <c r="K6" s="3" t="s">
        <v>14</v>
      </c>
      <c r="L6" s="3" t="s">
        <v>19</v>
      </c>
      <c r="M6" s="4">
        <v>46297</v>
      </c>
      <c r="N6" s="3" t="s">
        <v>580</v>
      </c>
      <c r="O6" s="3" t="s">
        <v>23</v>
      </c>
      <c r="P6" t="str">
        <f t="shared" si="0"/>
        <v>450013870950</v>
      </c>
      <c r="Q6" s="9" cm="1">
        <f t="array" ref="Q6:S6">VLOOKUP(P6,Hoja1!C:F,{2,3,4},FALSE)</f>
        <v>46287</v>
      </c>
      <c r="R6" t="str">
        <v>F10</v>
      </c>
      <c r="S6" t="str">
        <v>1000001470 SUDAMERICANA CAMIONES SA</v>
      </c>
    </row>
    <row r="7" spans="1:19" x14ac:dyDescent="0.3">
      <c r="A7" s="2" t="s">
        <v>14</v>
      </c>
      <c r="B7" s="3" t="s">
        <v>14</v>
      </c>
      <c r="C7" s="3" t="s">
        <v>741</v>
      </c>
      <c r="D7" s="3" t="s">
        <v>14</v>
      </c>
      <c r="E7" s="3" t="s">
        <v>15</v>
      </c>
      <c r="F7" s="4">
        <v>46282</v>
      </c>
      <c r="G7" s="3" t="s">
        <v>16</v>
      </c>
      <c r="H7" s="5">
        <v>1874770.7</v>
      </c>
      <c r="I7" s="3" t="s">
        <v>17</v>
      </c>
      <c r="J7" s="3" t="s">
        <v>18</v>
      </c>
      <c r="K7" s="3" t="s">
        <v>14</v>
      </c>
      <c r="L7" s="3" t="s">
        <v>19</v>
      </c>
      <c r="M7" s="4">
        <v>46297</v>
      </c>
      <c r="N7" s="3" t="s">
        <v>580</v>
      </c>
      <c r="O7" s="3" t="s">
        <v>24</v>
      </c>
      <c r="P7" t="str">
        <f t="shared" si="0"/>
        <v>450013870960</v>
      </c>
      <c r="Q7" s="9" cm="1">
        <f t="array" ref="Q7:S7">VLOOKUP(P7,Hoja1!C:F,{2,3,4},FALSE)</f>
        <v>46287</v>
      </c>
      <c r="R7" t="str">
        <v>F10</v>
      </c>
      <c r="S7" t="str">
        <v>1000001470 SUDAMERICANA CAMIONES SA</v>
      </c>
    </row>
    <row r="8" spans="1:19" x14ac:dyDescent="0.3">
      <c r="A8" s="2" t="s">
        <v>14</v>
      </c>
      <c r="B8" s="3" t="s">
        <v>14</v>
      </c>
      <c r="C8" s="3" t="s">
        <v>741</v>
      </c>
      <c r="D8" s="3" t="s">
        <v>14</v>
      </c>
      <c r="E8" s="3" t="s">
        <v>15</v>
      </c>
      <c r="F8" s="4">
        <v>46282</v>
      </c>
      <c r="G8" s="3" t="s">
        <v>16</v>
      </c>
      <c r="H8" s="5">
        <v>860835.9</v>
      </c>
      <c r="I8" s="3" t="s">
        <v>17</v>
      </c>
      <c r="J8" s="3" t="s">
        <v>18</v>
      </c>
      <c r="K8" s="3" t="s">
        <v>14</v>
      </c>
      <c r="L8" s="3" t="s">
        <v>19</v>
      </c>
      <c r="M8" s="4">
        <v>46297</v>
      </c>
      <c r="N8" s="3" t="s">
        <v>580</v>
      </c>
      <c r="O8" s="3" t="s">
        <v>25</v>
      </c>
      <c r="P8" t="str">
        <f t="shared" si="0"/>
        <v>450013870970</v>
      </c>
      <c r="Q8" s="9" cm="1">
        <f t="array" ref="Q8:S8">VLOOKUP(P8,Hoja1!C:F,{2,3,4},FALSE)</f>
        <v>46287</v>
      </c>
      <c r="R8" t="str">
        <v>F10</v>
      </c>
      <c r="S8" t="str">
        <v>1000001470 SUDAMERICANA CAMIONES SA</v>
      </c>
    </row>
    <row r="9" spans="1:19" x14ac:dyDescent="0.3">
      <c r="A9" s="2" t="s">
        <v>14</v>
      </c>
      <c r="B9" s="3" t="s">
        <v>14</v>
      </c>
      <c r="C9" s="3" t="s">
        <v>742</v>
      </c>
      <c r="D9" s="3" t="s">
        <v>14</v>
      </c>
      <c r="E9" s="3" t="s">
        <v>15</v>
      </c>
      <c r="F9" s="4">
        <v>46289</v>
      </c>
      <c r="G9" s="3" t="s">
        <v>16</v>
      </c>
      <c r="H9" s="5">
        <v>5286320.0999999996</v>
      </c>
      <c r="I9" s="3" t="s">
        <v>17</v>
      </c>
      <c r="J9" s="3" t="s">
        <v>18</v>
      </c>
      <c r="K9" s="3" t="s">
        <v>14</v>
      </c>
      <c r="L9" s="3" t="s">
        <v>105</v>
      </c>
      <c r="M9" s="4">
        <v>46297</v>
      </c>
      <c r="N9" s="3" t="s">
        <v>605</v>
      </c>
      <c r="O9" s="3" t="s">
        <v>34</v>
      </c>
      <c r="P9" t="str">
        <f t="shared" si="0"/>
        <v>450013695410</v>
      </c>
      <c r="Q9" s="9" cm="1">
        <f t="array" ref="Q9:S9">VLOOKUP(P9,Hoja1!C:F,{2,3,4},FALSE)</f>
        <v>46280</v>
      </c>
      <c r="R9" t="str">
        <v>C28</v>
      </c>
      <c r="S9" t="str">
        <v>1000011286 FERMEB SAS</v>
      </c>
    </row>
    <row r="10" spans="1:19" x14ac:dyDescent="0.3">
      <c r="A10" s="2" t="s">
        <v>14</v>
      </c>
      <c r="B10" s="3" t="s">
        <v>14</v>
      </c>
      <c r="C10" s="3" t="s">
        <v>949</v>
      </c>
      <c r="D10" s="3" t="s">
        <v>14</v>
      </c>
      <c r="E10" s="3" t="s">
        <v>15</v>
      </c>
      <c r="F10" s="4">
        <v>46295</v>
      </c>
      <c r="G10" s="3" t="s">
        <v>16</v>
      </c>
      <c r="H10" s="5">
        <v>1826292.16</v>
      </c>
      <c r="I10" s="3" t="s">
        <v>17</v>
      </c>
      <c r="J10" s="3" t="s">
        <v>18</v>
      </c>
      <c r="K10" s="3" t="s">
        <v>14</v>
      </c>
      <c r="L10" s="3" t="s">
        <v>82</v>
      </c>
      <c r="M10" s="4">
        <v>46297</v>
      </c>
      <c r="N10" s="3" t="s">
        <v>543</v>
      </c>
      <c r="O10" s="3" t="s">
        <v>34</v>
      </c>
      <c r="P10" t="str">
        <f t="shared" si="0"/>
        <v>450013764110</v>
      </c>
      <c r="Q10" s="9" cm="1">
        <f t="array" ref="Q10:S10">VLOOKUP(P10,Hoja1!C:F,{2,3,4},FALSE)</f>
        <v>46282</v>
      </c>
      <c r="R10" t="str">
        <v>F06</v>
      </c>
      <c r="S10" t="str">
        <v>1000000012 IGARRETA MAQUINAS S.A.</v>
      </c>
    </row>
    <row r="11" spans="1:19" x14ac:dyDescent="0.3">
      <c r="A11" s="2" t="s">
        <v>14</v>
      </c>
      <c r="B11" s="3" t="s">
        <v>14</v>
      </c>
      <c r="C11" s="3" t="s">
        <v>949</v>
      </c>
      <c r="D11" s="3" t="s">
        <v>14</v>
      </c>
      <c r="E11" s="3" t="s">
        <v>15</v>
      </c>
      <c r="F11" s="4">
        <v>46295</v>
      </c>
      <c r="G11" s="3" t="s">
        <v>16</v>
      </c>
      <c r="H11" s="5">
        <v>1450517.76</v>
      </c>
      <c r="I11" s="3" t="s">
        <v>17</v>
      </c>
      <c r="J11" s="3" t="s">
        <v>18</v>
      </c>
      <c r="K11" s="3" t="s">
        <v>14</v>
      </c>
      <c r="L11" s="3" t="s">
        <v>82</v>
      </c>
      <c r="M11" s="4">
        <v>46297</v>
      </c>
      <c r="N11" s="3" t="s">
        <v>543</v>
      </c>
      <c r="O11" s="3" t="s">
        <v>21</v>
      </c>
      <c r="P11" t="str">
        <f t="shared" si="0"/>
        <v>450013764120</v>
      </c>
      <c r="Q11" s="9" cm="1">
        <f t="array" ref="Q11:S11">VLOOKUP(P11,Hoja1!C:F,{2,3,4},FALSE)</f>
        <v>46282</v>
      </c>
      <c r="R11" t="str">
        <v>F06</v>
      </c>
      <c r="S11" t="str">
        <v>1000000012 IGARRETA MAQUINAS S.A.</v>
      </c>
    </row>
    <row r="12" spans="1:19" x14ac:dyDescent="0.3">
      <c r="A12" s="2" t="s">
        <v>14</v>
      </c>
      <c r="B12" s="3" t="s">
        <v>14</v>
      </c>
      <c r="C12" s="3" t="s">
        <v>949</v>
      </c>
      <c r="D12" s="3" t="s">
        <v>14</v>
      </c>
      <c r="E12" s="3" t="s">
        <v>15</v>
      </c>
      <c r="F12" s="4">
        <v>46295</v>
      </c>
      <c r="G12" s="3" t="s">
        <v>16</v>
      </c>
      <c r="H12" s="5">
        <v>1819178.24</v>
      </c>
      <c r="I12" s="3" t="s">
        <v>17</v>
      </c>
      <c r="J12" s="3" t="s">
        <v>18</v>
      </c>
      <c r="K12" s="3" t="s">
        <v>14</v>
      </c>
      <c r="L12" s="3" t="s">
        <v>82</v>
      </c>
      <c r="M12" s="4">
        <v>46297</v>
      </c>
      <c r="N12" s="3" t="s">
        <v>543</v>
      </c>
      <c r="O12" s="3" t="s">
        <v>22</v>
      </c>
      <c r="P12" t="str">
        <f t="shared" si="0"/>
        <v>450013764130</v>
      </c>
      <c r="Q12" s="9" cm="1">
        <f t="array" ref="Q12:S12">VLOOKUP(P12,Hoja1!C:F,{2,3,4},FALSE)</f>
        <v>46282</v>
      </c>
      <c r="R12" t="str">
        <v>F06</v>
      </c>
      <c r="S12" t="str">
        <v>1000000012 IGARRETA MAQUINAS S.A.</v>
      </c>
    </row>
    <row r="13" spans="1:19" x14ac:dyDescent="0.3">
      <c r="A13" s="2" t="s">
        <v>14</v>
      </c>
      <c r="B13" s="3" t="s">
        <v>14</v>
      </c>
      <c r="C13" s="3" t="s">
        <v>950</v>
      </c>
      <c r="D13" s="3" t="s">
        <v>14</v>
      </c>
      <c r="E13" s="3" t="s">
        <v>15</v>
      </c>
      <c r="F13" s="4">
        <v>46286</v>
      </c>
      <c r="G13" s="3" t="s">
        <v>16</v>
      </c>
      <c r="H13" s="5">
        <v>30415.200000000001</v>
      </c>
      <c r="I13" s="3" t="s">
        <v>17</v>
      </c>
      <c r="J13" s="3" t="s">
        <v>18</v>
      </c>
      <c r="K13" s="3" t="s">
        <v>14</v>
      </c>
      <c r="L13" s="3" t="s">
        <v>19</v>
      </c>
      <c r="M13" s="4">
        <v>46297</v>
      </c>
      <c r="N13" s="3" t="s">
        <v>828</v>
      </c>
      <c r="O13" s="3" t="s">
        <v>34</v>
      </c>
      <c r="P13" t="str">
        <f t="shared" si="0"/>
        <v>450013826610</v>
      </c>
      <c r="Q13" s="9" cm="1">
        <f t="array" ref="Q13:S13">VLOOKUP(P13,Hoja1!C:F,{2,3,4},FALSE)</f>
        <v>46295</v>
      </c>
      <c r="R13" t="str">
        <v>C03</v>
      </c>
      <c r="S13" t="str">
        <v>1000001470 SUDAMERICANA CAMIONES SA</v>
      </c>
    </row>
    <row r="14" spans="1:19" x14ac:dyDescent="0.3">
      <c r="A14" s="2" t="s">
        <v>14</v>
      </c>
      <c r="B14" s="3" t="s">
        <v>14</v>
      </c>
      <c r="C14" s="3" t="s">
        <v>950</v>
      </c>
      <c r="D14" s="3" t="s">
        <v>14</v>
      </c>
      <c r="E14" s="3" t="s">
        <v>15</v>
      </c>
      <c r="F14" s="4">
        <v>46286</v>
      </c>
      <c r="G14" s="3" t="s">
        <v>16</v>
      </c>
      <c r="H14" s="5">
        <v>88464</v>
      </c>
      <c r="I14" s="3" t="s">
        <v>17</v>
      </c>
      <c r="J14" s="3" t="s">
        <v>18</v>
      </c>
      <c r="K14" s="3" t="s">
        <v>14</v>
      </c>
      <c r="L14" s="3" t="s">
        <v>19</v>
      </c>
      <c r="M14" s="4">
        <v>46297</v>
      </c>
      <c r="N14" s="3" t="s">
        <v>828</v>
      </c>
      <c r="O14" s="3" t="s">
        <v>21</v>
      </c>
      <c r="P14" t="str">
        <f t="shared" si="0"/>
        <v>450013826620</v>
      </c>
      <c r="Q14" s="9" cm="1">
        <f t="array" ref="Q14:S14">VLOOKUP(P14,Hoja1!C:F,{2,3,4},FALSE)</f>
        <v>46295</v>
      </c>
      <c r="R14" t="str">
        <v>C03</v>
      </c>
      <c r="S14" t="str">
        <v>1000001470 SUDAMERICANA CAMIONES SA</v>
      </c>
    </row>
    <row r="15" spans="1:19" x14ac:dyDescent="0.3">
      <c r="A15" s="2" t="s">
        <v>14</v>
      </c>
      <c r="B15" s="3" t="s">
        <v>14</v>
      </c>
      <c r="C15" s="3" t="s">
        <v>950</v>
      </c>
      <c r="D15" s="3" t="s">
        <v>14</v>
      </c>
      <c r="E15" s="3" t="s">
        <v>15</v>
      </c>
      <c r="F15" s="4">
        <v>46286</v>
      </c>
      <c r="G15" s="3" t="s">
        <v>16</v>
      </c>
      <c r="H15" s="5">
        <v>345800</v>
      </c>
      <c r="I15" s="3" t="s">
        <v>17</v>
      </c>
      <c r="J15" s="3" t="s">
        <v>18</v>
      </c>
      <c r="K15" s="3" t="s">
        <v>14</v>
      </c>
      <c r="L15" s="3" t="s">
        <v>19</v>
      </c>
      <c r="M15" s="4">
        <v>46297</v>
      </c>
      <c r="N15" s="3" t="s">
        <v>828</v>
      </c>
      <c r="O15" s="3" t="s">
        <v>22</v>
      </c>
      <c r="P15" t="str">
        <f t="shared" si="0"/>
        <v>450013826630</v>
      </c>
      <c r="Q15" s="9" cm="1">
        <f t="array" ref="Q15:S15">VLOOKUP(P15,Hoja1!C:F,{2,3,4},FALSE)</f>
        <v>46295</v>
      </c>
      <c r="R15" t="str">
        <v>C03</v>
      </c>
      <c r="S15" t="str">
        <v>1000001470 SUDAMERICANA CAMIONES SA</v>
      </c>
    </row>
    <row r="16" spans="1:19" x14ac:dyDescent="0.3">
      <c r="A16" s="2" t="s">
        <v>14</v>
      </c>
      <c r="B16" s="3" t="s">
        <v>14</v>
      </c>
      <c r="C16" s="3" t="s">
        <v>950</v>
      </c>
      <c r="D16" s="3" t="s">
        <v>14</v>
      </c>
      <c r="E16" s="3" t="s">
        <v>15</v>
      </c>
      <c r="F16" s="4">
        <v>46286</v>
      </c>
      <c r="G16" s="3" t="s">
        <v>16</v>
      </c>
      <c r="H16" s="5">
        <v>891799.2</v>
      </c>
      <c r="I16" s="3" t="s">
        <v>17</v>
      </c>
      <c r="J16" s="3" t="s">
        <v>18</v>
      </c>
      <c r="K16" s="3" t="s">
        <v>14</v>
      </c>
      <c r="L16" s="3" t="s">
        <v>19</v>
      </c>
      <c r="M16" s="4">
        <v>46297</v>
      </c>
      <c r="N16" s="3" t="s">
        <v>828</v>
      </c>
      <c r="O16" s="3" t="s">
        <v>26</v>
      </c>
      <c r="P16" t="str">
        <f t="shared" si="0"/>
        <v>450013826640</v>
      </c>
      <c r="Q16" s="9" cm="1">
        <f t="array" ref="Q16:S16">VLOOKUP(P16,Hoja1!C:F,{2,3,4},FALSE)</f>
        <v>46295</v>
      </c>
      <c r="R16" t="str">
        <v>C03</v>
      </c>
      <c r="S16" t="str">
        <v>1000001470 SUDAMERICANA CAMIONES SA</v>
      </c>
    </row>
    <row r="17" spans="1:19" x14ac:dyDescent="0.3">
      <c r="A17" s="2" t="s">
        <v>14</v>
      </c>
      <c r="B17" s="3" t="s">
        <v>14</v>
      </c>
      <c r="C17" s="3" t="s">
        <v>950</v>
      </c>
      <c r="D17" s="3" t="s">
        <v>14</v>
      </c>
      <c r="E17" s="3" t="s">
        <v>15</v>
      </c>
      <c r="F17" s="4">
        <v>46286</v>
      </c>
      <c r="G17" s="3" t="s">
        <v>16</v>
      </c>
      <c r="H17" s="5">
        <v>15747.2</v>
      </c>
      <c r="I17" s="3" t="s">
        <v>17</v>
      </c>
      <c r="J17" s="3" t="s">
        <v>18</v>
      </c>
      <c r="K17" s="3" t="s">
        <v>14</v>
      </c>
      <c r="L17" s="3" t="s">
        <v>19</v>
      </c>
      <c r="M17" s="4">
        <v>46297</v>
      </c>
      <c r="N17" s="3" t="s">
        <v>828</v>
      </c>
      <c r="O17" s="3" t="s">
        <v>23</v>
      </c>
      <c r="P17" t="str">
        <f t="shared" si="0"/>
        <v>450013826650</v>
      </c>
      <c r="Q17" s="9" cm="1">
        <f t="array" ref="Q17:S17">VLOOKUP(P17,Hoja1!C:F,{2,3,4},FALSE)</f>
        <v>46295</v>
      </c>
      <c r="R17" t="str">
        <v>C03</v>
      </c>
      <c r="S17" t="str">
        <v>1000001470 SUDAMERICANA CAMIONES SA</v>
      </c>
    </row>
    <row r="18" spans="1:19" x14ac:dyDescent="0.3">
      <c r="A18" s="2" t="s">
        <v>14</v>
      </c>
      <c r="B18" s="3" t="s">
        <v>14</v>
      </c>
      <c r="C18" s="3" t="s">
        <v>950</v>
      </c>
      <c r="D18" s="3" t="s">
        <v>14</v>
      </c>
      <c r="E18" s="3" t="s">
        <v>15</v>
      </c>
      <c r="F18" s="4">
        <v>46286</v>
      </c>
      <c r="G18" s="3" t="s">
        <v>16</v>
      </c>
      <c r="H18" s="5">
        <v>38805.599999999999</v>
      </c>
      <c r="I18" s="3" t="s">
        <v>17</v>
      </c>
      <c r="J18" s="3" t="s">
        <v>18</v>
      </c>
      <c r="K18" s="3" t="s">
        <v>14</v>
      </c>
      <c r="L18" s="3" t="s">
        <v>19</v>
      </c>
      <c r="M18" s="4">
        <v>46297</v>
      </c>
      <c r="N18" s="3" t="s">
        <v>828</v>
      </c>
      <c r="O18" s="3" t="s">
        <v>24</v>
      </c>
      <c r="P18" t="str">
        <f t="shared" si="0"/>
        <v>450013826660</v>
      </c>
      <c r="Q18" s="9" cm="1">
        <f t="array" ref="Q18:S18">VLOOKUP(P18,Hoja1!C:F,{2,3,4},FALSE)</f>
        <v>46295</v>
      </c>
      <c r="R18" t="str">
        <v>C03</v>
      </c>
      <c r="S18" t="str">
        <v>1000001470 SUDAMERICANA CAMIONES SA</v>
      </c>
    </row>
    <row r="19" spans="1:19" x14ac:dyDescent="0.3">
      <c r="A19" s="2" t="s">
        <v>14</v>
      </c>
      <c r="B19" s="3" t="s">
        <v>14</v>
      </c>
      <c r="C19" s="3" t="s">
        <v>950</v>
      </c>
      <c r="D19" s="3" t="s">
        <v>14</v>
      </c>
      <c r="E19" s="3" t="s">
        <v>15</v>
      </c>
      <c r="F19" s="4">
        <v>46286</v>
      </c>
      <c r="G19" s="3" t="s">
        <v>16</v>
      </c>
      <c r="H19" s="5">
        <v>212389.6</v>
      </c>
      <c r="I19" s="3" t="s">
        <v>17</v>
      </c>
      <c r="J19" s="3" t="s">
        <v>18</v>
      </c>
      <c r="K19" s="3" t="s">
        <v>14</v>
      </c>
      <c r="L19" s="3" t="s">
        <v>19</v>
      </c>
      <c r="M19" s="4">
        <v>46297</v>
      </c>
      <c r="N19" s="3" t="s">
        <v>828</v>
      </c>
      <c r="O19" s="3" t="s">
        <v>25</v>
      </c>
      <c r="P19" t="str">
        <f t="shared" si="0"/>
        <v>450013826670</v>
      </c>
      <c r="Q19" s="9" cm="1">
        <f t="array" ref="Q19:S19">VLOOKUP(P19,Hoja1!C:F,{2,3,4},FALSE)</f>
        <v>46295</v>
      </c>
      <c r="R19" t="str">
        <v>C03</v>
      </c>
      <c r="S19" t="str">
        <v>1000001470 SUDAMERICANA CAMIONES SA</v>
      </c>
    </row>
    <row r="20" spans="1:19" x14ac:dyDescent="0.3">
      <c r="A20" s="2" t="s">
        <v>14</v>
      </c>
      <c r="B20" s="3" t="s">
        <v>14</v>
      </c>
      <c r="C20" s="3" t="s">
        <v>950</v>
      </c>
      <c r="D20" s="3" t="s">
        <v>14</v>
      </c>
      <c r="E20" s="3" t="s">
        <v>15</v>
      </c>
      <c r="F20" s="4">
        <v>46286</v>
      </c>
      <c r="G20" s="3" t="s">
        <v>16</v>
      </c>
      <c r="H20" s="5">
        <v>504336</v>
      </c>
      <c r="I20" s="3" t="s">
        <v>17</v>
      </c>
      <c r="J20" s="3" t="s">
        <v>18</v>
      </c>
      <c r="K20" s="3" t="s">
        <v>14</v>
      </c>
      <c r="L20" s="3" t="s">
        <v>19</v>
      </c>
      <c r="M20" s="4">
        <v>46297</v>
      </c>
      <c r="N20" s="3" t="s">
        <v>828</v>
      </c>
      <c r="O20" s="3" t="s">
        <v>343</v>
      </c>
      <c r="P20" t="str">
        <f t="shared" si="0"/>
        <v>450013826680</v>
      </c>
      <c r="Q20" s="9" cm="1">
        <f t="array" ref="Q20:S20">VLOOKUP(P20,Hoja1!C:F,{2,3,4},FALSE)</f>
        <v>46295</v>
      </c>
      <c r="R20" t="str">
        <v>C03</v>
      </c>
      <c r="S20" t="str">
        <v>1000001470 SUDAMERICANA CAMIONES SA</v>
      </c>
    </row>
    <row r="21" spans="1:19" x14ac:dyDescent="0.3">
      <c r="A21" s="2" t="s">
        <v>14</v>
      </c>
      <c r="B21" s="3" t="s">
        <v>14</v>
      </c>
      <c r="C21" s="3" t="s">
        <v>950</v>
      </c>
      <c r="D21" s="3" t="s">
        <v>14</v>
      </c>
      <c r="E21" s="3" t="s">
        <v>15</v>
      </c>
      <c r="F21" s="4">
        <v>46286</v>
      </c>
      <c r="G21" s="3" t="s">
        <v>16</v>
      </c>
      <c r="H21" s="5">
        <v>488467.20000000001</v>
      </c>
      <c r="I21" s="3" t="s">
        <v>17</v>
      </c>
      <c r="J21" s="3" t="s">
        <v>18</v>
      </c>
      <c r="K21" s="3" t="s">
        <v>14</v>
      </c>
      <c r="L21" s="3" t="s">
        <v>19</v>
      </c>
      <c r="M21" s="4">
        <v>46297</v>
      </c>
      <c r="N21" s="3" t="s">
        <v>828</v>
      </c>
      <c r="O21" s="3" t="s">
        <v>344</v>
      </c>
      <c r="P21" t="str">
        <f t="shared" si="0"/>
        <v>450013826690</v>
      </c>
      <c r="Q21" s="9" cm="1">
        <f t="array" ref="Q21:S21">VLOOKUP(P21,Hoja1!C:F,{2,3,4},FALSE)</f>
        <v>46295</v>
      </c>
      <c r="R21" t="str">
        <v>C03</v>
      </c>
      <c r="S21" t="str">
        <v>1000001470 SUDAMERICANA CAMIONES SA</v>
      </c>
    </row>
    <row r="22" spans="1:19" x14ac:dyDescent="0.3">
      <c r="A22" s="2" t="s">
        <v>14</v>
      </c>
      <c r="B22" s="3" t="s">
        <v>14</v>
      </c>
      <c r="C22" s="3" t="s">
        <v>950</v>
      </c>
      <c r="D22" s="3" t="s">
        <v>14</v>
      </c>
      <c r="E22" s="3" t="s">
        <v>15</v>
      </c>
      <c r="F22" s="4">
        <v>46286</v>
      </c>
      <c r="G22" s="3" t="s">
        <v>16</v>
      </c>
      <c r="H22" s="5">
        <v>1751693.6</v>
      </c>
      <c r="I22" s="3" t="s">
        <v>17</v>
      </c>
      <c r="J22" s="3" t="s">
        <v>18</v>
      </c>
      <c r="K22" s="3" t="s">
        <v>14</v>
      </c>
      <c r="L22" s="3" t="s">
        <v>19</v>
      </c>
      <c r="M22" s="4">
        <v>46297</v>
      </c>
      <c r="N22" s="3" t="s">
        <v>828</v>
      </c>
      <c r="O22" s="3" t="s">
        <v>345</v>
      </c>
      <c r="P22" t="str">
        <f t="shared" si="0"/>
        <v>4500138266100</v>
      </c>
      <c r="Q22" s="9" cm="1">
        <f t="array" ref="Q22:S22">VLOOKUP(P22,Hoja1!C:F,{2,3,4},FALSE)</f>
        <v>46295</v>
      </c>
      <c r="R22" t="str">
        <v>C03</v>
      </c>
      <c r="S22" t="str">
        <v>1000001470 SUDAMERICANA CAMIONES SA</v>
      </c>
    </row>
    <row r="23" spans="1:19" x14ac:dyDescent="0.3">
      <c r="A23" s="2" t="s">
        <v>14</v>
      </c>
      <c r="B23" s="3" t="s">
        <v>14</v>
      </c>
      <c r="C23" s="3" t="s">
        <v>950</v>
      </c>
      <c r="D23" s="3" t="s">
        <v>14</v>
      </c>
      <c r="E23" s="3" t="s">
        <v>15</v>
      </c>
      <c r="F23" s="4">
        <v>46286</v>
      </c>
      <c r="G23" s="3" t="s">
        <v>16</v>
      </c>
      <c r="H23" s="5">
        <v>2386856</v>
      </c>
      <c r="I23" s="3" t="s">
        <v>17</v>
      </c>
      <c r="J23" s="3" t="s">
        <v>18</v>
      </c>
      <c r="K23" s="3" t="s">
        <v>14</v>
      </c>
      <c r="L23" s="3" t="s">
        <v>19</v>
      </c>
      <c r="M23" s="4">
        <v>46297</v>
      </c>
      <c r="N23" s="3" t="s">
        <v>828</v>
      </c>
      <c r="O23" s="3" t="s">
        <v>193</v>
      </c>
      <c r="P23" t="str">
        <f t="shared" si="0"/>
        <v>4500138266110</v>
      </c>
      <c r="Q23" s="9" cm="1">
        <f t="array" ref="Q23:S23">VLOOKUP(P23,Hoja1!C:F,{2,3,4},FALSE)</f>
        <v>46295</v>
      </c>
      <c r="R23" t="str">
        <v>C03</v>
      </c>
      <c r="S23" t="str">
        <v>1000001470 SUDAMERICANA CAMIONES SA</v>
      </c>
    </row>
    <row r="24" spans="1:19" x14ac:dyDescent="0.3">
      <c r="A24" s="2" t="s">
        <v>14</v>
      </c>
      <c r="B24" s="3" t="s">
        <v>14</v>
      </c>
      <c r="C24" s="3" t="s">
        <v>950</v>
      </c>
      <c r="D24" s="3" t="s">
        <v>14</v>
      </c>
      <c r="E24" s="3" t="s">
        <v>15</v>
      </c>
      <c r="F24" s="4">
        <v>46286</v>
      </c>
      <c r="G24" s="3" t="s">
        <v>16</v>
      </c>
      <c r="H24" s="5">
        <v>276138.40000000002</v>
      </c>
      <c r="I24" s="3" t="s">
        <v>17</v>
      </c>
      <c r="J24" s="3" t="s">
        <v>18</v>
      </c>
      <c r="K24" s="3" t="s">
        <v>14</v>
      </c>
      <c r="L24" s="3" t="s">
        <v>19</v>
      </c>
      <c r="M24" s="4">
        <v>46297</v>
      </c>
      <c r="N24" s="3" t="s">
        <v>828</v>
      </c>
      <c r="O24" s="3" t="s">
        <v>400</v>
      </c>
      <c r="P24" t="str">
        <f t="shared" si="0"/>
        <v>4500138266120</v>
      </c>
      <c r="Q24" s="9" cm="1">
        <f t="array" ref="Q24:S24">VLOOKUP(P24,Hoja1!C:F,{2,3,4},FALSE)</f>
        <v>46295</v>
      </c>
      <c r="R24" t="str">
        <v>C03</v>
      </c>
      <c r="S24" t="str">
        <v>1000001470 SUDAMERICANA CAMIONES SA</v>
      </c>
    </row>
    <row r="25" spans="1:19" x14ac:dyDescent="0.3">
      <c r="A25" s="2" t="s">
        <v>14</v>
      </c>
      <c r="B25" s="3" t="s">
        <v>14</v>
      </c>
      <c r="C25" s="3" t="s">
        <v>950</v>
      </c>
      <c r="D25" s="3" t="s">
        <v>14</v>
      </c>
      <c r="E25" s="3" t="s">
        <v>15</v>
      </c>
      <c r="F25" s="4">
        <v>46286</v>
      </c>
      <c r="G25" s="3" t="s">
        <v>16</v>
      </c>
      <c r="H25" s="5">
        <v>132559.20000000001</v>
      </c>
      <c r="I25" s="3" t="s">
        <v>17</v>
      </c>
      <c r="J25" s="3" t="s">
        <v>18</v>
      </c>
      <c r="K25" s="3" t="s">
        <v>14</v>
      </c>
      <c r="L25" s="3" t="s">
        <v>19</v>
      </c>
      <c r="M25" s="4">
        <v>46297</v>
      </c>
      <c r="N25" s="3" t="s">
        <v>828</v>
      </c>
      <c r="O25" s="3" t="s">
        <v>221</v>
      </c>
      <c r="P25" t="str">
        <f t="shared" si="0"/>
        <v>4500138266130</v>
      </c>
      <c r="Q25" s="9" cm="1">
        <f t="array" ref="Q25:S25">VLOOKUP(P25,Hoja1!C:F,{2,3,4},FALSE)</f>
        <v>46295</v>
      </c>
      <c r="R25" t="str">
        <v>C03</v>
      </c>
      <c r="S25" t="str">
        <v>1000001470 SUDAMERICANA CAMIONES SA</v>
      </c>
    </row>
    <row r="26" spans="1:19" x14ac:dyDescent="0.3">
      <c r="A26" s="2" t="s">
        <v>14</v>
      </c>
      <c r="B26" s="3" t="s">
        <v>14</v>
      </c>
      <c r="C26" s="3" t="s">
        <v>950</v>
      </c>
      <c r="D26" s="3" t="s">
        <v>14</v>
      </c>
      <c r="E26" s="3" t="s">
        <v>15</v>
      </c>
      <c r="F26" s="4">
        <v>46286</v>
      </c>
      <c r="G26" s="3" t="s">
        <v>16</v>
      </c>
      <c r="H26" s="5">
        <v>25627.200000000001</v>
      </c>
      <c r="I26" s="3" t="s">
        <v>17</v>
      </c>
      <c r="J26" s="3" t="s">
        <v>18</v>
      </c>
      <c r="K26" s="3" t="s">
        <v>14</v>
      </c>
      <c r="L26" s="3" t="s">
        <v>19</v>
      </c>
      <c r="M26" s="4">
        <v>46297</v>
      </c>
      <c r="N26" s="3" t="s">
        <v>828</v>
      </c>
      <c r="O26" s="3" t="s">
        <v>401</v>
      </c>
      <c r="P26" t="str">
        <f t="shared" si="0"/>
        <v>4500138266140</v>
      </c>
      <c r="Q26" s="9" cm="1">
        <f t="array" ref="Q26:S26">VLOOKUP(P26,Hoja1!C:F,{2,3,4},FALSE)</f>
        <v>46295</v>
      </c>
      <c r="R26" t="str">
        <v>C03</v>
      </c>
      <c r="S26" t="str">
        <v>1000001470 SUDAMERICANA CAMIONES SA</v>
      </c>
    </row>
    <row r="27" spans="1:19" x14ac:dyDescent="0.3">
      <c r="A27" s="2" t="s">
        <v>14</v>
      </c>
      <c r="B27" s="3" t="s">
        <v>14</v>
      </c>
      <c r="C27" s="3" t="s">
        <v>950</v>
      </c>
      <c r="D27" s="3" t="s">
        <v>14</v>
      </c>
      <c r="E27" s="3" t="s">
        <v>15</v>
      </c>
      <c r="F27" s="4">
        <v>46286</v>
      </c>
      <c r="G27" s="3" t="s">
        <v>16</v>
      </c>
      <c r="H27" s="5">
        <v>688803.2</v>
      </c>
      <c r="I27" s="3" t="s">
        <v>17</v>
      </c>
      <c r="J27" s="3" t="s">
        <v>18</v>
      </c>
      <c r="K27" s="3" t="s">
        <v>14</v>
      </c>
      <c r="L27" s="3" t="s">
        <v>19</v>
      </c>
      <c r="M27" s="4">
        <v>46297</v>
      </c>
      <c r="N27" s="3" t="s">
        <v>828</v>
      </c>
      <c r="O27" s="3" t="s">
        <v>402</v>
      </c>
      <c r="P27" t="str">
        <f t="shared" si="0"/>
        <v>4500138266150</v>
      </c>
      <c r="Q27" s="9" cm="1">
        <f t="array" ref="Q27:S27">VLOOKUP(P27,Hoja1!C:F,{2,3,4},FALSE)</f>
        <v>46295</v>
      </c>
      <c r="R27" t="str">
        <v>C03</v>
      </c>
      <c r="S27" t="str">
        <v>1000001470 SUDAMERICANA CAMIONES SA</v>
      </c>
    </row>
    <row r="28" spans="1:19" x14ac:dyDescent="0.3">
      <c r="A28" s="2" t="s">
        <v>14</v>
      </c>
      <c r="B28" s="3" t="s">
        <v>14</v>
      </c>
      <c r="C28" s="3" t="s">
        <v>950</v>
      </c>
      <c r="D28" s="3" t="s">
        <v>14</v>
      </c>
      <c r="E28" s="3" t="s">
        <v>15</v>
      </c>
      <c r="F28" s="4">
        <v>46286</v>
      </c>
      <c r="G28" s="3" t="s">
        <v>16</v>
      </c>
      <c r="H28" s="5">
        <v>471108.8</v>
      </c>
      <c r="I28" s="3" t="s">
        <v>17</v>
      </c>
      <c r="J28" s="3" t="s">
        <v>18</v>
      </c>
      <c r="K28" s="3" t="s">
        <v>14</v>
      </c>
      <c r="L28" s="3" t="s">
        <v>19</v>
      </c>
      <c r="M28" s="4">
        <v>46297</v>
      </c>
      <c r="N28" s="3" t="s">
        <v>828</v>
      </c>
      <c r="O28" s="3" t="s">
        <v>403</v>
      </c>
      <c r="P28" t="str">
        <f t="shared" si="0"/>
        <v>4500138266160</v>
      </c>
      <c r="Q28" s="9" cm="1">
        <f t="array" ref="Q28:S28">VLOOKUP(P28,Hoja1!C:F,{2,3,4},FALSE)</f>
        <v>46295</v>
      </c>
      <c r="R28" t="str">
        <v>C03</v>
      </c>
      <c r="S28" t="str">
        <v>1000001470 SUDAMERICANA CAMIONES SA</v>
      </c>
    </row>
    <row r="29" spans="1:19" x14ac:dyDescent="0.3">
      <c r="A29" s="2" t="s">
        <v>14</v>
      </c>
      <c r="B29" s="3" t="s">
        <v>14</v>
      </c>
      <c r="C29" s="3" t="s">
        <v>950</v>
      </c>
      <c r="D29" s="3" t="s">
        <v>14</v>
      </c>
      <c r="E29" s="3" t="s">
        <v>15</v>
      </c>
      <c r="F29" s="4">
        <v>46286</v>
      </c>
      <c r="G29" s="3" t="s">
        <v>16</v>
      </c>
      <c r="H29" s="5">
        <v>154097.60000000001</v>
      </c>
      <c r="I29" s="3" t="s">
        <v>17</v>
      </c>
      <c r="J29" s="3" t="s">
        <v>18</v>
      </c>
      <c r="K29" s="3" t="s">
        <v>14</v>
      </c>
      <c r="L29" s="3" t="s">
        <v>19</v>
      </c>
      <c r="M29" s="4">
        <v>46297</v>
      </c>
      <c r="N29" s="3" t="s">
        <v>828</v>
      </c>
      <c r="O29" s="3" t="s">
        <v>346</v>
      </c>
      <c r="P29" t="str">
        <f t="shared" si="0"/>
        <v>4500138266170</v>
      </c>
      <c r="Q29" s="9" cm="1">
        <f t="array" ref="Q29:S29">VLOOKUP(P29,Hoja1!C:F,{2,3,4},FALSE)</f>
        <v>46295</v>
      </c>
      <c r="R29" t="str">
        <v>C03</v>
      </c>
      <c r="S29" t="str">
        <v>1000001470 SUDAMERICANA CAMIONES SA</v>
      </c>
    </row>
    <row r="30" spans="1:19" x14ac:dyDescent="0.3">
      <c r="A30" s="2" t="s">
        <v>14</v>
      </c>
      <c r="B30" s="3" t="s">
        <v>14</v>
      </c>
      <c r="C30" s="3" t="s">
        <v>950</v>
      </c>
      <c r="D30" s="3" t="s">
        <v>14</v>
      </c>
      <c r="E30" s="3" t="s">
        <v>15</v>
      </c>
      <c r="F30" s="4">
        <v>46286</v>
      </c>
      <c r="G30" s="3" t="s">
        <v>16</v>
      </c>
      <c r="H30" s="5">
        <v>1050624</v>
      </c>
      <c r="I30" s="3" t="s">
        <v>17</v>
      </c>
      <c r="J30" s="3" t="s">
        <v>18</v>
      </c>
      <c r="K30" s="3" t="s">
        <v>14</v>
      </c>
      <c r="L30" s="3" t="s">
        <v>19</v>
      </c>
      <c r="M30" s="4">
        <v>46297</v>
      </c>
      <c r="N30" s="3" t="s">
        <v>828</v>
      </c>
      <c r="O30" s="3" t="s">
        <v>347</v>
      </c>
      <c r="P30" t="str">
        <f t="shared" si="0"/>
        <v>4500138266180</v>
      </c>
      <c r="Q30" s="9" cm="1">
        <f t="array" ref="Q30:S30">VLOOKUP(P30,Hoja1!C:F,{2,3,4},FALSE)</f>
        <v>46295</v>
      </c>
      <c r="R30" t="str">
        <v>C03</v>
      </c>
      <c r="S30" t="str">
        <v>1000001470 SUDAMERICANA CAMIONES SA</v>
      </c>
    </row>
    <row r="31" spans="1:19" x14ac:dyDescent="0.3">
      <c r="A31" s="2" t="s">
        <v>14</v>
      </c>
      <c r="B31" s="3" t="s">
        <v>14</v>
      </c>
      <c r="C31" s="3" t="s">
        <v>27</v>
      </c>
      <c r="D31" s="3" t="s">
        <v>14</v>
      </c>
      <c r="E31" s="3" t="s">
        <v>28</v>
      </c>
      <c r="F31" s="4">
        <v>46013</v>
      </c>
      <c r="G31" s="3" t="s">
        <v>16</v>
      </c>
      <c r="H31" s="5">
        <v>19314.2</v>
      </c>
      <c r="I31" s="3" t="s">
        <v>17</v>
      </c>
      <c r="J31" s="3" t="s">
        <v>18</v>
      </c>
      <c r="K31" s="3" t="s">
        <v>14</v>
      </c>
      <c r="L31" s="3" t="s">
        <v>29</v>
      </c>
      <c r="M31" s="4">
        <v>46024</v>
      </c>
      <c r="N31" s="3" t="s">
        <v>30</v>
      </c>
      <c r="O31" s="3" t="s">
        <v>21</v>
      </c>
      <c r="P31" t="str">
        <f t="shared" si="0"/>
        <v>450011645120</v>
      </c>
      <c r="Q31" s="9" cm="1">
        <f t="array" ref="Q31:S31">VLOOKUP(P31,Hoja1!C:F,{2,3,4},FALSE)</f>
        <v>46042</v>
      </c>
      <c r="R31" t="str">
        <v>EFO</v>
      </c>
      <c r="S31" t="str">
        <v>1000007436 RODRIGUEZ MARTINEZ EMILIO JOAQUIN</v>
      </c>
    </row>
    <row r="32" spans="1:19" x14ac:dyDescent="0.3">
      <c r="A32" s="2" t="s">
        <v>14</v>
      </c>
      <c r="B32" s="3" t="s">
        <v>14</v>
      </c>
      <c r="C32" s="3" t="s">
        <v>31</v>
      </c>
      <c r="D32" s="3" t="s">
        <v>14</v>
      </c>
      <c r="E32" s="3" t="s">
        <v>28</v>
      </c>
      <c r="F32" s="4">
        <v>46041</v>
      </c>
      <c r="G32" s="3" t="s">
        <v>16</v>
      </c>
      <c r="H32" s="5">
        <v>50115.7</v>
      </c>
      <c r="I32" s="3" t="s">
        <v>17</v>
      </c>
      <c r="J32" s="3" t="s">
        <v>18</v>
      </c>
      <c r="K32" s="3" t="s">
        <v>14</v>
      </c>
      <c r="L32" s="3" t="s">
        <v>32</v>
      </c>
      <c r="M32" s="4">
        <v>46042</v>
      </c>
      <c r="N32" s="3" t="s">
        <v>33</v>
      </c>
      <c r="O32" s="3" t="s">
        <v>34</v>
      </c>
      <c r="P32" t="str">
        <f t="shared" si="0"/>
        <v>450011789910</v>
      </c>
      <c r="Q32" s="9" cm="1">
        <f t="array" ref="Q32:S32">VLOOKUP(P32,Hoja1!C:F,{2,3,4},FALSE)</f>
        <v>46059</v>
      </c>
      <c r="R32" t="str">
        <v>C43</v>
      </c>
      <c r="S32" t="str">
        <v>1000003696 DOBLE TRACCION SRL</v>
      </c>
    </row>
    <row r="33" spans="1:19" x14ac:dyDescent="0.3">
      <c r="A33" s="2" t="s">
        <v>14</v>
      </c>
      <c r="B33" s="3" t="s">
        <v>14</v>
      </c>
      <c r="C33" s="3" t="s">
        <v>35</v>
      </c>
      <c r="D33" s="3" t="s">
        <v>36</v>
      </c>
      <c r="E33" s="3" t="s">
        <v>28</v>
      </c>
      <c r="F33" s="4">
        <v>46051</v>
      </c>
      <c r="G33" s="3" t="s">
        <v>16</v>
      </c>
      <c r="H33" s="5">
        <v>1250000</v>
      </c>
      <c r="I33" s="3" t="s">
        <v>17</v>
      </c>
      <c r="J33" s="3" t="s">
        <v>37</v>
      </c>
      <c r="K33" s="3" t="s">
        <v>14</v>
      </c>
      <c r="L33" s="3" t="s">
        <v>38</v>
      </c>
      <c r="M33" s="4">
        <v>46052</v>
      </c>
      <c r="N33" s="3" t="s">
        <v>39</v>
      </c>
      <c r="O33" s="3" t="s">
        <v>26</v>
      </c>
      <c r="P33" t="str">
        <f t="shared" si="0"/>
        <v>450011873540</v>
      </c>
      <c r="Q33" s="9" cm="1">
        <f t="array" ref="Q33:S33">VLOOKUP(P33,Hoja1!C:F,{2,3,4},FALSE)</f>
        <v>46386</v>
      </c>
      <c r="R33" t="str">
        <v>C25</v>
      </c>
      <c r="S33" t="str">
        <v>1000012227 LOPEZ RIOS FACUNDO GABRIE</v>
      </c>
    </row>
    <row r="34" spans="1:19" x14ac:dyDescent="0.3">
      <c r="A34" s="2" t="s">
        <v>14</v>
      </c>
      <c r="B34" s="3" t="s">
        <v>14</v>
      </c>
      <c r="C34" s="3" t="s">
        <v>40</v>
      </c>
      <c r="D34" s="3" t="s">
        <v>36</v>
      </c>
      <c r="E34" s="3" t="s">
        <v>28</v>
      </c>
      <c r="F34" s="4">
        <v>46066</v>
      </c>
      <c r="G34" s="3" t="s">
        <v>16</v>
      </c>
      <c r="H34" s="5">
        <v>500000</v>
      </c>
      <c r="I34" s="3" t="s">
        <v>17</v>
      </c>
      <c r="J34" s="3" t="s">
        <v>37</v>
      </c>
      <c r="K34" s="3" t="s">
        <v>14</v>
      </c>
      <c r="L34" s="3" t="s">
        <v>38</v>
      </c>
      <c r="M34" s="4">
        <v>46066</v>
      </c>
      <c r="N34" s="3" t="s">
        <v>41</v>
      </c>
      <c r="O34" s="3" t="s">
        <v>34</v>
      </c>
      <c r="P34" t="str">
        <f t="shared" si="0"/>
        <v>450012002910</v>
      </c>
      <c r="Q34" s="9" cm="1">
        <f t="array" ref="Q34:S34">VLOOKUP(P34,Hoja1!C:F,{2,3,4},FALSE)</f>
        <v>46386</v>
      </c>
      <c r="R34" t="str">
        <v>C25</v>
      </c>
      <c r="S34" t="str">
        <v>1000012227 LOPEZ RIOS FACUNDO GABRIE</v>
      </c>
    </row>
    <row r="35" spans="1:19" x14ac:dyDescent="0.3">
      <c r="A35" s="2" t="s">
        <v>14</v>
      </c>
      <c r="B35" s="3" t="s">
        <v>14</v>
      </c>
      <c r="C35" s="3" t="s">
        <v>40</v>
      </c>
      <c r="D35" s="3" t="s">
        <v>36</v>
      </c>
      <c r="E35" s="3" t="s">
        <v>28</v>
      </c>
      <c r="F35" s="4">
        <v>46066</v>
      </c>
      <c r="G35" s="3" t="s">
        <v>16</v>
      </c>
      <c r="H35" s="5">
        <v>400000</v>
      </c>
      <c r="I35" s="3" t="s">
        <v>17</v>
      </c>
      <c r="J35" s="3" t="s">
        <v>37</v>
      </c>
      <c r="K35" s="3" t="s">
        <v>14</v>
      </c>
      <c r="L35" s="3" t="s">
        <v>38</v>
      </c>
      <c r="M35" s="4">
        <v>46066</v>
      </c>
      <c r="N35" s="3" t="s">
        <v>41</v>
      </c>
      <c r="O35" s="3" t="s">
        <v>22</v>
      </c>
      <c r="P35" t="str">
        <f t="shared" si="0"/>
        <v>450012002930</v>
      </c>
      <c r="Q35" s="9" cm="1">
        <f t="array" ref="Q35:S35">VLOOKUP(P35,Hoja1!C:F,{2,3,4},FALSE)</f>
        <v>46386</v>
      </c>
      <c r="R35" t="str">
        <v>C25</v>
      </c>
      <c r="S35" t="str">
        <v>1000012227 LOPEZ RIOS FACUNDO GABRIE</v>
      </c>
    </row>
    <row r="36" spans="1:19" x14ac:dyDescent="0.3">
      <c r="A36" s="2" t="s">
        <v>14</v>
      </c>
      <c r="B36" s="3" t="s">
        <v>14</v>
      </c>
      <c r="C36" s="3" t="s">
        <v>40</v>
      </c>
      <c r="D36" s="3" t="s">
        <v>36</v>
      </c>
      <c r="E36" s="3" t="s">
        <v>28</v>
      </c>
      <c r="F36" s="4">
        <v>46066</v>
      </c>
      <c r="G36" s="3" t="s">
        <v>16</v>
      </c>
      <c r="H36" s="5">
        <v>500000</v>
      </c>
      <c r="I36" s="3" t="s">
        <v>17</v>
      </c>
      <c r="J36" s="3" t="s">
        <v>37</v>
      </c>
      <c r="K36" s="3" t="s">
        <v>14</v>
      </c>
      <c r="L36" s="3" t="s">
        <v>38</v>
      </c>
      <c r="M36" s="4">
        <v>46066</v>
      </c>
      <c r="N36" s="3" t="s">
        <v>41</v>
      </c>
      <c r="O36" s="3" t="s">
        <v>26</v>
      </c>
      <c r="P36" t="str">
        <f t="shared" si="0"/>
        <v>450012002940</v>
      </c>
      <c r="Q36" s="9" cm="1">
        <f t="array" ref="Q36:S36">VLOOKUP(P36,Hoja1!C:F,{2,3,4},FALSE)</f>
        <v>46386</v>
      </c>
      <c r="R36" t="str">
        <v>C25</v>
      </c>
      <c r="S36" t="str">
        <v>1000012227 LOPEZ RIOS FACUNDO GABRIE</v>
      </c>
    </row>
    <row r="37" spans="1:19" x14ac:dyDescent="0.3">
      <c r="A37" s="2" t="s">
        <v>14</v>
      </c>
      <c r="B37" s="3" t="s">
        <v>14</v>
      </c>
      <c r="C37" s="3" t="s">
        <v>40</v>
      </c>
      <c r="D37" s="3" t="s">
        <v>36</v>
      </c>
      <c r="E37" s="3" t="s">
        <v>28</v>
      </c>
      <c r="F37" s="4">
        <v>46066</v>
      </c>
      <c r="G37" s="3" t="s">
        <v>16</v>
      </c>
      <c r="H37" s="5">
        <v>200000</v>
      </c>
      <c r="I37" s="3" t="s">
        <v>17</v>
      </c>
      <c r="J37" s="3" t="s">
        <v>37</v>
      </c>
      <c r="K37" s="3" t="s">
        <v>14</v>
      </c>
      <c r="L37" s="3" t="s">
        <v>38</v>
      </c>
      <c r="M37" s="4">
        <v>46066</v>
      </c>
      <c r="N37" s="3" t="s">
        <v>41</v>
      </c>
      <c r="O37" s="3" t="s">
        <v>23</v>
      </c>
      <c r="P37" t="str">
        <f t="shared" si="0"/>
        <v>450012002950</v>
      </c>
      <c r="Q37" s="9" cm="1">
        <f t="array" ref="Q37:S37">VLOOKUP(P37,Hoja1!C:F,{2,3,4},FALSE)</f>
        <v>46386</v>
      </c>
      <c r="R37" t="str">
        <v>C25</v>
      </c>
      <c r="S37" t="str">
        <v>1000012227 LOPEZ RIOS FACUNDO GABRIE</v>
      </c>
    </row>
    <row r="38" spans="1:19" x14ac:dyDescent="0.3">
      <c r="A38" s="2" t="s">
        <v>14</v>
      </c>
      <c r="B38" s="3" t="s">
        <v>14</v>
      </c>
      <c r="C38" s="3" t="s">
        <v>40</v>
      </c>
      <c r="D38" s="3" t="s">
        <v>36</v>
      </c>
      <c r="E38" s="3" t="s">
        <v>28</v>
      </c>
      <c r="F38" s="4">
        <v>46066</v>
      </c>
      <c r="G38" s="3" t="s">
        <v>16</v>
      </c>
      <c r="H38" s="5">
        <v>500000</v>
      </c>
      <c r="I38" s="3" t="s">
        <v>17</v>
      </c>
      <c r="J38" s="3" t="s">
        <v>37</v>
      </c>
      <c r="K38" s="3" t="s">
        <v>14</v>
      </c>
      <c r="L38" s="3" t="s">
        <v>38</v>
      </c>
      <c r="M38" s="4">
        <v>46066</v>
      </c>
      <c r="N38" s="3" t="s">
        <v>41</v>
      </c>
      <c r="O38" s="3" t="s">
        <v>24</v>
      </c>
      <c r="P38" t="str">
        <f t="shared" si="0"/>
        <v>450012002960</v>
      </c>
      <c r="Q38" s="9" cm="1">
        <f t="array" ref="Q38:S38">VLOOKUP(P38,Hoja1!C:F,{2,3,4},FALSE)</f>
        <v>46386</v>
      </c>
      <c r="R38" t="str">
        <v>C25</v>
      </c>
      <c r="S38" t="str">
        <v>1000012227 LOPEZ RIOS FACUNDO GABRIE</v>
      </c>
    </row>
    <row r="39" spans="1:19" x14ac:dyDescent="0.3">
      <c r="A39" s="2" t="s">
        <v>14</v>
      </c>
      <c r="B39" s="3" t="s">
        <v>14</v>
      </c>
      <c r="C39" s="3" t="s">
        <v>42</v>
      </c>
      <c r="D39" s="3" t="s">
        <v>36</v>
      </c>
      <c r="E39" s="3" t="s">
        <v>28</v>
      </c>
      <c r="F39" s="4">
        <v>46126</v>
      </c>
      <c r="G39" s="3" t="s">
        <v>16</v>
      </c>
      <c r="H39" s="5">
        <v>1000000</v>
      </c>
      <c r="I39" s="3" t="s">
        <v>17</v>
      </c>
      <c r="J39" s="3" t="s">
        <v>37</v>
      </c>
      <c r="K39" s="3" t="s">
        <v>14</v>
      </c>
      <c r="L39" s="3" t="s">
        <v>38</v>
      </c>
      <c r="M39" s="4">
        <v>46126</v>
      </c>
      <c r="N39" s="3" t="s">
        <v>39</v>
      </c>
      <c r="O39" s="3" t="s">
        <v>34</v>
      </c>
      <c r="P39" t="str">
        <f t="shared" si="0"/>
        <v>450011873510</v>
      </c>
      <c r="Q39" s="9" cm="1">
        <f t="array" ref="Q39:S39">VLOOKUP(P39,Hoja1!C:F,{2,3,4},FALSE)</f>
        <v>46386</v>
      </c>
      <c r="R39" t="str">
        <v>C25</v>
      </c>
      <c r="S39" t="str">
        <v>1000012227 LOPEZ RIOS FACUNDO GABRIE</v>
      </c>
    </row>
    <row r="40" spans="1:19" x14ac:dyDescent="0.3">
      <c r="A40" s="2" t="s">
        <v>14</v>
      </c>
      <c r="B40" s="3" t="s">
        <v>14</v>
      </c>
      <c r="C40" s="3" t="s">
        <v>42</v>
      </c>
      <c r="D40" s="3" t="s">
        <v>36</v>
      </c>
      <c r="E40" s="3" t="s">
        <v>28</v>
      </c>
      <c r="F40" s="4">
        <v>46126</v>
      </c>
      <c r="G40" s="3" t="s">
        <v>16</v>
      </c>
      <c r="H40" s="5">
        <v>800000</v>
      </c>
      <c r="I40" s="3" t="s">
        <v>17</v>
      </c>
      <c r="J40" s="3" t="s">
        <v>37</v>
      </c>
      <c r="K40" s="3" t="s">
        <v>14</v>
      </c>
      <c r="L40" s="3" t="s">
        <v>38</v>
      </c>
      <c r="M40" s="4">
        <v>46126</v>
      </c>
      <c r="N40" s="3" t="s">
        <v>39</v>
      </c>
      <c r="O40" s="3" t="s">
        <v>22</v>
      </c>
      <c r="P40" t="str">
        <f t="shared" si="0"/>
        <v>450011873530</v>
      </c>
      <c r="Q40" s="9" cm="1">
        <f t="array" ref="Q40:S40">VLOOKUP(P40,Hoja1!C:F,{2,3,4},FALSE)</f>
        <v>46386</v>
      </c>
      <c r="R40" t="str">
        <v>C25</v>
      </c>
      <c r="S40" t="str">
        <v>1000012227 LOPEZ RIOS FACUNDO GABRIE</v>
      </c>
    </row>
    <row r="41" spans="1:19" x14ac:dyDescent="0.3">
      <c r="A41" s="2" t="s">
        <v>14</v>
      </c>
      <c r="B41" s="3" t="s">
        <v>14</v>
      </c>
      <c r="C41" s="3" t="s">
        <v>42</v>
      </c>
      <c r="D41" s="3" t="s">
        <v>36</v>
      </c>
      <c r="E41" s="3" t="s">
        <v>28</v>
      </c>
      <c r="F41" s="4">
        <v>46126</v>
      </c>
      <c r="G41" s="3" t="s">
        <v>16</v>
      </c>
      <c r="H41" s="5">
        <v>400000</v>
      </c>
      <c r="I41" s="3" t="s">
        <v>17</v>
      </c>
      <c r="J41" s="3" t="s">
        <v>37</v>
      </c>
      <c r="K41" s="3" t="s">
        <v>14</v>
      </c>
      <c r="L41" s="3" t="s">
        <v>38</v>
      </c>
      <c r="M41" s="4">
        <v>46126</v>
      </c>
      <c r="N41" s="3" t="s">
        <v>39</v>
      </c>
      <c r="O41" s="3" t="s">
        <v>23</v>
      </c>
      <c r="P41" t="str">
        <f t="shared" si="0"/>
        <v>450011873550</v>
      </c>
      <c r="Q41" s="9" cm="1">
        <f t="array" ref="Q41:S41">VLOOKUP(P41,Hoja1!C:F,{2,3,4},FALSE)</f>
        <v>46386</v>
      </c>
      <c r="R41" t="str">
        <v>C25</v>
      </c>
      <c r="S41" t="str">
        <v>1000012227 LOPEZ RIOS FACUNDO GABRIE</v>
      </c>
    </row>
    <row r="42" spans="1:19" x14ac:dyDescent="0.3">
      <c r="A42" s="2" t="s">
        <v>14</v>
      </c>
      <c r="B42" s="3" t="s">
        <v>14</v>
      </c>
      <c r="C42" s="3" t="s">
        <v>42</v>
      </c>
      <c r="D42" s="3" t="s">
        <v>36</v>
      </c>
      <c r="E42" s="3" t="s">
        <v>28</v>
      </c>
      <c r="F42" s="4">
        <v>46126</v>
      </c>
      <c r="G42" s="3" t="s">
        <v>16</v>
      </c>
      <c r="H42" s="5">
        <v>1500000</v>
      </c>
      <c r="I42" s="3" t="s">
        <v>17</v>
      </c>
      <c r="J42" s="3" t="s">
        <v>37</v>
      </c>
      <c r="K42" s="3" t="s">
        <v>14</v>
      </c>
      <c r="L42" s="3" t="s">
        <v>38</v>
      </c>
      <c r="M42" s="4">
        <v>46126</v>
      </c>
      <c r="N42" s="3" t="s">
        <v>39</v>
      </c>
      <c r="O42" s="3" t="s">
        <v>24</v>
      </c>
      <c r="P42" t="str">
        <f t="shared" si="0"/>
        <v>450011873560</v>
      </c>
      <c r="Q42" s="9" cm="1">
        <f t="array" ref="Q42:S42">VLOOKUP(P42,Hoja1!C:F,{2,3,4},FALSE)</f>
        <v>46386</v>
      </c>
      <c r="R42" t="str">
        <v>C25</v>
      </c>
      <c r="S42" t="str">
        <v>1000012227 LOPEZ RIOS FACUNDO GABRIE</v>
      </c>
    </row>
    <row r="43" spans="1:19" x14ac:dyDescent="0.3">
      <c r="A43" s="2" t="s">
        <v>14</v>
      </c>
      <c r="B43" s="3" t="s">
        <v>14</v>
      </c>
      <c r="C43" s="3" t="s">
        <v>43</v>
      </c>
      <c r="D43" s="3" t="s">
        <v>36</v>
      </c>
      <c r="E43" s="3" t="s">
        <v>28</v>
      </c>
      <c r="F43" s="4">
        <v>46126</v>
      </c>
      <c r="G43" s="3" t="s">
        <v>44</v>
      </c>
      <c r="H43" s="6">
        <v>-875000</v>
      </c>
      <c r="I43" s="3" t="s">
        <v>17</v>
      </c>
      <c r="J43" s="3" t="s">
        <v>37</v>
      </c>
      <c r="K43" s="3" t="s">
        <v>14</v>
      </c>
      <c r="L43" s="3" t="s">
        <v>38</v>
      </c>
      <c r="M43" s="4">
        <v>46126</v>
      </c>
      <c r="N43" s="3" t="s">
        <v>39</v>
      </c>
      <c r="O43" s="3" t="s">
        <v>34</v>
      </c>
      <c r="P43" t="str">
        <f t="shared" si="0"/>
        <v>450011873510</v>
      </c>
      <c r="Q43" s="9" cm="1">
        <f t="array" ref="Q43:S43">VLOOKUP(P43,Hoja1!C:F,{2,3,4},FALSE)</f>
        <v>46386</v>
      </c>
      <c r="R43" t="str">
        <v>C25</v>
      </c>
      <c r="S43" t="str">
        <v>1000012227 LOPEZ RIOS FACUNDO GABRIE</v>
      </c>
    </row>
    <row r="44" spans="1:19" x14ac:dyDescent="0.3">
      <c r="A44" s="2" t="s">
        <v>14</v>
      </c>
      <c r="B44" s="3" t="s">
        <v>14</v>
      </c>
      <c r="C44" s="3" t="s">
        <v>43</v>
      </c>
      <c r="D44" s="3" t="s">
        <v>36</v>
      </c>
      <c r="E44" s="3" t="s">
        <v>28</v>
      </c>
      <c r="F44" s="4">
        <v>46126</v>
      </c>
      <c r="G44" s="3" t="s">
        <v>44</v>
      </c>
      <c r="H44" s="6">
        <v>-700000</v>
      </c>
      <c r="I44" s="3" t="s">
        <v>17</v>
      </c>
      <c r="J44" s="3" t="s">
        <v>37</v>
      </c>
      <c r="K44" s="3" t="s">
        <v>14</v>
      </c>
      <c r="L44" s="3" t="s">
        <v>38</v>
      </c>
      <c r="M44" s="4">
        <v>46126</v>
      </c>
      <c r="N44" s="3" t="s">
        <v>39</v>
      </c>
      <c r="O44" s="3" t="s">
        <v>22</v>
      </c>
      <c r="P44" t="str">
        <f t="shared" si="0"/>
        <v>450011873530</v>
      </c>
      <c r="Q44" s="9" cm="1">
        <f t="array" ref="Q44:S44">VLOOKUP(P44,Hoja1!C:F,{2,3,4},FALSE)</f>
        <v>46386</v>
      </c>
      <c r="R44" t="str">
        <v>C25</v>
      </c>
      <c r="S44" t="str">
        <v>1000012227 LOPEZ RIOS FACUNDO GABRIE</v>
      </c>
    </row>
    <row r="45" spans="1:19" x14ac:dyDescent="0.3">
      <c r="A45" s="2" t="s">
        <v>14</v>
      </c>
      <c r="B45" s="3" t="s">
        <v>14</v>
      </c>
      <c r="C45" s="3" t="s">
        <v>43</v>
      </c>
      <c r="D45" s="3" t="s">
        <v>36</v>
      </c>
      <c r="E45" s="3" t="s">
        <v>28</v>
      </c>
      <c r="F45" s="4">
        <v>46126</v>
      </c>
      <c r="G45" s="3" t="s">
        <v>44</v>
      </c>
      <c r="H45" s="6">
        <v>-350000</v>
      </c>
      <c r="I45" s="3" t="s">
        <v>17</v>
      </c>
      <c r="J45" s="3" t="s">
        <v>37</v>
      </c>
      <c r="K45" s="3" t="s">
        <v>14</v>
      </c>
      <c r="L45" s="3" t="s">
        <v>38</v>
      </c>
      <c r="M45" s="4">
        <v>46126</v>
      </c>
      <c r="N45" s="3" t="s">
        <v>39</v>
      </c>
      <c r="O45" s="3" t="s">
        <v>23</v>
      </c>
      <c r="P45" t="str">
        <f t="shared" si="0"/>
        <v>450011873550</v>
      </c>
      <c r="Q45" s="9" cm="1">
        <f t="array" ref="Q45:S45">VLOOKUP(P45,Hoja1!C:F,{2,3,4},FALSE)</f>
        <v>46386</v>
      </c>
      <c r="R45" t="str">
        <v>C25</v>
      </c>
      <c r="S45" t="str">
        <v>1000012227 LOPEZ RIOS FACUNDO GABRIE</v>
      </c>
    </row>
    <row r="46" spans="1:19" x14ac:dyDescent="0.3">
      <c r="A46" s="2" t="s">
        <v>14</v>
      </c>
      <c r="B46" s="3" t="s">
        <v>14</v>
      </c>
      <c r="C46" s="3" t="s">
        <v>43</v>
      </c>
      <c r="D46" s="3" t="s">
        <v>36</v>
      </c>
      <c r="E46" s="3" t="s">
        <v>28</v>
      </c>
      <c r="F46" s="4">
        <v>46126</v>
      </c>
      <c r="G46" s="3" t="s">
        <v>44</v>
      </c>
      <c r="H46" s="6">
        <v>-1312500</v>
      </c>
      <c r="I46" s="3" t="s">
        <v>17</v>
      </c>
      <c r="J46" s="3" t="s">
        <v>37</v>
      </c>
      <c r="K46" s="3" t="s">
        <v>14</v>
      </c>
      <c r="L46" s="3" t="s">
        <v>38</v>
      </c>
      <c r="M46" s="4">
        <v>46126</v>
      </c>
      <c r="N46" s="3" t="s">
        <v>39</v>
      </c>
      <c r="O46" s="3" t="s">
        <v>24</v>
      </c>
      <c r="P46" t="str">
        <f t="shared" si="0"/>
        <v>450011873560</v>
      </c>
      <c r="Q46" s="9" cm="1">
        <f t="array" ref="Q46:S46">VLOOKUP(P46,Hoja1!C:F,{2,3,4},FALSE)</f>
        <v>46386</v>
      </c>
      <c r="R46" t="str">
        <v>C25</v>
      </c>
      <c r="S46" t="str">
        <v>1000012227 LOPEZ RIOS FACUNDO GABRIE</v>
      </c>
    </row>
    <row r="47" spans="1:19" x14ac:dyDescent="0.3">
      <c r="A47" s="2" t="s">
        <v>14</v>
      </c>
      <c r="B47" s="3" t="s">
        <v>14</v>
      </c>
      <c r="C47" s="3" t="s">
        <v>45</v>
      </c>
      <c r="D47" s="3" t="s">
        <v>36</v>
      </c>
      <c r="E47" s="3" t="s">
        <v>28</v>
      </c>
      <c r="F47" s="4">
        <v>46127</v>
      </c>
      <c r="G47" s="3" t="s">
        <v>16</v>
      </c>
      <c r="H47" s="5">
        <v>500000</v>
      </c>
      <c r="I47" s="3" t="s">
        <v>17</v>
      </c>
      <c r="J47" s="3" t="s">
        <v>37</v>
      </c>
      <c r="K47" s="3" t="s">
        <v>14</v>
      </c>
      <c r="L47" s="3" t="s">
        <v>38</v>
      </c>
      <c r="M47" s="4">
        <v>46127</v>
      </c>
      <c r="N47" s="3" t="s">
        <v>39</v>
      </c>
      <c r="O47" s="3" t="s">
        <v>34</v>
      </c>
      <c r="P47" t="str">
        <f t="shared" si="0"/>
        <v>450011873510</v>
      </c>
      <c r="Q47" s="9" cm="1">
        <f t="array" ref="Q47:S47">VLOOKUP(P47,Hoja1!C:F,{2,3,4},FALSE)</f>
        <v>46386</v>
      </c>
      <c r="R47" t="str">
        <v>C25</v>
      </c>
      <c r="S47" t="str">
        <v>1000012227 LOPEZ RIOS FACUNDO GABRIE</v>
      </c>
    </row>
    <row r="48" spans="1:19" x14ac:dyDescent="0.3">
      <c r="A48" s="2" t="s">
        <v>14</v>
      </c>
      <c r="B48" s="3" t="s">
        <v>14</v>
      </c>
      <c r="C48" s="3" t="s">
        <v>45</v>
      </c>
      <c r="D48" s="3" t="s">
        <v>36</v>
      </c>
      <c r="E48" s="3" t="s">
        <v>28</v>
      </c>
      <c r="F48" s="4">
        <v>46127</v>
      </c>
      <c r="G48" s="3" t="s">
        <v>16</v>
      </c>
      <c r="H48" s="5">
        <v>400000</v>
      </c>
      <c r="I48" s="3" t="s">
        <v>17</v>
      </c>
      <c r="J48" s="3" t="s">
        <v>37</v>
      </c>
      <c r="K48" s="3" t="s">
        <v>14</v>
      </c>
      <c r="L48" s="3" t="s">
        <v>38</v>
      </c>
      <c r="M48" s="4">
        <v>46127</v>
      </c>
      <c r="N48" s="3" t="s">
        <v>39</v>
      </c>
      <c r="O48" s="3" t="s">
        <v>22</v>
      </c>
      <c r="P48" t="str">
        <f t="shared" si="0"/>
        <v>450011873530</v>
      </c>
      <c r="Q48" s="9" cm="1">
        <f t="array" ref="Q48:S48">VLOOKUP(P48,Hoja1!C:F,{2,3,4},FALSE)</f>
        <v>46386</v>
      </c>
      <c r="R48" t="str">
        <v>C25</v>
      </c>
      <c r="S48" t="str">
        <v>1000012227 LOPEZ RIOS FACUNDO GABRIE</v>
      </c>
    </row>
    <row r="49" spans="1:19" x14ac:dyDescent="0.3">
      <c r="A49" s="2" t="s">
        <v>14</v>
      </c>
      <c r="B49" s="3" t="s">
        <v>14</v>
      </c>
      <c r="C49" s="3" t="s">
        <v>45</v>
      </c>
      <c r="D49" s="3" t="s">
        <v>36</v>
      </c>
      <c r="E49" s="3" t="s">
        <v>28</v>
      </c>
      <c r="F49" s="4">
        <v>46127</v>
      </c>
      <c r="G49" s="3" t="s">
        <v>16</v>
      </c>
      <c r="H49" s="5">
        <v>200000</v>
      </c>
      <c r="I49" s="3" t="s">
        <v>17</v>
      </c>
      <c r="J49" s="3" t="s">
        <v>37</v>
      </c>
      <c r="K49" s="3" t="s">
        <v>14</v>
      </c>
      <c r="L49" s="3" t="s">
        <v>38</v>
      </c>
      <c r="M49" s="4">
        <v>46127</v>
      </c>
      <c r="N49" s="3" t="s">
        <v>39</v>
      </c>
      <c r="O49" s="3" t="s">
        <v>23</v>
      </c>
      <c r="P49" t="str">
        <f t="shared" si="0"/>
        <v>450011873550</v>
      </c>
      <c r="Q49" s="9" cm="1">
        <f t="array" ref="Q49:S49">VLOOKUP(P49,Hoja1!C:F,{2,3,4},FALSE)</f>
        <v>46386</v>
      </c>
      <c r="R49" t="str">
        <v>C25</v>
      </c>
      <c r="S49" t="str">
        <v>1000012227 LOPEZ RIOS FACUNDO GABRIE</v>
      </c>
    </row>
    <row r="50" spans="1:19" x14ac:dyDescent="0.3">
      <c r="A50" s="2" t="s">
        <v>14</v>
      </c>
      <c r="B50" s="3" t="s">
        <v>14</v>
      </c>
      <c r="C50" s="3" t="s">
        <v>45</v>
      </c>
      <c r="D50" s="3" t="s">
        <v>36</v>
      </c>
      <c r="E50" s="3" t="s">
        <v>28</v>
      </c>
      <c r="F50" s="4">
        <v>46127</v>
      </c>
      <c r="G50" s="3" t="s">
        <v>16</v>
      </c>
      <c r="H50" s="5">
        <v>750000</v>
      </c>
      <c r="I50" s="3" t="s">
        <v>17</v>
      </c>
      <c r="J50" s="3" t="s">
        <v>37</v>
      </c>
      <c r="K50" s="3" t="s">
        <v>14</v>
      </c>
      <c r="L50" s="3" t="s">
        <v>38</v>
      </c>
      <c r="M50" s="4">
        <v>46127</v>
      </c>
      <c r="N50" s="3" t="s">
        <v>39</v>
      </c>
      <c r="O50" s="3" t="s">
        <v>24</v>
      </c>
      <c r="P50" t="str">
        <f t="shared" si="0"/>
        <v>450011873560</v>
      </c>
      <c r="Q50" s="9" cm="1">
        <f t="array" ref="Q50:S50">VLOOKUP(P50,Hoja1!C:F,{2,3,4},FALSE)</f>
        <v>46386</v>
      </c>
      <c r="R50" t="str">
        <v>C25</v>
      </c>
      <c r="S50" t="str">
        <v>1000012227 LOPEZ RIOS FACUNDO GABRIE</v>
      </c>
    </row>
    <row r="51" spans="1:19" x14ac:dyDescent="0.3">
      <c r="A51" s="2" t="s">
        <v>14</v>
      </c>
      <c r="B51" s="3" t="s">
        <v>14</v>
      </c>
      <c r="C51" s="3" t="s">
        <v>46</v>
      </c>
      <c r="D51" s="3" t="s">
        <v>14</v>
      </c>
      <c r="E51" s="3" t="s">
        <v>28</v>
      </c>
      <c r="F51" s="4">
        <v>46108</v>
      </c>
      <c r="G51" s="3" t="s">
        <v>16</v>
      </c>
      <c r="H51" s="5">
        <v>24896.639999999999</v>
      </c>
      <c r="I51" s="3" t="s">
        <v>17</v>
      </c>
      <c r="J51" s="3" t="s">
        <v>18</v>
      </c>
      <c r="K51" s="3" t="s">
        <v>14</v>
      </c>
      <c r="L51" s="3" t="s">
        <v>47</v>
      </c>
      <c r="M51" s="4">
        <v>46156</v>
      </c>
      <c r="N51" s="3" t="s">
        <v>48</v>
      </c>
      <c r="O51" s="3" t="s">
        <v>34</v>
      </c>
      <c r="P51" t="str">
        <f t="shared" si="0"/>
        <v>450012764410</v>
      </c>
      <c r="Q51" s="9" cm="1">
        <f t="array" ref="Q51:S51">VLOOKUP(P51,Hoja1!C:F,{2,3,4},FALSE)</f>
        <v>46203</v>
      </c>
      <c r="R51" t="str">
        <v>C39</v>
      </c>
      <c r="S51" t="str">
        <v>1000001841 AONA SA</v>
      </c>
    </row>
    <row r="52" spans="1:19" x14ac:dyDescent="0.3">
      <c r="A52" s="2" t="s">
        <v>14</v>
      </c>
      <c r="B52" s="3" t="s">
        <v>14</v>
      </c>
      <c r="C52" s="3" t="s">
        <v>49</v>
      </c>
      <c r="D52" s="3" t="s">
        <v>14</v>
      </c>
      <c r="E52" s="3" t="s">
        <v>28</v>
      </c>
      <c r="F52" s="4">
        <v>46156</v>
      </c>
      <c r="G52" s="3" t="s">
        <v>16</v>
      </c>
      <c r="H52" s="5">
        <v>274070.25</v>
      </c>
      <c r="I52" s="3" t="s">
        <v>17</v>
      </c>
      <c r="J52" s="3" t="s">
        <v>18</v>
      </c>
      <c r="K52" s="3" t="s">
        <v>14</v>
      </c>
      <c r="L52" s="3" t="s">
        <v>47</v>
      </c>
      <c r="M52" s="4">
        <v>46156</v>
      </c>
      <c r="N52" s="3" t="s">
        <v>50</v>
      </c>
      <c r="O52" s="3" t="s">
        <v>34</v>
      </c>
      <c r="P52" t="str">
        <f t="shared" si="0"/>
        <v>450012764510</v>
      </c>
      <c r="Q52" s="9" cm="1">
        <f t="array" ref="Q52:S52">VLOOKUP(P52,Hoja1!C:F,{2,3,4},FALSE)</f>
        <v>46203</v>
      </c>
      <c r="R52" t="str">
        <v>C39</v>
      </c>
      <c r="S52" t="str">
        <v>1000001841 AONA SA</v>
      </c>
    </row>
    <row r="53" spans="1:19" x14ac:dyDescent="0.3">
      <c r="A53" s="2" t="s">
        <v>14</v>
      </c>
      <c r="B53" s="3" t="s">
        <v>14</v>
      </c>
      <c r="C53" s="3" t="s">
        <v>51</v>
      </c>
      <c r="D53" s="3" t="s">
        <v>14</v>
      </c>
      <c r="E53" s="3" t="s">
        <v>28</v>
      </c>
      <c r="F53" s="4">
        <v>46162</v>
      </c>
      <c r="G53" s="3" t="s">
        <v>16</v>
      </c>
      <c r="H53" s="5">
        <v>110692.16</v>
      </c>
      <c r="I53" s="3" t="s">
        <v>17</v>
      </c>
      <c r="J53" s="3" t="s">
        <v>18</v>
      </c>
      <c r="K53" s="3" t="s">
        <v>14</v>
      </c>
      <c r="L53" s="3" t="s">
        <v>47</v>
      </c>
      <c r="M53" s="4">
        <v>46162</v>
      </c>
      <c r="N53" s="3" t="s">
        <v>48</v>
      </c>
      <c r="O53" s="3" t="s">
        <v>34</v>
      </c>
      <c r="P53" t="str">
        <f t="shared" si="0"/>
        <v>450012764410</v>
      </c>
      <c r="Q53" s="9" cm="1">
        <f t="array" ref="Q53:S53">VLOOKUP(P53,Hoja1!C:F,{2,3,4},FALSE)</f>
        <v>46203</v>
      </c>
      <c r="R53" t="str">
        <v>C39</v>
      </c>
      <c r="S53" t="str">
        <v>1000001841 AONA SA</v>
      </c>
    </row>
    <row r="54" spans="1:19" x14ac:dyDescent="0.3">
      <c r="A54" s="2" t="s">
        <v>14</v>
      </c>
      <c r="B54" s="3" t="s">
        <v>14</v>
      </c>
      <c r="C54" s="3" t="s">
        <v>51</v>
      </c>
      <c r="D54" s="3" t="s">
        <v>14</v>
      </c>
      <c r="E54" s="3" t="s">
        <v>28</v>
      </c>
      <c r="F54" s="4">
        <v>46162</v>
      </c>
      <c r="G54" s="3" t="s">
        <v>16</v>
      </c>
      <c r="H54" s="5">
        <v>110692.14</v>
      </c>
      <c r="I54" s="3" t="s">
        <v>17</v>
      </c>
      <c r="J54" s="3" t="s">
        <v>18</v>
      </c>
      <c r="K54" s="3" t="s">
        <v>14</v>
      </c>
      <c r="L54" s="3" t="s">
        <v>47</v>
      </c>
      <c r="M54" s="4">
        <v>46162</v>
      </c>
      <c r="N54" s="3" t="s">
        <v>50</v>
      </c>
      <c r="O54" s="3" t="s">
        <v>34</v>
      </c>
      <c r="P54" t="str">
        <f t="shared" si="0"/>
        <v>450012764510</v>
      </c>
      <c r="Q54" s="9" cm="1">
        <f t="array" ref="Q54:S54">VLOOKUP(P54,Hoja1!C:F,{2,3,4},FALSE)</f>
        <v>46203</v>
      </c>
      <c r="R54" t="str">
        <v>C39</v>
      </c>
      <c r="S54" t="str">
        <v>1000001841 AONA SA</v>
      </c>
    </row>
    <row r="55" spans="1:19" x14ac:dyDescent="0.3">
      <c r="A55" s="2" t="s">
        <v>14</v>
      </c>
      <c r="B55" s="3" t="s">
        <v>14</v>
      </c>
      <c r="C55" s="3" t="s">
        <v>52</v>
      </c>
      <c r="D55" s="3" t="s">
        <v>14</v>
      </c>
      <c r="E55" s="3" t="s">
        <v>28</v>
      </c>
      <c r="F55" s="4">
        <v>46163</v>
      </c>
      <c r="G55" s="3" t="s">
        <v>16</v>
      </c>
      <c r="H55" s="5">
        <v>187000</v>
      </c>
      <c r="I55" s="3" t="s">
        <v>17</v>
      </c>
      <c r="J55" s="3" t="s">
        <v>18</v>
      </c>
      <c r="K55" s="3" t="s">
        <v>14</v>
      </c>
      <c r="L55" s="3" t="s">
        <v>53</v>
      </c>
      <c r="M55" s="4">
        <v>46174</v>
      </c>
      <c r="N55" s="3" t="s">
        <v>54</v>
      </c>
      <c r="O55" s="3" t="s">
        <v>34</v>
      </c>
      <c r="P55" t="str">
        <f t="shared" si="0"/>
        <v>450012818110</v>
      </c>
      <c r="Q55" s="9" cm="1">
        <f t="array" ref="Q55:S55">VLOOKUP(P55,Hoja1!C:F,{2,3,4},FALSE)</f>
        <v>46168</v>
      </c>
      <c r="R55" t="str">
        <v>EFO</v>
      </c>
      <c r="S55" t="str">
        <v>1000002834 J.M.F. VIAL &amp; PARTS SAS</v>
      </c>
    </row>
    <row r="56" spans="1:19" x14ac:dyDescent="0.3">
      <c r="A56" s="2" t="s">
        <v>14</v>
      </c>
      <c r="B56" s="3" t="s">
        <v>14</v>
      </c>
      <c r="C56" s="3" t="s">
        <v>55</v>
      </c>
      <c r="D56" s="3" t="s">
        <v>56</v>
      </c>
      <c r="E56" s="3" t="s">
        <v>28</v>
      </c>
      <c r="F56" s="4">
        <v>46160</v>
      </c>
      <c r="G56" s="3" t="s">
        <v>16</v>
      </c>
      <c r="H56" s="5">
        <v>1737213.17</v>
      </c>
      <c r="I56" s="3" t="s">
        <v>17</v>
      </c>
      <c r="J56" s="3" t="s">
        <v>37</v>
      </c>
      <c r="K56" s="3" t="s">
        <v>14</v>
      </c>
      <c r="L56" s="3" t="s">
        <v>57</v>
      </c>
      <c r="M56" s="4">
        <v>46184</v>
      </c>
      <c r="N56" s="3" t="s">
        <v>58</v>
      </c>
      <c r="O56" s="3" t="s">
        <v>34</v>
      </c>
      <c r="P56" t="str">
        <f t="shared" si="0"/>
        <v>450012122710</v>
      </c>
      <c r="Q56" s="9" cm="1">
        <f t="array" ref="Q56:S56">VLOOKUP(P56,Hoja1!C:F,{2,3,4},FALSE)</f>
        <v>46264</v>
      </c>
      <c r="R56" t="str">
        <v>C25</v>
      </c>
      <c r="S56" t="str">
        <v>1000010957 GANGAS REYES MARCELO DAVID</v>
      </c>
    </row>
    <row r="57" spans="1:19" x14ac:dyDescent="0.3">
      <c r="A57" s="2" t="s">
        <v>14</v>
      </c>
      <c r="B57" s="3" t="s">
        <v>14</v>
      </c>
      <c r="C57" s="3" t="s">
        <v>59</v>
      </c>
      <c r="D57" s="3" t="s">
        <v>14</v>
      </c>
      <c r="E57" s="3" t="s">
        <v>28</v>
      </c>
      <c r="F57" s="4">
        <v>46161</v>
      </c>
      <c r="G57" s="3" t="s">
        <v>16</v>
      </c>
      <c r="H57" s="5">
        <v>142975.21</v>
      </c>
      <c r="I57" s="3" t="s">
        <v>17</v>
      </c>
      <c r="J57" s="3" t="s">
        <v>18</v>
      </c>
      <c r="K57" s="3" t="s">
        <v>14</v>
      </c>
      <c r="L57" s="3" t="s">
        <v>47</v>
      </c>
      <c r="M57" s="4">
        <v>46191</v>
      </c>
      <c r="N57" s="3" t="s">
        <v>50</v>
      </c>
      <c r="O57" s="3" t="s">
        <v>34</v>
      </c>
      <c r="P57" t="str">
        <f t="shared" si="0"/>
        <v>450012764510</v>
      </c>
      <c r="Q57" s="9" cm="1">
        <f t="array" ref="Q57:S57">VLOOKUP(P57,Hoja1!C:F,{2,3,4},FALSE)</f>
        <v>46203</v>
      </c>
      <c r="R57" t="str">
        <v>C39</v>
      </c>
      <c r="S57" t="str">
        <v>1000001841 AONA SA</v>
      </c>
    </row>
    <row r="58" spans="1:19" x14ac:dyDescent="0.3">
      <c r="A58" s="2" t="s">
        <v>14</v>
      </c>
      <c r="B58" s="3" t="s">
        <v>14</v>
      </c>
      <c r="C58" s="3" t="s">
        <v>60</v>
      </c>
      <c r="D58" s="3" t="s">
        <v>14</v>
      </c>
      <c r="E58" s="3" t="s">
        <v>28</v>
      </c>
      <c r="F58" s="4">
        <v>46161</v>
      </c>
      <c r="G58" s="3" t="s">
        <v>16</v>
      </c>
      <c r="H58" s="5">
        <v>52686</v>
      </c>
      <c r="I58" s="3" t="s">
        <v>17</v>
      </c>
      <c r="J58" s="3" t="s">
        <v>18</v>
      </c>
      <c r="K58" s="3" t="s">
        <v>14</v>
      </c>
      <c r="L58" s="3" t="s">
        <v>47</v>
      </c>
      <c r="M58" s="4">
        <v>46191</v>
      </c>
      <c r="N58" s="3" t="s">
        <v>48</v>
      </c>
      <c r="O58" s="3" t="s">
        <v>34</v>
      </c>
      <c r="P58" t="str">
        <f t="shared" si="0"/>
        <v>450012764410</v>
      </c>
      <c r="Q58" s="9" cm="1">
        <f t="array" ref="Q58:S58">VLOOKUP(P58,Hoja1!C:F,{2,3,4},FALSE)</f>
        <v>46203</v>
      </c>
      <c r="R58" t="str">
        <v>C39</v>
      </c>
      <c r="S58" t="str">
        <v>1000001841 AONA SA</v>
      </c>
    </row>
    <row r="59" spans="1:19" x14ac:dyDescent="0.3">
      <c r="A59" s="2" t="s">
        <v>14</v>
      </c>
      <c r="B59" s="3" t="s">
        <v>14</v>
      </c>
      <c r="C59" s="3" t="s">
        <v>60</v>
      </c>
      <c r="D59" s="3" t="s">
        <v>14</v>
      </c>
      <c r="E59" s="3" t="s">
        <v>28</v>
      </c>
      <c r="F59" s="4">
        <v>46161</v>
      </c>
      <c r="G59" s="3" t="s">
        <v>16</v>
      </c>
      <c r="H59" s="5">
        <v>83305.75</v>
      </c>
      <c r="I59" s="3" t="s">
        <v>17</v>
      </c>
      <c r="J59" s="3" t="s">
        <v>18</v>
      </c>
      <c r="K59" s="3" t="s">
        <v>14</v>
      </c>
      <c r="L59" s="3" t="s">
        <v>47</v>
      </c>
      <c r="M59" s="4">
        <v>46191</v>
      </c>
      <c r="N59" s="3" t="s">
        <v>50</v>
      </c>
      <c r="O59" s="3" t="s">
        <v>34</v>
      </c>
      <c r="P59" t="str">
        <f t="shared" si="0"/>
        <v>450012764510</v>
      </c>
      <c r="Q59" s="9" cm="1">
        <f t="array" ref="Q59:S59">VLOOKUP(P59,Hoja1!C:F,{2,3,4},FALSE)</f>
        <v>46203</v>
      </c>
      <c r="R59" t="str">
        <v>C39</v>
      </c>
      <c r="S59" t="str">
        <v>1000001841 AONA SA</v>
      </c>
    </row>
    <row r="60" spans="1:19" x14ac:dyDescent="0.3">
      <c r="A60" s="2" t="s">
        <v>14</v>
      </c>
      <c r="B60" s="3" t="s">
        <v>14</v>
      </c>
      <c r="C60" s="3" t="s">
        <v>60</v>
      </c>
      <c r="D60" s="3" t="s">
        <v>14</v>
      </c>
      <c r="E60" s="3" t="s">
        <v>28</v>
      </c>
      <c r="F60" s="4">
        <v>46161</v>
      </c>
      <c r="G60" s="3" t="s">
        <v>16</v>
      </c>
      <c r="H60" s="5">
        <v>195041.31</v>
      </c>
      <c r="I60" s="3" t="s">
        <v>17</v>
      </c>
      <c r="J60" s="3" t="s">
        <v>18</v>
      </c>
      <c r="K60" s="3" t="s">
        <v>14</v>
      </c>
      <c r="L60" s="3" t="s">
        <v>47</v>
      </c>
      <c r="M60" s="4">
        <v>46191</v>
      </c>
      <c r="N60" s="3" t="s">
        <v>61</v>
      </c>
      <c r="O60" s="3" t="s">
        <v>34</v>
      </c>
      <c r="P60" t="str">
        <f t="shared" si="0"/>
        <v>450012764610</v>
      </c>
      <c r="Q60" s="9" cm="1">
        <f t="array" ref="Q60:S60">VLOOKUP(P60,Hoja1!C:F,{2,3,4},FALSE)</f>
        <v>46203</v>
      </c>
      <c r="R60" t="str">
        <v>C39</v>
      </c>
      <c r="S60" t="str">
        <v>1000001841 AONA SA</v>
      </c>
    </row>
    <row r="61" spans="1:19" x14ac:dyDescent="0.3">
      <c r="A61" s="2" t="s">
        <v>14</v>
      </c>
      <c r="B61" s="3" t="s">
        <v>14</v>
      </c>
      <c r="C61" s="3" t="s">
        <v>62</v>
      </c>
      <c r="D61" s="3" t="s">
        <v>14</v>
      </c>
      <c r="E61" s="3" t="s">
        <v>28</v>
      </c>
      <c r="F61" s="4">
        <v>46191</v>
      </c>
      <c r="G61" s="3" t="s">
        <v>16</v>
      </c>
      <c r="H61" s="5">
        <v>52686</v>
      </c>
      <c r="I61" s="3" t="s">
        <v>17</v>
      </c>
      <c r="J61" s="3" t="s">
        <v>18</v>
      </c>
      <c r="K61" s="3" t="s">
        <v>14</v>
      </c>
      <c r="L61" s="3" t="s">
        <v>47</v>
      </c>
      <c r="M61" s="4">
        <v>46191</v>
      </c>
      <c r="N61" s="3" t="s">
        <v>48</v>
      </c>
      <c r="O61" s="3" t="s">
        <v>34</v>
      </c>
      <c r="P61" t="str">
        <f t="shared" si="0"/>
        <v>450012764410</v>
      </c>
      <c r="Q61" s="9" cm="1">
        <f t="array" ref="Q61:S61">VLOOKUP(P61,Hoja1!C:F,{2,3,4},FALSE)</f>
        <v>46203</v>
      </c>
      <c r="R61" t="str">
        <v>C39</v>
      </c>
      <c r="S61" t="str">
        <v>1000001841 AONA SA</v>
      </c>
    </row>
    <row r="62" spans="1:19" x14ac:dyDescent="0.3">
      <c r="A62" s="2" t="s">
        <v>14</v>
      </c>
      <c r="B62" s="3" t="s">
        <v>14</v>
      </c>
      <c r="C62" s="3" t="s">
        <v>62</v>
      </c>
      <c r="D62" s="3" t="s">
        <v>14</v>
      </c>
      <c r="E62" s="3" t="s">
        <v>28</v>
      </c>
      <c r="F62" s="4">
        <v>46191</v>
      </c>
      <c r="G62" s="3" t="s">
        <v>16</v>
      </c>
      <c r="H62" s="5">
        <v>195041.31</v>
      </c>
      <c r="I62" s="3" t="s">
        <v>17</v>
      </c>
      <c r="J62" s="3" t="s">
        <v>18</v>
      </c>
      <c r="K62" s="3" t="s">
        <v>14</v>
      </c>
      <c r="L62" s="3" t="s">
        <v>47</v>
      </c>
      <c r="M62" s="4">
        <v>46191</v>
      </c>
      <c r="N62" s="3" t="s">
        <v>50</v>
      </c>
      <c r="O62" s="3" t="s">
        <v>34</v>
      </c>
      <c r="P62" t="str">
        <f t="shared" si="0"/>
        <v>450012764510</v>
      </c>
      <c r="Q62" s="9" cm="1">
        <f t="array" ref="Q62:S62">VLOOKUP(P62,Hoja1!C:F,{2,3,4},FALSE)</f>
        <v>46203</v>
      </c>
      <c r="R62" t="str">
        <v>C39</v>
      </c>
      <c r="S62" t="str">
        <v>1000001841 AONA SA</v>
      </c>
    </row>
    <row r="63" spans="1:19" x14ac:dyDescent="0.3">
      <c r="A63" s="2" t="s">
        <v>14</v>
      </c>
      <c r="B63" s="3" t="s">
        <v>14</v>
      </c>
      <c r="C63" s="3" t="s">
        <v>62</v>
      </c>
      <c r="D63" s="3" t="s">
        <v>14</v>
      </c>
      <c r="E63" s="3" t="s">
        <v>28</v>
      </c>
      <c r="F63" s="4">
        <v>46191</v>
      </c>
      <c r="G63" s="3" t="s">
        <v>16</v>
      </c>
      <c r="H63" s="5">
        <v>69421.45</v>
      </c>
      <c r="I63" s="3" t="s">
        <v>17</v>
      </c>
      <c r="J63" s="3" t="s">
        <v>18</v>
      </c>
      <c r="K63" s="3" t="s">
        <v>14</v>
      </c>
      <c r="L63" s="3" t="s">
        <v>47</v>
      </c>
      <c r="M63" s="4">
        <v>46191</v>
      </c>
      <c r="N63" s="3" t="s">
        <v>61</v>
      </c>
      <c r="O63" s="3" t="s">
        <v>34</v>
      </c>
      <c r="P63" t="str">
        <f t="shared" si="0"/>
        <v>450012764610</v>
      </c>
      <c r="Q63" s="9" cm="1">
        <f t="array" ref="Q63:S63">VLOOKUP(P63,Hoja1!C:F,{2,3,4},FALSE)</f>
        <v>46203</v>
      </c>
      <c r="R63" t="str">
        <v>C39</v>
      </c>
      <c r="S63" t="str">
        <v>1000001841 AONA SA</v>
      </c>
    </row>
    <row r="64" spans="1:19" x14ac:dyDescent="0.3">
      <c r="A64" s="2" t="s">
        <v>14</v>
      </c>
      <c r="B64" s="3" t="s">
        <v>14</v>
      </c>
      <c r="C64" s="3" t="s">
        <v>63</v>
      </c>
      <c r="D64" s="3" t="s">
        <v>14</v>
      </c>
      <c r="E64" s="3" t="s">
        <v>28</v>
      </c>
      <c r="F64" s="4">
        <v>46182</v>
      </c>
      <c r="G64" s="3" t="s">
        <v>16</v>
      </c>
      <c r="H64" s="5">
        <v>26343</v>
      </c>
      <c r="I64" s="3" t="s">
        <v>17</v>
      </c>
      <c r="J64" s="3" t="s">
        <v>18</v>
      </c>
      <c r="K64" s="3" t="s">
        <v>14</v>
      </c>
      <c r="L64" s="3" t="s">
        <v>47</v>
      </c>
      <c r="M64" s="4">
        <v>46191</v>
      </c>
      <c r="N64" s="3" t="s">
        <v>48</v>
      </c>
      <c r="O64" s="3" t="s">
        <v>34</v>
      </c>
      <c r="P64" t="str">
        <f t="shared" si="0"/>
        <v>450012764410</v>
      </c>
      <c r="Q64" s="9" cm="1">
        <f t="array" ref="Q64:S64">VLOOKUP(P64,Hoja1!C:F,{2,3,4},FALSE)</f>
        <v>46203</v>
      </c>
      <c r="R64" t="str">
        <v>C39</v>
      </c>
      <c r="S64" t="str">
        <v>1000001841 AONA SA</v>
      </c>
    </row>
    <row r="65" spans="1:19" x14ac:dyDescent="0.3">
      <c r="A65" s="2" t="s">
        <v>14</v>
      </c>
      <c r="B65" s="3" t="s">
        <v>14</v>
      </c>
      <c r="C65" s="3" t="s">
        <v>63</v>
      </c>
      <c r="D65" s="3" t="s">
        <v>14</v>
      </c>
      <c r="E65" s="3" t="s">
        <v>28</v>
      </c>
      <c r="F65" s="4">
        <v>46182</v>
      </c>
      <c r="G65" s="3" t="s">
        <v>16</v>
      </c>
      <c r="H65" s="5">
        <v>69421.5</v>
      </c>
      <c r="I65" s="3" t="s">
        <v>17</v>
      </c>
      <c r="J65" s="3" t="s">
        <v>18</v>
      </c>
      <c r="K65" s="3" t="s">
        <v>14</v>
      </c>
      <c r="L65" s="3" t="s">
        <v>47</v>
      </c>
      <c r="M65" s="4">
        <v>46191</v>
      </c>
      <c r="N65" s="3" t="s">
        <v>50</v>
      </c>
      <c r="O65" s="3" t="s">
        <v>34</v>
      </c>
      <c r="P65" t="str">
        <f t="shared" si="0"/>
        <v>450012764510</v>
      </c>
      <c r="Q65" s="9" cm="1">
        <f t="array" ref="Q65:S65">VLOOKUP(P65,Hoja1!C:F,{2,3,4},FALSE)</f>
        <v>46203</v>
      </c>
      <c r="R65" t="str">
        <v>C39</v>
      </c>
      <c r="S65" t="str">
        <v>1000001841 AONA SA</v>
      </c>
    </row>
    <row r="66" spans="1:19" x14ac:dyDescent="0.3">
      <c r="A66" s="2" t="s">
        <v>14</v>
      </c>
      <c r="B66" s="3" t="s">
        <v>14</v>
      </c>
      <c r="C66" s="3" t="s">
        <v>63</v>
      </c>
      <c r="D66" s="3" t="s">
        <v>14</v>
      </c>
      <c r="E66" s="3" t="s">
        <v>28</v>
      </c>
      <c r="F66" s="4">
        <v>46182</v>
      </c>
      <c r="G66" s="3" t="s">
        <v>16</v>
      </c>
      <c r="H66" s="5">
        <v>195041.29</v>
      </c>
      <c r="I66" s="3" t="s">
        <v>17</v>
      </c>
      <c r="J66" s="3" t="s">
        <v>18</v>
      </c>
      <c r="K66" s="3" t="s">
        <v>14</v>
      </c>
      <c r="L66" s="3" t="s">
        <v>47</v>
      </c>
      <c r="M66" s="4">
        <v>46191</v>
      </c>
      <c r="N66" s="3" t="s">
        <v>61</v>
      </c>
      <c r="O66" s="3" t="s">
        <v>34</v>
      </c>
      <c r="P66" t="str">
        <f t="shared" si="0"/>
        <v>450012764610</v>
      </c>
      <c r="Q66" s="9" cm="1">
        <f t="array" ref="Q66:S66">VLOOKUP(P66,Hoja1!C:F,{2,3,4},FALSE)</f>
        <v>46203</v>
      </c>
      <c r="R66" t="str">
        <v>C39</v>
      </c>
      <c r="S66" t="str">
        <v>1000001841 AONA SA</v>
      </c>
    </row>
    <row r="67" spans="1:19" x14ac:dyDescent="0.3">
      <c r="A67" s="2" t="s">
        <v>14</v>
      </c>
      <c r="B67" s="3" t="s">
        <v>14</v>
      </c>
      <c r="C67" s="3" t="s">
        <v>64</v>
      </c>
      <c r="D67" s="3" t="s">
        <v>14</v>
      </c>
      <c r="E67" s="3" t="s">
        <v>28</v>
      </c>
      <c r="F67" s="4">
        <v>46177</v>
      </c>
      <c r="G67" s="3" t="s">
        <v>16</v>
      </c>
      <c r="H67" s="5">
        <v>109504.23</v>
      </c>
      <c r="I67" s="3" t="s">
        <v>17</v>
      </c>
      <c r="J67" s="3" t="s">
        <v>18</v>
      </c>
      <c r="K67" s="3" t="s">
        <v>14</v>
      </c>
      <c r="L67" s="3" t="s">
        <v>47</v>
      </c>
      <c r="M67" s="4">
        <v>46191</v>
      </c>
      <c r="N67" s="3" t="s">
        <v>48</v>
      </c>
      <c r="O67" s="3" t="s">
        <v>34</v>
      </c>
      <c r="P67" t="str">
        <f t="shared" ref="P67:P130" si="1">_xlfn.CONCAT(N67:O67)</f>
        <v>450012764410</v>
      </c>
      <c r="Q67" s="9" cm="1">
        <f t="array" ref="Q67:S67">VLOOKUP(P67,Hoja1!C:F,{2,3,4},FALSE)</f>
        <v>46203</v>
      </c>
      <c r="R67" t="str">
        <v>C39</v>
      </c>
      <c r="S67" t="str">
        <v>1000001841 AONA SA</v>
      </c>
    </row>
    <row r="68" spans="1:19" x14ac:dyDescent="0.3">
      <c r="A68" s="2" t="s">
        <v>14</v>
      </c>
      <c r="B68" s="3" t="s">
        <v>14</v>
      </c>
      <c r="C68" s="3" t="s">
        <v>64</v>
      </c>
      <c r="D68" s="3" t="s">
        <v>14</v>
      </c>
      <c r="E68" s="3" t="s">
        <v>28</v>
      </c>
      <c r="F68" s="4">
        <v>46177</v>
      </c>
      <c r="G68" s="3" t="s">
        <v>16</v>
      </c>
      <c r="H68" s="5">
        <v>381818.09</v>
      </c>
      <c r="I68" s="3" t="s">
        <v>17</v>
      </c>
      <c r="J68" s="3" t="s">
        <v>18</v>
      </c>
      <c r="K68" s="3" t="s">
        <v>14</v>
      </c>
      <c r="L68" s="3" t="s">
        <v>47</v>
      </c>
      <c r="M68" s="4">
        <v>46191</v>
      </c>
      <c r="N68" s="3" t="s">
        <v>50</v>
      </c>
      <c r="O68" s="3" t="s">
        <v>34</v>
      </c>
      <c r="P68" t="str">
        <f t="shared" si="1"/>
        <v>450012764510</v>
      </c>
      <c r="Q68" s="9" cm="1">
        <f t="array" ref="Q68:S68">VLOOKUP(P68,Hoja1!C:F,{2,3,4},FALSE)</f>
        <v>46203</v>
      </c>
      <c r="R68" t="str">
        <v>C39</v>
      </c>
      <c r="S68" t="str">
        <v>1000001841 AONA SA</v>
      </c>
    </row>
    <row r="69" spans="1:19" x14ac:dyDescent="0.3">
      <c r="A69" s="2" t="s">
        <v>14</v>
      </c>
      <c r="B69" s="3" t="s">
        <v>14</v>
      </c>
      <c r="C69" s="3" t="s">
        <v>65</v>
      </c>
      <c r="D69" s="3" t="s">
        <v>14</v>
      </c>
      <c r="E69" s="3" t="s">
        <v>28</v>
      </c>
      <c r="F69" s="4">
        <v>46185</v>
      </c>
      <c r="G69" s="3" t="s">
        <v>16</v>
      </c>
      <c r="H69" s="5">
        <v>52686</v>
      </c>
      <c r="I69" s="3" t="s">
        <v>17</v>
      </c>
      <c r="J69" s="3" t="s">
        <v>18</v>
      </c>
      <c r="K69" s="3" t="s">
        <v>14</v>
      </c>
      <c r="L69" s="3" t="s">
        <v>47</v>
      </c>
      <c r="M69" s="4">
        <v>46191</v>
      </c>
      <c r="N69" s="3" t="s">
        <v>48</v>
      </c>
      <c r="O69" s="3" t="s">
        <v>34</v>
      </c>
      <c r="P69" t="str">
        <f t="shared" si="1"/>
        <v>450012764410</v>
      </c>
      <c r="Q69" s="9" cm="1">
        <f t="array" ref="Q69:S69">VLOOKUP(P69,Hoja1!C:F,{2,3,4},FALSE)</f>
        <v>46203</v>
      </c>
      <c r="R69" t="str">
        <v>C39</v>
      </c>
      <c r="S69" t="str">
        <v>1000001841 AONA SA</v>
      </c>
    </row>
    <row r="70" spans="1:19" x14ac:dyDescent="0.3">
      <c r="A70" s="2" t="s">
        <v>14</v>
      </c>
      <c r="B70" s="3" t="s">
        <v>14</v>
      </c>
      <c r="C70" s="3" t="s">
        <v>65</v>
      </c>
      <c r="D70" s="3" t="s">
        <v>14</v>
      </c>
      <c r="E70" s="3" t="s">
        <v>28</v>
      </c>
      <c r="F70" s="4">
        <v>46185</v>
      </c>
      <c r="G70" s="3" t="s">
        <v>16</v>
      </c>
      <c r="H70" s="5">
        <v>195041.27</v>
      </c>
      <c r="I70" s="3" t="s">
        <v>17</v>
      </c>
      <c r="J70" s="3" t="s">
        <v>18</v>
      </c>
      <c r="K70" s="3" t="s">
        <v>14</v>
      </c>
      <c r="L70" s="3" t="s">
        <v>47</v>
      </c>
      <c r="M70" s="4">
        <v>46191</v>
      </c>
      <c r="N70" s="3" t="s">
        <v>50</v>
      </c>
      <c r="O70" s="3" t="s">
        <v>34</v>
      </c>
      <c r="P70" t="str">
        <f t="shared" si="1"/>
        <v>450012764510</v>
      </c>
      <c r="Q70" s="9" cm="1">
        <f t="array" ref="Q70:S70">VLOOKUP(P70,Hoja1!C:F,{2,3,4},FALSE)</f>
        <v>46203</v>
      </c>
      <c r="R70" t="str">
        <v>C39</v>
      </c>
      <c r="S70" t="str">
        <v>1000001841 AONA SA</v>
      </c>
    </row>
    <row r="71" spans="1:19" x14ac:dyDescent="0.3">
      <c r="A71" s="2" t="s">
        <v>14</v>
      </c>
      <c r="B71" s="3" t="s">
        <v>14</v>
      </c>
      <c r="C71" s="3" t="s">
        <v>65</v>
      </c>
      <c r="D71" s="3" t="s">
        <v>14</v>
      </c>
      <c r="E71" s="3" t="s">
        <v>28</v>
      </c>
      <c r="F71" s="4">
        <v>46185</v>
      </c>
      <c r="G71" s="3" t="s">
        <v>16</v>
      </c>
      <c r="H71" s="5">
        <v>24991.74</v>
      </c>
      <c r="I71" s="3" t="s">
        <v>17</v>
      </c>
      <c r="J71" s="3" t="s">
        <v>18</v>
      </c>
      <c r="K71" s="3" t="s">
        <v>14</v>
      </c>
      <c r="L71" s="3" t="s">
        <v>47</v>
      </c>
      <c r="M71" s="4">
        <v>46191</v>
      </c>
      <c r="N71" s="3" t="s">
        <v>61</v>
      </c>
      <c r="O71" s="3" t="s">
        <v>34</v>
      </c>
      <c r="P71" t="str">
        <f t="shared" si="1"/>
        <v>450012764610</v>
      </c>
      <c r="Q71" s="9" cm="1">
        <f t="array" ref="Q71:S71">VLOOKUP(P71,Hoja1!C:F,{2,3,4},FALSE)</f>
        <v>46203</v>
      </c>
      <c r="R71" t="str">
        <v>C39</v>
      </c>
      <c r="S71" t="str">
        <v>1000001841 AONA SA</v>
      </c>
    </row>
    <row r="72" spans="1:19" x14ac:dyDescent="0.3">
      <c r="A72" s="2" t="s">
        <v>14</v>
      </c>
      <c r="B72" s="3" t="s">
        <v>14</v>
      </c>
      <c r="C72" s="3" t="s">
        <v>66</v>
      </c>
      <c r="D72" s="3" t="s">
        <v>14</v>
      </c>
      <c r="E72" s="3" t="s">
        <v>28</v>
      </c>
      <c r="F72" s="4">
        <v>46198</v>
      </c>
      <c r="G72" s="3" t="s">
        <v>16</v>
      </c>
      <c r="H72" s="5">
        <v>26115.7</v>
      </c>
      <c r="I72" s="3" t="s">
        <v>17</v>
      </c>
      <c r="J72" s="3" t="s">
        <v>18</v>
      </c>
      <c r="K72" s="3" t="s">
        <v>14</v>
      </c>
      <c r="L72" s="3" t="s">
        <v>67</v>
      </c>
      <c r="M72" s="4">
        <v>46204</v>
      </c>
      <c r="N72" s="3" t="s">
        <v>68</v>
      </c>
      <c r="O72" s="3" t="s">
        <v>34</v>
      </c>
      <c r="P72" t="str">
        <f t="shared" si="1"/>
        <v>450013173210</v>
      </c>
      <c r="Q72" s="9" cm="1">
        <f t="array" ref="Q72:S72">VLOOKUP(P72,Hoja1!C:F,{2,3,4},FALSE)</f>
        <v>46219</v>
      </c>
      <c r="R72" t="str">
        <v>EFO</v>
      </c>
      <c r="S72" t="str">
        <v>1000003378 PINTURERIA CENTRAL SRL</v>
      </c>
    </row>
    <row r="73" spans="1:19" x14ac:dyDescent="0.3">
      <c r="A73" s="2" t="s">
        <v>14</v>
      </c>
      <c r="B73" s="3" t="s">
        <v>14</v>
      </c>
      <c r="C73" s="3" t="s">
        <v>66</v>
      </c>
      <c r="D73" s="3" t="s">
        <v>14</v>
      </c>
      <c r="E73" s="3" t="s">
        <v>28</v>
      </c>
      <c r="F73" s="4">
        <v>46198</v>
      </c>
      <c r="G73" s="3" t="s">
        <v>16</v>
      </c>
      <c r="H73" s="5">
        <v>83260.38</v>
      </c>
      <c r="I73" s="3" t="s">
        <v>17</v>
      </c>
      <c r="J73" s="3" t="s">
        <v>18</v>
      </c>
      <c r="K73" s="3" t="s">
        <v>14</v>
      </c>
      <c r="L73" s="3" t="s">
        <v>67</v>
      </c>
      <c r="M73" s="4">
        <v>46204</v>
      </c>
      <c r="N73" s="3" t="s">
        <v>68</v>
      </c>
      <c r="O73" s="3" t="s">
        <v>21</v>
      </c>
      <c r="P73" t="str">
        <f t="shared" si="1"/>
        <v>450013173220</v>
      </c>
      <c r="Q73" s="9" cm="1">
        <f t="array" ref="Q73:S73">VLOOKUP(P73,Hoja1!C:F,{2,3,4},FALSE)</f>
        <v>46219</v>
      </c>
      <c r="R73" t="str">
        <v>EFO</v>
      </c>
      <c r="S73" t="str">
        <v>1000003378 PINTURERIA CENTRAL SRL</v>
      </c>
    </row>
    <row r="74" spans="1:19" x14ac:dyDescent="0.3">
      <c r="A74" s="2" t="s">
        <v>14</v>
      </c>
      <c r="B74" s="3" t="s">
        <v>14</v>
      </c>
      <c r="C74" s="3" t="s">
        <v>69</v>
      </c>
      <c r="D74" s="3" t="s">
        <v>14</v>
      </c>
      <c r="E74" s="3" t="s">
        <v>28</v>
      </c>
      <c r="F74" s="4">
        <v>46198</v>
      </c>
      <c r="G74" s="3" t="s">
        <v>16</v>
      </c>
      <c r="H74" s="5">
        <v>407925</v>
      </c>
      <c r="I74" s="3" t="s">
        <v>17</v>
      </c>
      <c r="J74" s="3" t="s">
        <v>18</v>
      </c>
      <c r="K74" s="3" t="s">
        <v>14</v>
      </c>
      <c r="L74" s="3" t="s">
        <v>47</v>
      </c>
      <c r="M74" s="4">
        <v>46220</v>
      </c>
      <c r="N74" s="3" t="s">
        <v>48</v>
      </c>
      <c r="O74" s="3" t="s">
        <v>34</v>
      </c>
      <c r="P74" t="str">
        <f t="shared" si="1"/>
        <v>450012764410</v>
      </c>
      <c r="Q74" s="9" cm="1">
        <f t="array" ref="Q74:S74">VLOOKUP(P74,Hoja1!C:F,{2,3,4},FALSE)</f>
        <v>46203</v>
      </c>
      <c r="R74" t="str">
        <v>C39</v>
      </c>
      <c r="S74" t="str">
        <v>1000001841 AONA SA</v>
      </c>
    </row>
    <row r="75" spans="1:19" x14ac:dyDescent="0.3">
      <c r="A75" s="2" t="s">
        <v>14</v>
      </c>
      <c r="B75" s="3" t="s">
        <v>14</v>
      </c>
      <c r="C75" s="3" t="s">
        <v>69</v>
      </c>
      <c r="D75" s="3" t="s">
        <v>14</v>
      </c>
      <c r="E75" s="3" t="s">
        <v>28</v>
      </c>
      <c r="F75" s="4">
        <v>46198</v>
      </c>
      <c r="G75" s="3" t="s">
        <v>16</v>
      </c>
      <c r="H75" s="5">
        <v>135975</v>
      </c>
      <c r="I75" s="3" t="s">
        <v>17</v>
      </c>
      <c r="J75" s="3" t="s">
        <v>18</v>
      </c>
      <c r="K75" s="3" t="s">
        <v>14</v>
      </c>
      <c r="L75" s="3" t="s">
        <v>47</v>
      </c>
      <c r="M75" s="4">
        <v>46220</v>
      </c>
      <c r="N75" s="3" t="s">
        <v>61</v>
      </c>
      <c r="O75" s="3" t="s">
        <v>34</v>
      </c>
      <c r="P75" t="str">
        <f t="shared" si="1"/>
        <v>450012764610</v>
      </c>
      <c r="Q75" s="9" cm="1">
        <f t="array" ref="Q75:S75">VLOOKUP(P75,Hoja1!C:F,{2,3,4},FALSE)</f>
        <v>46203</v>
      </c>
      <c r="R75" t="str">
        <v>C39</v>
      </c>
      <c r="S75" t="str">
        <v>1000001841 AONA SA</v>
      </c>
    </row>
    <row r="76" spans="1:19" x14ac:dyDescent="0.3">
      <c r="A76" s="2" t="s">
        <v>14</v>
      </c>
      <c r="B76" s="3" t="s">
        <v>14</v>
      </c>
      <c r="C76" s="3" t="s">
        <v>70</v>
      </c>
      <c r="D76" s="3" t="s">
        <v>14</v>
      </c>
      <c r="E76" s="3" t="s">
        <v>28</v>
      </c>
      <c r="F76" s="4">
        <v>46216</v>
      </c>
      <c r="G76" s="3" t="s">
        <v>16</v>
      </c>
      <c r="H76" s="5">
        <v>611887.5</v>
      </c>
      <c r="I76" s="3" t="s">
        <v>17</v>
      </c>
      <c r="J76" s="3" t="s">
        <v>18</v>
      </c>
      <c r="K76" s="3" t="s">
        <v>14</v>
      </c>
      <c r="L76" s="3" t="s">
        <v>47</v>
      </c>
      <c r="M76" s="4">
        <v>46220</v>
      </c>
      <c r="N76" s="3" t="s">
        <v>48</v>
      </c>
      <c r="O76" s="3" t="s">
        <v>34</v>
      </c>
      <c r="P76" t="str">
        <f t="shared" si="1"/>
        <v>450012764410</v>
      </c>
      <c r="Q76" s="9" cm="1">
        <f t="array" ref="Q76:S76">VLOOKUP(P76,Hoja1!C:F,{2,3,4},FALSE)</f>
        <v>46203</v>
      </c>
      <c r="R76" t="str">
        <v>C39</v>
      </c>
      <c r="S76" t="str">
        <v>1000001841 AONA SA</v>
      </c>
    </row>
    <row r="77" spans="1:19" x14ac:dyDescent="0.3">
      <c r="A77" s="2" t="s">
        <v>14</v>
      </c>
      <c r="B77" s="3" t="s">
        <v>14</v>
      </c>
      <c r="C77" s="3" t="s">
        <v>70</v>
      </c>
      <c r="D77" s="3" t="s">
        <v>14</v>
      </c>
      <c r="E77" s="3" t="s">
        <v>28</v>
      </c>
      <c r="F77" s="4">
        <v>46216</v>
      </c>
      <c r="G77" s="3" t="s">
        <v>16</v>
      </c>
      <c r="H77" s="5">
        <v>135975</v>
      </c>
      <c r="I77" s="3" t="s">
        <v>17</v>
      </c>
      <c r="J77" s="3" t="s">
        <v>18</v>
      </c>
      <c r="K77" s="3" t="s">
        <v>14</v>
      </c>
      <c r="L77" s="3" t="s">
        <v>47</v>
      </c>
      <c r="M77" s="4">
        <v>46220</v>
      </c>
      <c r="N77" s="3" t="s">
        <v>50</v>
      </c>
      <c r="O77" s="3" t="s">
        <v>34</v>
      </c>
      <c r="P77" t="str">
        <f t="shared" si="1"/>
        <v>450012764510</v>
      </c>
      <c r="Q77" s="9" cm="1">
        <f t="array" ref="Q77:S77">VLOOKUP(P77,Hoja1!C:F,{2,3,4},FALSE)</f>
        <v>46203</v>
      </c>
      <c r="R77" t="str">
        <v>C39</v>
      </c>
      <c r="S77" t="str">
        <v>1000001841 AONA SA</v>
      </c>
    </row>
    <row r="78" spans="1:19" x14ac:dyDescent="0.3">
      <c r="A78" s="2" t="s">
        <v>14</v>
      </c>
      <c r="B78" s="3" t="s">
        <v>14</v>
      </c>
      <c r="C78" s="3" t="s">
        <v>71</v>
      </c>
      <c r="D78" s="3" t="s">
        <v>14</v>
      </c>
      <c r="E78" s="3" t="s">
        <v>28</v>
      </c>
      <c r="F78" s="4">
        <v>46205</v>
      </c>
      <c r="G78" s="3" t="s">
        <v>16</v>
      </c>
      <c r="H78" s="5">
        <v>339937.5</v>
      </c>
      <c r="I78" s="3" t="s">
        <v>17</v>
      </c>
      <c r="J78" s="3" t="s">
        <v>18</v>
      </c>
      <c r="K78" s="3" t="s">
        <v>14</v>
      </c>
      <c r="L78" s="3" t="s">
        <v>47</v>
      </c>
      <c r="M78" s="4">
        <v>46220</v>
      </c>
      <c r="N78" s="3" t="s">
        <v>61</v>
      </c>
      <c r="O78" s="3" t="s">
        <v>34</v>
      </c>
      <c r="P78" t="str">
        <f t="shared" si="1"/>
        <v>450012764610</v>
      </c>
      <c r="Q78" s="9" cm="1">
        <f t="array" ref="Q78:S78">VLOOKUP(P78,Hoja1!C:F,{2,3,4},FALSE)</f>
        <v>46203</v>
      </c>
      <c r="R78" t="str">
        <v>C39</v>
      </c>
      <c r="S78" t="str">
        <v>1000001841 AONA SA</v>
      </c>
    </row>
    <row r="79" spans="1:19" x14ac:dyDescent="0.3">
      <c r="A79" s="2" t="s">
        <v>14</v>
      </c>
      <c r="B79" s="3" t="s">
        <v>14</v>
      </c>
      <c r="C79" s="3" t="s">
        <v>72</v>
      </c>
      <c r="D79" s="3" t="s">
        <v>14</v>
      </c>
      <c r="E79" s="3" t="s">
        <v>28</v>
      </c>
      <c r="F79" s="4">
        <v>46220</v>
      </c>
      <c r="G79" s="3" t="s">
        <v>16</v>
      </c>
      <c r="H79" s="5">
        <v>67523.45</v>
      </c>
      <c r="I79" s="3" t="s">
        <v>17</v>
      </c>
      <c r="J79" s="3" t="s">
        <v>18</v>
      </c>
      <c r="K79" s="3" t="s">
        <v>14</v>
      </c>
      <c r="L79" s="3" t="s">
        <v>73</v>
      </c>
      <c r="M79" s="4">
        <v>46233</v>
      </c>
      <c r="N79" s="3" t="s">
        <v>74</v>
      </c>
      <c r="O79" s="3" t="s">
        <v>34</v>
      </c>
      <c r="P79" t="str">
        <f t="shared" si="1"/>
        <v>450013297010</v>
      </c>
      <c r="Q79" s="9" cm="1">
        <f t="array" ref="Q79:S79">VLOOKUP(P79,Hoja1!C:F,{2,3,4},FALSE)</f>
        <v>46301</v>
      </c>
      <c r="R79" t="str">
        <v>C43</v>
      </c>
      <c r="S79" t="str">
        <v>1000003373 MEYNIEL S.R.L.</v>
      </c>
    </row>
    <row r="80" spans="1:19" x14ac:dyDescent="0.3">
      <c r="A80" s="2" t="s">
        <v>14</v>
      </c>
      <c r="B80" s="3" t="s">
        <v>14</v>
      </c>
      <c r="C80" s="3" t="s">
        <v>75</v>
      </c>
      <c r="D80" s="3" t="s">
        <v>14</v>
      </c>
      <c r="E80" s="3" t="s">
        <v>28</v>
      </c>
      <c r="F80" s="4">
        <v>46227</v>
      </c>
      <c r="G80" s="3" t="s">
        <v>16</v>
      </c>
      <c r="H80" s="5">
        <v>110106.75</v>
      </c>
      <c r="I80" s="3" t="s">
        <v>17</v>
      </c>
      <c r="J80" s="3" t="s">
        <v>18</v>
      </c>
      <c r="K80" s="3" t="s">
        <v>14</v>
      </c>
      <c r="L80" s="3" t="s">
        <v>47</v>
      </c>
      <c r="M80" s="4">
        <v>46253</v>
      </c>
      <c r="N80" s="3" t="s">
        <v>76</v>
      </c>
      <c r="O80" s="3" t="s">
        <v>34</v>
      </c>
      <c r="P80" t="str">
        <f t="shared" si="1"/>
        <v>450013335210</v>
      </c>
      <c r="Q80" s="9" cm="1">
        <f t="array" ref="Q80:S80">VLOOKUP(P80,Hoja1!C:F,{2,3,4},FALSE)</f>
        <v>46240</v>
      </c>
      <c r="R80" t="str">
        <v>C43</v>
      </c>
      <c r="S80" t="str">
        <v>1000001841 AONA SA</v>
      </c>
    </row>
    <row r="81" spans="1:19" x14ac:dyDescent="0.3">
      <c r="A81" s="2" t="s">
        <v>14</v>
      </c>
      <c r="B81" s="3" t="s">
        <v>14</v>
      </c>
      <c r="C81" s="3" t="s">
        <v>75</v>
      </c>
      <c r="D81" s="3" t="s">
        <v>14</v>
      </c>
      <c r="E81" s="3" t="s">
        <v>28</v>
      </c>
      <c r="F81" s="4">
        <v>46227</v>
      </c>
      <c r="G81" s="3" t="s">
        <v>16</v>
      </c>
      <c r="H81" s="5">
        <v>367022.5</v>
      </c>
      <c r="I81" s="3" t="s">
        <v>17</v>
      </c>
      <c r="J81" s="3" t="s">
        <v>18</v>
      </c>
      <c r="K81" s="3" t="s">
        <v>14</v>
      </c>
      <c r="L81" s="3" t="s">
        <v>47</v>
      </c>
      <c r="M81" s="4">
        <v>46253</v>
      </c>
      <c r="N81" s="3" t="s">
        <v>77</v>
      </c>
      <c r="O81" s="3" t="s">
        <v>34</v>
      </c>
      <c r="P81" t="str">
        <f t="shared" si="1"/>
        <v>450013335310</v>
      </c>
      <c r="Q81" s="9" cm="1">
        <f t="array" ref="Q81:S81">VLOOKUP(P81,Hoja1!C:F,{2,3,4},FALSE)</f>
        <v>46240</v>
      </c>
      <c r="R81" t="str">
        <v>C43</v>
      </c>
      <c r="S81" t="str">
        <v>1000001841 AONA SA</v>
      </c>
    </row>
    <row r="82" spans="1:19" x14ac:dyDescent="0.3">
      <c r="A82" s="2" t="s">
        <v>14</v>
      </c>
      <c r="B82" s="3" t="s">
        <v>14</v>
      </c>
      <c r="C82" s="3" t="s">
        <v>75</v>
      </c>
      <c r="D82" s="3" t="s">
        <v>14</v>
      </c>
      <c r="E82" s="3" t="s">
        <v>28</v>
      </c>
      <c r="F82" s="4">
        <v>46227</v>
      </c>
      <c r="G82" s="3" t="s">
        <v>16</v>
      </c>
      <c r="H82" s="5">
        <v>36702.25</v>
      </c>
      <c r="I82" s="3" t="s">
        <v>17</v>
      </c>
      <c r="J82" s="3" t="s">
        <v>18</v>
      </c>
      <c r="K82" s="3" t="s">
        <v>14</v>
      </c>
      <c r="L82" s="3" t="s">
        <v>47</v>
      </c>
      <c r="M82" s="4">
        <v>46253</v>
      </c>
      <c r="N82" s="3" t="s">
        <v>78</v>
      </c>
      <c r="O82" s="3" t="s">
        <v>34</v>
      </c>
      <c r="P82" t="str">
        <f t="shared" si="1"/>
        <v>450013335410</v>
      </c>
      <c r="Q82" s="9" cm="1">
        <f t="array" ref="Q82:S82">VLOOKUP(P82,Hoja1!C:F,{2,3,4},FALSE)</f>
        <v>46240</v>
      </c>
      <c r="R82" t="str">
        <v>C43</v>
      </c>
      <c r="S82" t="str">
        <v>1000001841 AONA SA</v>
      </c>
    </row>
    <row r="83" spans="1:19" x14ac:dyDescent="0.3">
      <c r="A83" s="2" t="s">
        <v>14</v>
      </c>
      <c r="B83" s="3" t="s">
        <v>14</v>
      </c>
      <c r="C83" s="3" t="s">
        <v>79</v>
      </c>
      <c r="D83" s="3" t="s">
        <v>14</v>
      </c>
      <c r="E83" s="3" t="s">
        <v>28</v>
      </c>
      <c r="F83" s="4">
        <v>46238</v>
      </c>
      <c r="G83" s="3" t="s">
        <v>16</v>
      </c>
      <c r="H83" s="5">
        <v>36702.25</v>
      </c>
      <c r="I83" s="3" t="s">
        <v>17</v>
      </c>
      <c r="J83" s="3" t="s">
        <v>18</v>
      </c>
      <c r="K83" s="3" t="s">
        <v>14</v>
      </c>
      <c r="L83" s="3" t="s">
        <v>47</v>
      </c>
      <c r="M83" s="4">
        <v>46253</v>
      </c>
      <c r="N83" s="3" t="s">
        <v>76</v>
      </c>
      <c r="O83" s="3" t="s">
        <v>34</v>
      </c>
      <c r="P83" t="str">
        <f t="shared" si="1"/>
        <v>450013335210</v>
      </c>
      <c r="Q83" s="9" cm="1">
        <f t="array" ref="Q83:S83">VLOOKUP(P83,Hoja1!C:F,{2,3,4},FALSE)</f>
        <v>46240</v>
      </c>
      <c r="R83" t="str">
        <v>C43</v>
      </c>
      <c r="S83" t="str">
        <v>1000001841 AONA SA</v>
      </c>
    </row>
    <row r="84" spans="1:19" x14ac:dyDescent="0.3">
      <c r="A84" s="2" t="s">
        <v>14</v>
      </c>
      <c r="B84" s="3" t="s">
        <v>14</v>
      </c>
      <c r="C84" s="3" t="s">
        <v>79</v>
      </c>
      <c r="D84" s="3" t="s">
        <v>14</v>
      </c>
      <c r="E84" s="3" t="s">
        <v>28</v>
      </c>
      <c r="F84" s="4">
        <v>46238</v>
      </c>
      <c r="G84" s="3" t="s">
        <v>16</v>
      </c>
      <c r="H84" s="5">
        <v>220213.5</v>
      </c>
      <c r="I84" s="3" t="s">
        <v>17</v>
      </c>
      <c r="J84" s="3" t="s">
        <v>18</v>
      </c>
      <c r="K84" s="3" t="s">
        <v>14</v>
      </c>
      <c r="L84" s="3" t="s">
        <v>47</v>
      </c>
      <c r="M84" s="4">
        <v>46253</v>
      </c>
      <c r="N84" s="3" t="s">
        <v>77</v>
      </c>
      <c r="O84" s="3" t="s">
        <v>34</v>
      </c>
      <c r="P84" t="str">
        <f t="shared" si="1"/>
        <v>450013335310</v>
      </c>
      <c r="Q84" s="9" cm="1">
        <f t="array" ref="Q84:S84">VLOOKUP(P84,Hoja1!C:F,{2,3,4},FALSE)</f>
        <v>46240</v>
      </c>
      <c r="R84" t="str">
        <v>C43</v>
      </c>
      <c r="S84" t="str">
        <v>1000001841 AONA SA</v>
      </c>
    </row>
    <row r="85" spans="1:19" x14ac:dyDescent="0.3">
      <c r="A85" s="2" t="s">
        <v>14</v>
      </c>
      <c r="B85" s="3" t="s">
        <v>14</v>
      </c>
      <c r="C85" s="3" t="s">
        <v>79</v>
      </c>
      <c r="D85" s="3" t="s">
        <v>14</v>
      </c>
      <c r="E85" s="3" t="s">
        <v>28</v>
      </c>
      <c r="F85" s="4">
        <v>46238</v>
      </c>
      <c r="G85" s="3" t="s">
        <v>16</v>
      </c>
      <c r="H85" s="5">
        <v>110106.75</v>
      </c>
      <c r="I85" s="3" t="s">
        <v>17</v>
      </c>
      <c r="J85" s="3" t="s">
        <v>18</v>
      </c>
      <c r="K85" s="3" t="s">
        <v>14</v>
      </c>
      <c r="L85" s="3" t="s">
        <v>47</v>
      </c>
      <c r="M85" s="4">
        <v>46253</v>
      </c>
      <c r="N85" s="3" t="s">
        <v>78</v>
      </c>
      <c r="O85" s="3" t="s">
        <v>34</v>
      </c>
      <c r="P85" t="str">
        <f t="shared" si="1"/>
        <v>450013335410</v>
      </c>
      <c r="Q85" s="9" cm="1">
        <f t="array" ref="Q85:S85">VLOOKUP(P85,Hoja1!C:F,{2,3,4},FALSE)</f>
        <v>46240</v>
      </c>
      <c r="R85" t="str">
        <v>C43</v>
      </c>
      <c r="S85" t="str">
        <v>1000001841 AONA SA</v>
      </c>
    </row>
    <row r="86" spans="1:19" x14ac:dyDescent="0.3">
      <c r="A86" s="2" t="s">
        <v>14</v>
      </c>
      <c r="B86" s="3" t="s">
        <v>14</v>
      </c>
      <c r="C86" s="3" t="s">
        <v>80</v>
      </c>
      <c r="D86" s="3" t="s">
        <v>14</v>
      </c>
      <c r="E86" s="3" t="s">
        <v>28</v>
      </c>
      <c r="F86" s="4">
        <v>46248</v>
      </c>
      <c r="G86" s="3" t="s">
        <v>16</v>
      </c>
      <c r="H86" s="5">
        <v>73404.5</v>
      </c>
      <c r="I86" s="3" t="s">
        <v>17</v>
      </c>
      <c r="J86" s="3" t="s">
        <v>18</v>
      </c>
      <c r="K86" s="3" t="s">
        <v>14</v>
      </c>
      <c r="L86" s="3" t="s">
        <v>47</v>
      </c>
      <c r="M86" s="4">
        <v>46253</v>
      </c>
      <c r="N86" s="3" t="s">
        <v>76</v>
      </c>
      <c r="O86" s="3" t="s">
        <v>34</v>
      </c>
      <c r="P86" t="str">
        <f t="shared" si="1"/>
        <v>450013335210</v>
      </c>
      <c r="Q86" s="9" cm="1">
        <f t="array" ref="Q86:S86">VLOOKUP(P86,Hoja1!C:F,{2,3,4},FALSE)</f>
        <v>46240</v>
      </c>
      <c r="R86" t="str">
        <v>C43</v>
      </c>
      <c r="S86" t="str">
        <v>1000001841 AONA SA</v>
      </c>
    </row>
    <row r="87" spans="1:19" x14ac:dyDescent="0.3">
      <c r="A87" s="2" t="s">
        <v>14</v>
      </c>
      <c r="B87" s="3" t="s">
        <v>14</v>
      </c>
      <c r="C87" s="3" t="s">
        <v>80</v>
      </c>
      <c r="D87" s="3" t="s">
        <v>14</v>
      </c>
      <c r="E87" s="3" t="s">
        <v>28</v>
      </c>
      <c r="F87" s="4">
        <v>46248</v>
      </c>
      <c r="G87" s="3" t="s">
        <v>16</v>
      </c>
      <c r="H87" s="5">
        <v>440427</v>
      </c>
      <c r="I87" s="3" t="s">
        <v>17</v>
      </c>
      <c r="J87" s="3" t="s">
        <v>18</v>
      </c>
      <c r="K87" s="3" t="s">
        <v>14</v>
      </c>
      <c r="L87" s="3" t="s">
        <v>47</v>
      </c>
      <c r="M87" s="4">
        <v>46253</v>
      </c>
      <c r="N87" s="3" t="s">
        <v>77</v>
      </c>
      <c r="O87" s="3" t="s">
        <v>34</v>
      </c>
      <c r="P87" t="str">
        <f t="shared" si="1"/>
        <v>450013335310</v>
      </c>
      <c r="Q87" s="9" cm="1">
        <f t="array" ref="Q87:S87">VLOOKUP(P87,Hoja1!C:F,{2,3,4},FALSE)</f>
        <v>46240</v>
      </c>
      <c r="R87" t="str">
        <v>C43</v>
      </c>
      <c r="S87" t="str">
        <v>1000001841 AONA SA</v>
      </c>
    </row>
    <row r="88" spans="1:19" x14ac:dyDescent="0.3">
      <c r="A88" s="2" t="s">
        <v>14</v>
      </c>
      <c r="B88" s="3" t="s">
        <v>14</v>
      </c>
      <c r="C88" s="3" t="s">
        <v>81</v>
      </c>
      <c r="D88" s="3" t="s">
        <v>14</v>
      </c>
      <c r="E88" s="3" t="s">
        <v>28</v>
      </c>
      <c r="F88" s="4">
        <v>46112</v>
      </c>
      <c r="G88" s="3" t="s">
        <v>16</v>
      </c>
      <c r="H88" s="5">
        <v>1192950</v>
      </c>
      <c r="I88" s="3" t="s">
        <v>17</v>
      </c>
      <c r="J88" s="3" t="s">
        <v>18</v>
      </c>
      <c r="K88" s="3" t="s">
        <v>14</v>
      </c>
      <c r="L88" s="3" t="s">
        <v>82</v>
      </c>
      <c r="M88" s="4">
        <v>46261</v>
      </c>
      <c r="N88" s="3" t="s">
        <v>83</v>
      </c>
      <c r="O88" s="3" t="s">
        <v>34</v>
      </c>
      <c r="P88" t="str">
        <f t="shared" si="1"/>
        <v>450012381510</v>
      </c>
      <c r="Q88" s="9" cm="1">
        <f t="array" ref="Q88:S88">VLOOKUP(P88,Hoja1!C:F,{2,3,4},FALSE)</f>
        <v>46322</v>
      </c>
      <c r="R88" t="str">
        <v>F07</v>
      </c>
      <c r="S88" t="str">
        <v>1000000012 IGARRETA MAQUINAS S.A.</v>
      </c>
    </row>
    <row r="89" spans="1:19" x14ac:dyDescent="0.3">
      <c r="A89" s="2" t="s">
        <v>14</v>
      </c>
      <c r="B89" s="3" t="s">
        <v>14</v>
      </c>
      <c r="C89" s="3" t="s">
        <v>84</v>
      </c>
      <c r="D89" s="3" t="s">
        <v>14</v>
      </c>
      <c r="E89" s="3" t="s">
        <v>28</v>
      </c>
      <c r="F89" s="4">
        <v>46097</v>
      </c>
      <c r="G89" s="3" t="s">
        <v>16</v>
      </c>
      <c r="H89" s="5">
        <v>101194.5</v>
      </c>
      <c r="I89" s="3" t="s">
        <v>17</v>
      </c>
      <c r="J89" s="3" t="s">
        <v>18</v>
      </c>
      <c r="K89" s="3" t="s">
        <v>14</v>
      </c>
      <c r="L89" s="3" t="s">
        <v>82</v>
      </c>
      <c r="M89" s="4">
        <v>46261</v>
      </c>
      <c r="N89" s="3" t="s">
        <v>85</v>
      </c>
      <c r="O89" s="3" t="s">
        <v>21</v>
      </c>
      <c r="P89" t="str">
        <f t="shared" si="1"/>
        <v>450012176020</v>
      </c>
      <c r="Q89" s="9" cm="1">
        <f t="array" ref="Q89:S89">VLOOKUP(P89,Hoja1!C:F,{2,3,4},FALSE)</f>
        <v>46322</v>
      </c>
      <c r="R89" t="str">
        <v>C03</v>
      </c>
      <c r="S89" t="str">
        <v>1000000012 IGARRETA MAQUINAS S.A.</v>
      </c>
    </row>
    <row r="90" spans="1:19" x14ac:dyDescent="0.3">
      <c r="A90" s="2" t="s">
        <v>14</v>
      </c>
      <c r="B90" s="3" t="s">
        <v>14</v>
      </c>
      <c r="C90" s="3" t="s">
        <v>84</v>
      </c>
      <c r="D90" s="3" t="s">
        <v>14</v>
      </c>
      <c r="E90" s="3" t="s">
        <v>28</v>
      </c>
      <c r="F90" s="4">
        <v>46097</v>
      </c>
      <c r="G90" s="3" t="s">
        <v>16</v>
      </c>
      <c r="H90" s="5">
        <v>90304.5</v>
      </c>
      <c r="I90" s="3" t="s">
        <v>17</v>
      </c>
      <c r="J90" s="3" t="s">
        <v>18</v>
      </c>
      <c r="K90" s="3" t="s">
        <v>14</v>
      </c>
      <c r="L90" s="3" t="s">
        <v>82</v>
      </c>
      <c r="M90" s="4">
        <v>46261</v>
      </c>
      <c r="N90" s="3" t="s">
        <v>85</v>
      </c>
      <c r="O90" s="3" t="s">
        <v>25</v>
      </c>
      <c r="P90" t="str">
        <f t="shared" si="1"/>
        <v>450012176070</v>
      </c>
      <c r="Q90" s="9" cm="1">
        <f t="array" ref="Q90:S90">VLOOKUP(P90,Hoja1!C:F,{2,3,4},FALSE)</f>
        <v>46322</v>
      </c>
      <c r="R90" t="str">
        <v>C03</v>
      </c>
      <c r="S90" t="str">
        <v>1000000012 IGARRETA MAQUINAS S.A.</v>
      </c>
    </row>
    <row r="91" spans="1:19" x14ac:dyDescent="0.3">
      <c r="A91" s="2" t="s">
        <v>14</v>
      </c>
      <c r="B91" s="3" t="s">
        <v>14</v>
      </c>
      <c r="C91" s="3" t="s">
        <v>86</v>
      </c>
      <c r="D91" s="3" t="s">
        <v>14</v>
      </c>
      <c r="E91" s="3" t="s">
        <v>28</v>
      </c>
      <c r="F91" s="4">
        <v>46260</v>
      </c>
      <c r="G91" s="3" t="s">
        <v>16</v>
      </c>
      <c r="H91" s="5">
        <v>73404.5</v>
      </c>
      <c r="I91" s="3" t="s">
        <v>17</v>
      </c>
      <c r="J91" s="3" t="s">
        <v>18</v>
      </c>
      <c r="K91" s="3" t="s">
        <v>14</v>
      </c>
      <c r="L91" s="3" t="s">
        <v>47</v>
      </c>
      <c r="M91" s="4">
        <v>46265</v>
      </c>
      <c r="N91" s="3" t="s">
        <v>76</v>
      </c>
      <c r="O91" s="3" t="s">
        <v>34</v>
      </c>
      <c r="P91" t="str">
        <f t="shared" si="1"/>
        <v>450013335210</v>
      </c>
      <c r="Q91" s="9" cm="1">
        <f t="array" ref="Q91:S91">VLOOKUP(P91,Hoja1!C:F,{2,3,4},FALSE)</f>
        <v>46240</v>
      </c>
      <c r="R91" t="str">
        <v>C43</v>
      </c>
      <c r="S91" t="str">
        <v>1000001841 AONA SA</v>
      </c>
    </row>
    <row r="92" spans="1:19" x14ac:dyDescent="0.3">
      <c r="A92" s="2" t="s">
        <v>14</v>
      </c>
      <c r="B92" s="3" t="s">
        <v>14</v>
      </c>
      <c r="C92" s="3" t="s">
        <v>86</v>
      </c>
      <c r="D92" s="3" t="s">
        <v>14</v>
      </c>
      <c r="E92" s="3" t="s">
        <v>28</v>
      </c>
      <c r="F92" s="4">
        <v>46260</v>
      </c>
      <c r="G92" s="3" t="s">
        <v>16</v>
      </c>
      <c r="H92" s="5">
        <v>660640.5</v>
      </c>
      <c r="I92" s="3" t="s">
        <v>17</v>
      </c>
      <c r="J92" s="3" t="s">
        <v>18</v>
      </c>
      <c r="K92" s="3" t="s">
        <v>14</v>
      </c>
      <c r="L92" s="3" t="s">
        <v>47</v>
      </c>
      <c r="M92" s="4">
        <v>46265</v>
      </c>
      <c r="N92" s="3" t="s">
        <v>77</v>
      </c>
      <c r="O92" s="3" t="s">
        <v>34</v>
      </c>
      <c r="P92" t="str">
        <f t="shared" si="1"/>
        <v>450013335310</v>
      </c>
      <c r="Q92" s="9" cm="1">
        <f t="array" ref="Q92:S92">VLOOKUP(P92,Hoja1!C:F,{2,3,4},FALSE)</f>
        <v>46240</v>
      </c>
      <c r="R92" t="str">
        <v>C43</v>
      </c>
      <c r="S92" t="str">
        <v>1000001841 AONA SA</v>
      </c>
    </row>
    <row r="93" spans="1:19" x14ac:dyDescent="0.3">
      <c r="A93" s="2" t="s">
        <v>14</v>
      </c>
      <c r="B93" s="3" t="s">
        <v>14</v>
      </c>
      <c r="C93" s="3" t="s">
        <v>86</v>
      </c>
      <c r="D93" s="3" t="s">
        <v>14</v>
      </c>
      <c r="E93" s="3" t="s">
        <v>28</v>
      </c>
      <c r="F93" s="4">
        <v>46260</v>
      </c>
      <c r="G93" s="3" t="s">
        <v>16</v>
      </c>
      <c r="H93" s="5">
        <v>73404.5</v>
      </c>
      <c r="I93" s="3" t="s">
        <v>17</v>
      </c>
      <c r="J93" s="3" t="s">
        <v>18</v>
      </c>
      <c r="K93" s="3" t="s">
        <v>14</v>
      </c>
      <c r="L93" s="3" t="s">
        <v>47</v>
      </c>
      <c r="M93" s="4">
        <v>46265</v>
      </c>
      <c r="N93" s="3" t="s">
        <v>78</v>
      </c>
      <c r="O93" s="3" t="s">
        <v>34</v>
      </c>
      <c r="P93" t="str">
        <f t="shared" si="1"/>
        <v>450013335410</v>
      </c>
      <c r="Q93" s="9" cm="1">
        <f t="array" ref="Q93:S93">VLOOKUP(P93,Hoja1!C:F,{2,3,4},FALSE)</f>
        <v>46240</v>
      </c>
      <c r="R93" t="str">
        <v>C43</v>
      </c>
      <c r="S93" t="str">
        <v>1000001841 AONA SA</v>
      </c>
    </row>
    <row r="94" spans="1:19" x14ac:dyDescent="0.3">
      <c r="A94" s="2" t="s">
        <v>14</v>
      </c>
      <c r="B94" s="3" t="s">
        <v>14</v>
      </c>
      <c r="C94" s="3" t="s">
        <v>87</v>
      </c>
      <c r="D94" s="3" t="s">
        <v>14</v>
      </c>
      <c r="E94" s="3" t="s">
        <v>28</v>
      </c>
      <c r="F94" s="4">
        <v>46273</v>
      </c>
      <c r="G94" s="3" t="s">
        <v>16</v>
      </c>
      <c r="H94" s="5">
        <v>60925.74</v>
      </c>
      <c r="I94" s="3" t="s">
        <v>17</v>
      </c>
      <c r="J94" s="3" t="s">
        <v>18</v>
      </c>
      <c r="K94" s="3" t="s">
        <v>14</v>
      </c>
      <c r="L94" s="3" t="s">
        <v>47</v>
      </c>
      <c r="M94" s="4">
        <v>46274</v>
      </c>
      <c r="N94" s="3" t="s">
        <v>76</v>
      </c>
      <c r="O94" s="3" t="s">
        <v>34</v>
      </c>
      <c r="P94" t="str">
        <f t="shared" si="1"/>
        <v>450013335210</v>
      </c>
      <c r="Q94" s="9" cm="1">
        <f t="array" ref="Q94:S94">VLOOKUP(P94,Hoja1!C:F,{2,3,4},FALSE)</f>
        <v>46240</v>
      </c>
      <c r="R94" t="str">
        <v>C43</v>
      </c>
      <c r="S94" t="str">
        <v>1000001841 AONA SA</v>
      </c>
    </row>
    <row r="95" spans="1:19" x14ac:dyDescent="0.3">
      <c r="A95" s="2" t="s">
        <v>14</v>
      </c>
      <c r="B95" s="3" t="s">
        <v>14</v>
      </c>
      <c r="C95" s="3" t="s">
        <v>87</v>
      </c>
      <c r="D95" s="3" t="s">
        <v>14</v>
      </c>
      <c r="E95" s="3" t="s">
        <v>28</v>
      </c>
      <c r="F95" s="4">
        <v>46273</v>
      </c>
      <c r="G95" s="3" t="s">
        <v>16</v>
      </c>
      <c r="H95" s="5">
        <v>83681.13</v>
      </c>
      <c r="I95" s="3" t="s">
        <v>17</v>
      </c>
      <c r="J95" s="3" t="s">
        <v>18</v>
      </c>
      <c r="K95" s="3" t="s">
        <v>14</v>
      </c>
      <c r="L95" s="3" t="s">
        <v>47</v>
      </c>
      <c r="M95" s="4">
        <v>46274</v>
      </c>
      <c r="N95" s="3" t="s">
        <v>78</v>
      </c>
      <c r="O95" s="3" t="s">
        <v>34</v>
      </c>
      <c r="P95" t="str">
        <f t="shared" si="1"/>
        <v>450013335410</v>
      </c>
      <c r="Q95" s="9" cm="1">
        <f t="array" ref="Q95:S95">VLOOKUP(P95,Hoja1!C:F,{2,3,4},FALSE)</f>
        <v>46240</v>
      </c>
      <c r="R95" t="str">
        <v>C43</v>
      </c>
      <c r="S95" t="str">
        <v>1000001841 AONA SA</v>
      </c>
    </row>
    <row r="96" spans="1:19" x14ac:dyDescent="0.3">
      <c r="A96" s="2" t="s">
        <v>14</v>
      </c>
      <c r="B96" s="3" t="s">
        <v>14</v>
      </c>
      <c r="C96" s="3" t="s">
        <v>88</v>
      </c>
      <c r="D96" s="3" t="s">
        <v>14</v>
      </c>
      <c r="E96" s="3" t="s">
        <v>28</v>
      </c>
      <c r="F96" s="4">
        <v>46268</v>
      </c>
      <c r="G96" s="3" t="s">
        <v>44</v>
      </c>
      <c r="H96" s="6">
        <v>-53543.71</v>
      </c>
      <c r="I96" s="3" t="s">
        <v>17</v>
      </c>
      <c r="J96" s="3" t="s">
        <v>18</v>
      </c>
      <c r="K96" s="3" t="s">
        <v>14</v>
      </c>
      <c r="L96" s="3" t="s">
        <v>89</v>
      </c>
      <c r="M96" s="4">
        <v>46279</v>
      </c>
      <c r="N96" s="3" t="s">
        <v>90</v>
      </c>
      <c r="O96" s="3" t="s">
        <v>21</v>
      </c>
      <c r="P96" t="str">
        <f t="shared" si="1"/>
        <v>450013335120</v>
      </c>
      <c r="Q96" s="9" cm="1">
        <f t="array" ref="Q96:S96">VLOOKUP(P96,Hoja1!C:F,{2,3,4},FALSE)</f>
        <v>46255</v>
      </c>
      <c r="R96" t="str">
        <v>C28</v>
      </c>
      <c r="S96" t="str">
        <v>1000001028 SOSTEN S.A.</v>
      </c>
    </row>
    <row r="97" spans="1:19" x14ac:dyDescent="0.3">
      <c r="A97" s="2" t="s">
        <v>14</v>
      </c>
      <c r="B97" s="3" t="s">
        <v>14</v>
      </c>
      <c r="C97" s="3" t="s">
        <v>91</v>
      </c>
      <c r="D97" s="3" t="s">
        <v>14</v>
      </c>
      <c r="E97" s="3" t="s">
        <v>28</v>
      </c>
      <c r="F97" s="4">
        <v>46288</v>
      </c>
      <c r="G97" s="3" t="s">
        <v>16</v>
      </c>
      <c r="H97" s="5">
        <v>270973.55</v>
      </c>
      <c r="I97" s="3" t="s">
        <v>17</v>
      </c>
      <c r="J97" s="3" t="s">
        <v>18</v>
      </c>
      <c r="K97" s="3" t="s">
        <v>14</v>
      </c>
      <c r="L97" s="3" t="s">
        <v>92</v>
      </c>
      <c r="M97" s="4">
        <v>46288</v>
      </c>
      <c r="N97" s="3" t="s">
        <v>93</v>
      </c>
      <c r="O97" s="3" t="s">
        <v>34</v>
      </c>
      <c r="P97" t="str">
        <f t="shared" si="1"/>
        <v>450013784910</v>
      </c>
      <c r="Q97" s="9" cm="1">
        <f t="array" ref="Q97:S97">VLOOKUP(P97,Hoja1!C:F,{2,3,4},FALSE)</f>
        <v>46276</v>
      </c>
      <c r="R97" t="str">
        <v>C27</v>
      </c>
      <c r="S97" t="str">
        <v>1000000154 BLASTING S.A.</v>
      </c>
    </row>
    <row r="98" spans="1:19" x14ac:dyDescent="0.3">
      <c r="A98" s="2" t="s">
        <v>14</v>
      </c>
      <c r="B98" s="3" t="s">
        <v>14</v>
      </c>
      <c r="C98" s="3" t="s">
        <v>94</v>
      </c>
      <c r="D98" s="3" t="s">
        <v>14</v>
      </c>
      <c r="E98" s="3" t="s">
        <v>28</v>
      </c>
      <c r="F98" s="4">
        <v>46279</v>
      </c>
      <c r="G98" s="3" t="s">
        <v>16</v>
      </c>
      <c r="H98" s="5">
        <v>150169.5</v>
      </c>
      <c r="I98" s="3" t="s">
        <v>17</v>
      </c>
      <c r="J98" s="3" t="s">
        <v>18</v>
      </c>
      <c r="K98" s="3" t="s">
        <v>14</v>
      </c>
      <c r="L98" s="3" t="s">
        <v>95</v>
      </c>
      <c r="M98" s="4">
        <v>46289</v>
      </c>
      <c r="N98" s="3" t="s">
        <v>96</v>
      </c>
      <c r="O98" s="3" t="s">
        <v>34</v>
      </c>
      <c r="P98" t="str">
        <f t="shared" si="1"/>
        <v>450013337410</v>
      </c>
      <c r="Q98" s="9" cm="1">
        <f t="array" ref="Q98:S98">VLOOKUP(P98,Hoja1!C:F,{2,3,4},FALSE)</f>
        <v>46304</v>
      </c>
      <c r="R98" t="str">
        <v>G05</v>
      </c>
      <c r="S98" t="str">
        <v>1000000561 ESCANDINAVIA DEL PLATA SA</v>
      </c>
    </row>
    <row r="99" spans="1:19" x14ac:dyDescent="0.3">
      <c r="A99" s="2" t="s">
        <v>14</v>
      </c>
      <c r="B99" s="3" t="s">
        <v>14</v>
      </c>
      <c r="C99" s="3" t="s">
        <v>97</v>
      </c>
      <c r="D99" s="3" t="s">
        <v>14</v>
      </c>
      <c r="E99" s="3" t="s">
        <v>28</v>
      </c>
      <c r="F99" s="4">
        <v>46294</v>
      </c>
      <c r="G99" s="3" t="s">
        <v>16</v>
      </c>
      <c r="H99" s="5">
        <v>80010.899999999994</v>
      </c>
      <c r="I99" s="3" t="s">
        <v>17</v>
      </c>
      <c r="J99" s="3" t="s">
        <v>18</v>
      </c>
      <c r="K99" s="3" t="s">
        <v>14</v>
      </c>
      <c r="L99" s="3" t="s">
        <v>47</v>
      </c>
      <c r="M99" s="4">
        <v>46294</v>
      </c>
      <c r="N99" s="3" t="s">
        <v>76</v>
      </c>
      <c r="O99" s="3" t="s">
        <v>34</v>
      </c>
      <c r="P99" t="str">
        <f t="shared" si="1"/>
        <v>450013335210</v>
      </c>
      <c r="Q99" s="9" cm="1">
        <f t="array" ref="Q99:S99">VLOOKUP(P99,Hoja1!C:F,{2,3,4},FALSE)</f>
        <v>46240</v>
      </c>
      <c r="R99" t="str">
        <v>C43</v>
      </c>
      <c r="S99" t="str">
        <v>1000001841 AONA SA</v>
      </c>
    </row>
    <row r="100" spans="1:19" x14ac:dyDescent="0.3">
      <c r="A100" s="2" t="s">
        <v>14</v>
      </c>
      <c r="B100" s="3" t="s">
        <v>14</v>
      </c>
      <c r="C100" s="3" t="s">
        <v>97</v>
      </c>
      <c r="D100" s="3" t="s">
        <v>14</v>
      </c>
      <c r="E100" s="3" t="s">
        <v>28</v>
      </c>
      <c r="F100" s="4">
        <v>46294</v>
      </c>
      <c r="G100" s="3" t="s">
        <v>16</v>
      </c>
      <c r="H100" s="5">
        <v>384639.58</v>
      </c>
      <c r="I100" s="3" t="s">
        <v>17</v>
      </c>
      <c r="J100" s="3" t="s">
        <v>18</v>
      </c>
      <c r="K100" s="3" t="s">
        <v>14</v>
      </c>
      <c r="L100" s="3" t="s">
        <v>47</v>
      </c>
      <c r="M100" s="4">
        <v>46294</v>
      </c>
      <c r="N100" s="3" t="s">
        <v>77</v>
      </c>
      <c r="O100" s="3" t="s">
        <v>34</v>
      </c>
      <c r="P100" t="str">
        <f t="shared" si="1"/>
        <v>450013335310</v>
      </c>
      <c r="Q100" s="9" cm="1">
        <f t="array" ref="Q100:S100">VLOOKUP(P100,Hoja1!C:F,{2,3,4},FALSE)</f>
        <v>46240</v>
      </c>
      <c r="R100" t="str">
        <v>C43</v>
      </c>
      <c r="S100" t="str">
        <v>1000001841 AONA SA</v>
      </c>
    </row>
    <row r="101" spans="1:19" x14ac:dyDescent="0.3">
      <c r="A101" s="2" t="s">
        <v>14</v>
      </c>
      <c r="B101" s="3" t="s">
        <v>14</v>
      </c>
      <c r="C101" s="3" t="s">
        <v>97</v>
      </c>
      <c r="D101" s="3" t="s">
        <v>14</v>
      </c>
      <c r="E101" s="3" t="s">
        <v>28</v>
      </c>
      <c r="F101" s="4">
        <v>46294</v>
      </c>
      <c r="G101" s="3" t="s">
        <v>16</v>
      </c>
      <c r="H101" s="5">
        <v>33032.03</v>
      </c>
      <c r="I101" s="3" t="s">
        <v>17</v>
      </c>
      <c r="J101" s="3" t="s">
        <v>18</v>
      </c>
      <c r="K101" s="3" t="s">
        <v>14</v>
      </c>
      <c r="L101" s="3" t="s">
        <v>47</v>
      </c>
      <c r="M101" s="4">
        <v>46294</v>
      </c>
      <c r="N101" s="3" t="s">
        <v>78</v>
      </c>
      <c r="O101" s="3" t="s">
        <v>34</v>
      </c>
      <c r="P101" t="str">
        <f t="shared" si="1"/>
        <v>450013335410</v>
      </c>
      <c r="Q101" s="9" cm="1">
        <f t="array" ref="Q101:S101">VLOOKUP(P101,Hoja1!C:F,{2,3,4},FALSE)</f>
        <v>46240</v>
      </c>
      <c r="R101" t="str">
        <v>C43</v>
      </c>
      <c r="S101" t="str">
        <v>1000001841 AONA SA</v>
      </c>
    </row>
    <row r="102" spans="1:19" x14ac:dyDescent="0.3">
      <c r="A102" s="2" t="s">
        <v>14</v>
      </c>
      <c r="B102" s="3" t="s">
        <v>14</v>
      </c>
      <c r="C102" s="3" t="s">
        <v>98</v>
      </c>
      <c r="D102" s="3" t="s">
        <v>14</v>
      </c>
      <c r="E102" s="3" t="s">
        <v>28</v>
      </c>
      <c r="F102" s="4">
        <v>46295</v>
      </c>
      <c r="G102" s="3" t="s">
        <v>16</v>
      </c>
      <c r="H102" s="5">
        <v>465000</v>
      </c>
      <c r="I102" s="3" t="s">
        <v>17</v>
      </c>
      <c r="J102" s="3" t="s">
        <v>18</v>
      </c>
      <c r="K102" s="3" t="s">
        <v>14</v>
      </c>
      <c r="L102" s="3" t="s">
        <v>99</v>
      </c>
      <c r="M102" s="4">
        <v>46295</v>
      </c>
      <c r="N102" s="3" t="s">
        <v>100</v>
      </c>
      <c r="O102" s="3" t="s">
        <v>34</v>
      </c>
      <c r="P102" t="str">
        <f t="shared" si="1"/>
        <v>450013947610</v>
      </c>
      <c r="Q102" s="9" cm="1">
        <f t="array" ref="Q102:S102">VLOOKUP(P102,Hoja1!C:F,{2,3,4},FALSE)</f>
        <v>46308</v>
      </c>
      <c r="R102" t="str">
        <v>C43</v>
      </c>
      <c r="S102" t="str">
        <v>1000012394 HOUSE SERVICIOS E INSUMOS S. A. S.</v>
      </c>
    </row>
    <row r="103" spans="1:19" x14ac:dyDescent="0.3">
      <c r="A103" s="2" t="s">
        <v>14</v>
      </c>
      <c r="B103" s="3" t="s">
        <v>14</v>
      </c>
      <c r="C103" s="3" t="s">
        <v>101</v>
      </c>
      <c r="D103" s="3" t="s">
        <v>36</v>
      </c>
      <c r="E103" s="3" t="s">
        <v>28</v>
      </c>
      <c r="F103" s="4">
        <v>46283</v>
      </c>
      <c r="G103" s="3" t="s">
        <v>44</v>
      </c>
      <c r="H103" s="6">
        <v>-746250</v>
      </c>
      <c r="I103" s="3" t="s">
        <v>17</v>
      </c>
      <c r="J103" s="3" t="s">
        <v>18</v>
      </c>
      <c r="K103" s="3" t="s">
        <v>14</v>
      </c>
      <c r="L103" s="3" t="s">
        <v>102</v>
      </c>
      <c r="M103" s="4">
        <v>46283</v>
      </c>
      <c r="N103" s="3" t="s">
        <v>103</v>
      </c>
      <c r="O103" s="3" t="s">
        <v>34</v>
      </c>
      <c r="P103" t="str">
        <f t="shared" si="1"/>
        <v>450013294610</v>
      </c>
      <c r="Q103" s="9" cm="1">
        <f t="array" ref="Q103:S103">VLOOKUP(P103,Hoja1!C:F,{2,3,4},FALSE)</f>
        <v>46239</v>
      </c>
      <c r="R103" t="str">
        <v>C07</v>
      </c>
      <c r="S103" t="str">
        <v>1000009543 AC SAT S.R.L.</v>
      </c>
    </row>
    <row r="104" spans="1:19" x14ac:dyDescent="0.3">
      <c r="A104" s="2" t="s">
        <v>14</v>
      </c>
      <c r="B104" s="3" t="s">
        <v>14</v>
      </c>
      <c r="C104" s="3" t="s">
        <v>743</v>
      </c>
      <c r="D104" s="3" t="s">
        <v>14</v>
      </c>
      <c r="E104" s="3" t="s">
        <v>28</v>
      </c>
      <c r="F104" s="4">
        <v>46255</v>
      </c>
      <c r="G104" s="3" t="s">
        <v>16</v>
      </c>
      <c r="H104" s="5">
        <v>2367227.25</v>
      </c>
      <c r="I104" s="3" t="s">
        <v>17</v>
      </c>
      <c r="J104" s="3" t="s">
        <v>18</v>
      </c>
      <c r="K104" s="3" t="s">
        <v>14</v>
      </c>
      <c r="L104" s="3" t="s">
        <v>19</v>
      </c>
      <c r="M104" s="4">
        <v>46297</v>
      </c>
      <c r="N104" s="3" t="s">
        <v>467</v>
      </c>
      <c r="O104" s="3" t="s">
        <v>34</v>
      </c>
      <c r="P104" t="str">
        <f t="shared" si="1"/>
        <v>450013604410</v>
      </c>
      <c r="Q104" s="9" cm="1">
        <f t="array" ref="Q104:S104">VLOOKUP(P104,Hoja1!C:F,{2,3,4},FALSE)</f>
        <v>46267</v>
      </c>
      <c r="R104" t="str">
        <v>C03</v>
      </c>
      <c r="S104" t="str">
        <v>1000001470 SUDAMERICANA CAMIONES SA</v>
      </c>
    </row>
    <row r="105" spans="1:19" x14ac:dyDescent="0.3">
      <c r="A105" s="2" t="s">
        <v>14</v>
      </c>
      <c r="B105" s="3" t="s">
        <v>14</v>
      </c>
      <c r="C105" s="3" t="s">
        <v>744</v>
      </c>
      <c r="D105" s="3" t="s">
        <v>14</v>
      </c>
      <c r="E105" s="3" t="s">
        <v>28</v>
      </c>
      <c r="F105" s="4">
        <v>46280</v>
      </c>
      <c r="G105" s="3" t="s">
        <v>16</v>
      </c>
      <c r="H105" s="5">
        <v>46570.23</v>
      </c>
      <c r="I105" s="3" t="s">
        <v>17</v>
      </c>
      <c r="J105" s="3" t="s">
        <v>18</v>
      </c>
      <c r="K105" s="3" t="s">
        <v>14</v>
      </c>
      <c r="L105" s="3" t="s">
        <v>104</v>
      </c>
      <c r="M105" s="4">
        <v>46297</v>
      </c>
      <c r="N105" s="3" t="s">
        <v>575</v>
      </c>
      <c r="O105" s="3" t="s">
        <v>34</v>
      </c>
      <c r="P105" t="str">
        <f t="shared" si="1"/>
        <v>450013804510</v>
      </c>
      <c r="Q105" s="9" cm="1">
        <f t="array" ref="Q105:S105">VLOOKUP(P105,Hoja1!C:F,{2,3,4},FALSE)</f>
        <v>46275</v>
      </c>
      <c r="R105" t="str">
        <v>C13</v>
      </c>
      <c r="S105" t="str">
        <v>1000001488 PC SHOWS SRL</v>
      </c>
    </row>
    <row r="106" spans="1:19" x14ac:dyDescent="0.3">
      <c r="A106" s="2" t="s">
        <v>14</v>
      </c>
      <c r="B106" s="3" t="s">
        <v>14</v>
      </c>
      <c r="C106" s="3" t="s">
        <v>745</v>
      </c>
      <c r="D106" s="3" t="s">
        <v>14</v>
      </c>
      <c r="E106" s="3" t="s">
        <v>28</v>
      </c>
      <c r="F106" s="4">
        <v>46287</v>
      </c>
      <c r="G106" s="3" t="s">
        <v>16</v>
      </c>
      <c r="H106" s="5">
        <v>611201.25</v>
      </c>
      <c r="I106" s="3" t="s">
        <v>17</v>
      </c>
      <c r="J106" s="3" t="s">
        <v>18</v>
      </c>
      <c r="K106" s="3" t="s">
        <v>14</v>
      </c>
      <c r="L106" s="3" t="s">
        <v>19</v>
      </c>
      <c r="M106" s="4">
        <v>46297</v>
      </c>
      <c r="N106" s="3" t="s">
        <v>746</v>
      </c>
      <c r="O106" s="3" t="s">
        <v>34</v>
      </c>
      <c r="P106" t="str">
        <f t="shared" si="1"/>
        <v>450013921110</v>
      </c>
      <c r="Q106" s="9" cm="1">
        <f t="array" ref="Q106:S106">VLOOKUP(P106,Hoja1!C:F,{2,3,4},FALSE)</f>
        <v>46295</v>
      </c>
      <c r="R106" t="str">
        <v>C43</v>
      </c>
      <c r="S106" t="str">
        <v>1000001470 SUDAMERICANA CAMIONES SA</v>
      </c>
    </row>
    <row r="107" spans="1:19" x14ac:dyDescent="0.3">
      <c r="A107" s="2" t="s">
        <v>14</v>
      </c>
      <c r="B107" s="3" t="s">
        <v>14</v>
      </c>
      <c r="C107" s="3" t="s">
        <v>745</v>
      </c>
      <c r="D107" s="3" t="s">
        <v>14</v>
      </c>
      <c r="E107" s="3" t="s">
        <v>28</v>
      </c>
      <c r="F107" s="4">
        <v>46287</v>
      </c>
      <c r="G107" s="3" t="s">
        <v>16</v>
      </c>
      <c r="H107" s="5">
        <v>611201.25</v>
      </c>
      <c r="I107" s="3" t="s">
        <v>17</v>
      </c>
      <c r="J107" s="3" t="s">
        <v>18</v>
      </c>
      <c r="K107" s="3" t="s">
        <v>14</v>
      </c>
      <c r="L107" s="3" t="s">
        <v>19</v>
      </c>
      <c r="M107" s="4">
        <v>46297</v>
      </c>
      <c r="N107" s="3" t="s">
        <v>746</v>
      </c>
      <c r="O107" s="3" t="s">
        <v>21</v>
      </c>
      <c r="P107" t="str">
        <f t="shared" si="1"/>
        <v>450013921120</v>
      </c>
      <c r="Q107" s="9" cm="1">
        <f t="array" ref="Q107:S107">VLOOKUP(P107,Hoja1!C:F,{2,3,4},FALSE)</f>
        <v>46295</v>
      </c>
      <c r="R107" t="str">
        <v>C43</v>
      </c>
      <c r="S107" t="str">
        <v>1000001470 SUDAMERICANA CAMIONES SA</v>
      </c>
    </row>
    <row r="108" spans="1:19" x14ac:dyDescent="0.3">
      <c r="A108" s="2" t="s">
        <v>14</v>
      </c>
      <c r="B108" s="3" t="s">
        <v>14</v>
      </c>
      <c r="C108" s="3" t="s">
        <v>747</v>
      </c>
      <c r="D108" s="3" t="s">
        <v>14</v>
      </c>
      <c r="E108" s="3" t="s">
        <v>28</v>
      </c>
      <c r="F108" s="4">
        <v>46289</v>
      </c>
      <c r="G108" s="3" t="s">
        <v>16</v>
      </c>
      <c r="H108" s="5">
        <v>383529.21</v>
      </c>
      <c r="I108" s="3" t="s">
        <v>17</v>
      </c>
      <c r="J108" s="3" t="s">
        <v>18</v>
      </c>
      <c r="K108" s="3" t="s">
        <v>14</v>
      </c>
      <c r="L108" s="3" t="s">
        <v>650</v>
      </c>
      <c r="M108" s="4">
        <v>46297</v>
      </c>
      <c r="N108" s="3" t="s">
        <v>651</v>
      </c>
      <c r="O108" s="3" t="s">
        <v>34</v>
      </c>
      <c r="P108" t="str">
        <f t="shared" si="1"/>
        <v>450013914910</v>
      </c>
      <c r="Q108" s="9" cm="1">
        <f t="array" ref="Q108:S108">VLOOKUP(P108,Hoja1!C:F,{2,3,4},FALSE)</f>
        <v>46294</v>
      </c>
      <c r="R108" t="str">
        <v>C17</v>
      </c>
      <c r="S108" t="str">
        <v>1000013664 RAMOS ROBERTO DANIEL</v>
      </c>
    </row>
    <row r="109" spans="1:19" x14ac:dyDescent="0.3">
      <c r="A109" s="2" t="s">
        <v>14</v>
      </c>
      <c r="B109" s="3" t="s">
        <v>14</v>
      </c>
      <c r="C109" s="3" t="s">
        <v>748</v>
      </c>
      <c r="D109" s="3" t="s">
        <v>14</v>
      </c>
      <c r="E109" s="3" t="s">
        <v>28</v>
      </c>
      <c r="F109" s="4">
        <v>46297</v>
      </c>
      <c r="G109" s="3" t="s">
        <v>16</v>
      </c>
      <c r="H109" s="5">
        <v>719567.35999999999</v>
      </c>
      <c r="I109" s="3" t="s">
        <v>17</v>
      </c>
      <c r="J109" s="3" t="s">
        <v>18</v>
      </c>
      <c r="K109" s="3" t="s">
        <v>14</v>
      </c>
      <c r="L109" s="3" t="s">
        <v>176</v>
      </c>
      <c r="M109" s="4">
        <v>46297</v>
      </c>
      <c r="N109" s="3" t="s">
        <v>177</v>
      </c>
      <c r="O109" s="3" t="s">
        <v>34</v>
      </c>
      <c r="P109" t="str">
        <f t="shared" si="1"/>
        <v>450012199110</v>
      </c>
      <c r="Q109" s="9" cm="1">
        <f t="array" ref="Q109:S109">VLOOKUP(P109,Hoja1!C:F,{2,3,4},FALSE)</f>
        <v>46108</v>
      </c>
      <c r="R109" t="str">
        <v>C03</v>
      </c>
      <c r="S109" t="str">
        <v>1000008805 SAKURA MOTORS S. A.</v>
      </c>
    </row>
    <row r="110" spans="1:19" x14ac:dyDescent="0.3">
      <c r="A110" s="2" t="s">
        <v>14</v>
      </c>
      <c r="B110" s="3" t="s">
        <v>14</v>
      </c>
      <c r="C110" s="3" t="s">
        <v>748</v>
      </c>
      <c r="D110" s="3" t="s">
        <v>14</v>
      </c>
      <c r="E110" s="3" t="s">
        <v>28</v>
      </c>
      <c r="F110" s="4">
        <v>46297</v>
      </c>
      <c r="G110" s="3" t="s">
        <v>16</v>
      </c>
      <c r="H110" s="5">
        <v>611373.49</v>
      </c>
      <c r="I110" s="3" t="s">
        <v>17</v>
      </c>
      <c r="J110" s="3" t="s">
        <v>18</v>
      </c>
      <c r="K110" s="3" t="s">
        <v>14</v>
      </c>
      <c r="L110" s="3" t="s">
        <v>176</v>
      </c>
      <c r="M110" s="4">
        <v>46297</v>
      </c>
      <c r="N110" s="3" t="s">
        <v>177</v>
      </c>
      <c r="O110" s="3" t="s">
        <v>21</v>
      </c>
      <c r="P110" t="str">
        <f t="shared" si="1"/>
        <v>450012199120</v>
      </c>
      <c r="Q110" s="9" cm="1">
        <f t="array" ref="Q110:S110">VLOOKUP(P110,Hoja1!C:F,{2,3,4},FALSE)</f>
        <v>46108</v>
      </c>
      <c r="R110" t="str">
        <v>C03</v>
      </c>
      <c r="S110" t="str">
        <v>1000008805 SAKURA MOTORS S. A.</v>
      </c>
    </row>
    <row r="111" spans="1:19" x14ac:dyDescent="0.3">
      <c r="A111" s="2" t="s">
        <v>14</v>
      </c>
      <c r="B111" s="3" t="s">
        <v>14</v>
      </c>
      <c r="C111" s="3" t="s">
        <v>748</v>
      </c>
      <c r="D111" s="3" t="s">
        <v>14</v>
      </c>
      <c r="E111" s="3" t="s">
        <v>28</v>
      </c>
      <c r="F111" s="4">
        <v>46297</v>
      </c>
      <c r="G111" s="3" t="s">
        <v>16</v>
      </c>
      <c r="H111" s="5">
        <v>192570.72</v>
      </c>
      <c r="I111" s="3" t="s">
        <v>17</v>
      </c>
      <c r="J111" s="3" t="s">
        <v>18</v>
      </c>
      <c r="K111" s="3" t="s">
        <v>14</v>
      </c>
      <c r="L111" s="3" t="s">
        <v>176</v>
      </c>
      <c r="M111" s="4">
        <v>46297</v>
      </c>
      <c r="N111" s="3" t="s">
        <v>177</v>
      </c>
      <c r="O111" s="3" t="s">
        <v>22</v>
      </c>
      <c r="P111" t="str">
        <f t="shared" si="1"/>
        <v>450012199130</v>
      </c>
      <c r="Q111" s="9" cm="1">
        <f t="array" ref="Q111:S111">VLOOKUP(P111,Hoja1!C:F,{2,3,4},FALSE)</f>
        <v>46108</v>
      </c>
      <c r="R111" t="str">
        <v>C03</v>
      </c>
      <c r="S111" t="str">
        <v>1000008805 SAKURA MOTORS S. A.</v>
      </c>
    </row>
    <row r="112" spans="1:19" x14ac:dyDescent="0.3">
      <c r="A112" s="2" t="s">
        <v>14</v>
      </c>
      <c r="B112" s="3" t="s">
        <v>14</v>
      </c>
      <c r="C112" s="3" t="s">
        <v>748</v>
      </c>
      <c r="D112" s="3" t="s">
        <v>14</v>
      </c>
      <c r="E112" s="3" t="s">
        <v>28</v>
      </c>
      <c r="F112" s="4">
        <v>46297</v>
      </c>
      <c r="G112" s="3" t="s">
        <v>16</v>
      </c>
      <c r="H112" s="5">
        <v>269976.39</v>
      </c>
      <c r="I112" s="3" t="s">
        <v>17</v>
      </c>
      <c r="J112" s="3" t="s">
        <v>18</v>
      </c>
      <c r="K112" s="3" t="s">
        <v>14</v>
      </c>
      <c r="L112" s="3" t="s">
        <v>176</v>
      </c>
      <c r="M112" s="4">
        <v>46297</v>
      </c>
      <c r="N112" s="3" t="s">
        <v>177</v>
      </c>
      <c r="O112" s="3" t="s">
        <v>26</v>
      </c>
      <c r="P112" t="str">
        <f t="shared" si="1"/>
        <v>450012199140</v>
      </c>
      <c r="Q112" s="9" cm="1">
        <f t="array" ref="Q112:S112">VLOOKUP(P112,Hoja1!C:F,{2,3,4},FALSE)</f>
        <v>46108</v>
      </c>
      <c r="R112" t="str">
        <v>C03</v>
      </c>
      <c r="S112" t="str">
        <v>1000008805 SAKURA MOTORS S. A.</v>
      </c>
    </row>
    <row r="113" spans="1:19" x14ac:dyDescent="0.3">
      <c r="A113" s="2" t="s">
        <v>14</v>
      </c>
      <c r="B113" s="3" t="s">
        <v>14</v>
      </c>
      <c r="C113" s="3" t="s">
        <v>748</v>
      </c>
      <c r="D113" s="3" t="s">
        <v>14</v>
      </c>
      <c r="E113" s="3" t="s">
        <v>28</v>
      </c>
      <c r="F113" s="4">
        <v>46297</v>
      </c>
      <c r="G113" s="3" t="s">
        <v>16</v>
      </c>
      <c r="H113" s="5">
        <v>132006.49</v>
      </c>
      <c r="I113" s="3" t="s">
        <v>17</v>
      </c>
      <c r="J113" s="3" t="s">
        <v>18</v>
      </c>
      <c r="K113" s="3" t="s">
        <v>14</v>
      </c>
      <c r="L113" s="3" t="s">
        <v>176</v>
      </c>
      <c r="M113" s="4">
        <v>46297</v>
      </c>
      <c r="N113" s="3" t="s">
        <v>177</v>
      </c>
      <c r="O113" s="3" t="s">
        <v>23</v>
      </c>
      <c r="P113" t="str">
        <f t="shared" si="1"/>
        <v>450012199150</v>
      </c>
      <c r="Q113" s="9" cm="1">
        <f t="array" ref="Q113:S113">VLOOKUP(P113,Hoja1!C:F,{2,3,4},FALSE)</f>
        <v>46108</v>
      </c>
      <c r="R113" t="str">
        <v>C03</v>
      </c>
      <c r="S113" t="str">
        <v>1000008805 SAKURA MOTORS S. A.</v>
      </c>
    </row>
    <row r="114" spans="1:19" x14ac:dyDescent="0.3">
      <c r="A114" s="2" t="s">
        <v>14</v>
      </c>
      <c r="B114" s="3" t="s">
        <v>14</v>
      </c>
      <c r="C114" s="3" t="s">
        <v>748</v>
      </c>
      <c r="D114" s="3" t="s">
        <v>14</v>
      </c>
      <c r="E114" s="3" t="s">
        <v>28</v>
      </c>
      <c r="F114" s="4">
        <v>46297</v>
      </c>
      <c r="G114" s="3" t="s">
        <v>16</v>
      </c>
      <c r="H114" s="5">
        <v>62435.34</v>
      </c>
      <c r="I114" s="3" t="s">
        <v>17</v>
      </c>
      <c r="J114" s="3" t="s">
        <v>18</v>
      </c>
      <c r="K114" s="3" t="s">
        <v>14</v>
      </c>
      <c r="L114" s="3" t="s">
        <v>176</v>
      </c>
      <c r="M114" s="4">
        <v>46297</v>
      </c>
      <c r="N114" s="3" t="s">
        <v>177</v>
      </c>
      <c r="O114" s="3" t="s">
        <v>24</v>
      </c>
      <c r="P114" t="str">
        <f t="shared" si="1"/>
        <v>450012199160</v>
      </c>
      <c r="Q114" s="9" cm="1">
        <f t="array" ref="Q114:S114">VLOOKUP(P114,Hoja1!C:F,{2,3,4},FALSE)</f>
        <v>46108</v>
      </c>
      <c r="R114" t="str">
        <v>C03</v>
      </c>
      <c r="S114" t="str">
        <v>1000008805 SAKURA MOTORS S. A.</v>
      </c>
    </row>
    <row r="115" spans="1:19" x14ac:dyDescent="0.3">
      <c r="A115" s="2" t="s">
        <v>14</v>
      </c>
      <c r="B115" s="3" t="s">
        <v>14</v>
      </c>
      <c r="C115" s="3" t="s">
        <v>749</v>
      </c>
      <c r="D115" s="3" t="s">
        <v>14</v>
      </c>
      <c r="E115" s="3" t="s">
        <v>28</v>
      </c>
      <c r="F115" s="4">
        <v>46296</v>
      </c>
      <c r="G115" s="3" t="s">
        <v>16</v>
      </c>
      <c r="H115" s="5">
        <v>355260</v>
      </c>
      <c r="I115" s="3" t="s">
        <v>17</v>
      </c>
      <c r="J115" s="3" t="s">
        <v>18</v>
      </c>
      <c r="K115" s="3" t="s">
        <v>14</v>
      </c>
      <c r="L115" s="3" t="s">
        <v>750</v>
      </c>
      <c r="M115" s="4">
        <v>46297</v>
      </c>
      <c r="N115" s="3" t="s">
        <v>751</v>
      </c>
      <c r="O115" s="3" t="s">
        <v>34</v>
      </c>
      <c r="P115" t="str">
        <f t="shared" si="1"/>
        <v>450013756010</v>
      </c>
      <c r="Q115" s="9" cm="1">
        <f t="array" ref="Q115:S115">VLOOKUP(P115,Hoja1!C:F,{2,3,4},FALSE)</f>
        <v>46387</v>
      </c>
      <c r="R115" t="str">
        <v>C15</v>
      </c>
      <c r="S115" t="str">
        <v>1000001107 TRANSPORTES SAN JOSE SRL</v>
      </c>
    </row>
    <row r="116" spans="1:19" x14ac:dyDescent="0.3">
      <c r="A116" s="2" t="s">
        <v>14</v>
      </c>
      <c r="B116" s="3" t="s">
        <v>14</v>
      </c>
      <c r="C116" s="3" t="s">
        <v>951</v>
      </c>
      <c r="D116" s="3" t="s">
        <v>14</v>
      </c>
      <c r="E116" s="3" t="s">
        <v>28</v>
      </c>
      <c r="F116" s="4">
        <v>46283</v>
      </c>
      <c r="G116" s="3" t="s">
        <v>16</v>
      </c>
      <c r="H116" s="5">
        <v>22536.25</v>
      </c>
      <c r="I116" s="3" t="s">
        <v>17</v>
      </c>
      <c r="J116" s="3" t="s">
        <v>18</v>
      </c>
      <c r="K116" s="3" t="s">
        <v>14</v>
      </c>
      <c r="L116" s="3" t="s">
        <v>753</v>
      </c>
      <c r="M116" s="4">
        <v>46297</v>
      </c>
      <c r="N116" s="3" t="s">
        <v>754</v>
      </c>
      <c r="O116" s="3" t="s">
        <v>34</v>
      </c>
      <c r="P116" t="str">
        <f t="shared" si="1"/>
        <v>450013881110</v>
      </c>
      <c r="Q116" s="9" cm="1">
        <f t="array" ref="Q116:S116">VLOOKUP(P116,Hoja1!C:F,{2,3,4},FALSE)</f>
        <v>46295</v>
      </c>
      <c r="R116" t="str">
        <v>C03</v>
      </c>
      <c r="S116" t="str">
        <v>1000002138 AMERICAN HEAVY PARTS S.R.L.</v>
      </c>
    </row>
    <row r="117" spans="1:19" x14ac:dyDescent="0.3">
      <c r="A117" s="2" t="s">
        <v>14</v>
      </c>
      <c r="B117" s="3" t="s">
        <v>14</v>
      </c>
      <c r="C117" s="3" t="s">
        <v>951</v>
      </c>
      <c r="D117" s="3" t="s">
        <v>14</v>
      </c>
      <c r="E117" s="3" t="s">
        <v>28</v>
      </c>
      <c r="F117" s="4">
        <v>46283</v>
      </c>
      <c r="G117" s="3" t="s">
        <v>16</v>
      </c>
      <c r="H117" s="5">
        <v>196625</v>
      </c>
      <c r="I117" s="3" t="s">
        <v>17</v>
      </c>
      <c r="J117" s="3" t="s">
        <v>18</v>
      </c>
      <c r="K117" s="3" t="s">
        <v>14</v>
      </c>
      <c r="L117" s="3" t="s">
        <v>753</v>
      </c>
      <c r="M117" s="4">
        <v>46297</v>
      </c>
      <c r="N117" s="3" t="s">
        <v>754</v>
      </c>
      <c r="O117" s="3" t="s">
        <v>21</v>
      </c>
      <c r="P117" t="str">
        <f t="shared" si="1"/>
        <v>450013881120</v>
      </c>
      <c r="Q117" s="9" cm="1">
        <f t="array" ref="Q117:S117">VLOOKUP(P117,Hoja1!C:F,{2,3,4},FALSE)</f>
        <v>46295</v>
      </c>
      <c r="R117" t="str">
        <v>C03</v>
      </c>
      <c r="S117" t="str">
        <v>1000002138 AMERICAN HEAVY PARTS S.R.L.</v>
      </c>
    </row>
    <row r="118" spans="1:19" x14ac:dyDescent="0.3">
      <c r="A118" s="2" t="s">
        <v>14</v>
      </c>
      <c r="B118" s="3" t="s">
        <v>14</v>
      </c>
      <c r="C118" s="3" t="s">
        <v>952</v>
      </c>
      <c r="D118" s="3" t="s">
        <v>36</v>
      </c>
      <c r="E118" s="3" t="s">
        <v>28</v>
      </c>
      <c r="F118" s="4">
        <v>46274</v>
      </c>
      <c r="G118" s="3" t="s">
        <v>16</v>
      </c>
      <c r="H118" s="5">
        <v>65852.759999999995</v>
      </c>
      <c r="I118" s="3" t="s">
        <v>17</v>
      </c>
      <c r="J118" s="3" t="s">
        <v>18</v>
      </c>
      <c r="K118" s="3" t="s">
        <v>14</v>
      </c>
      <c r="L118" s="3" t="s">
        <v>464</v>
      </c>
      <c r="M118" s="4">
        <v>46297</v>
      </c>
      <c r="N118" s="3" t="s">
        <v>573</v>
      </c>
      <c r="O118" s="3" t="s">
        <v>34</v>
      </c>
      <c r="P118" t="str">
        <f t="shared" si="1"/>
        <v>450013805310</v>
      </c>
      <c r="Q118" s="9" cm="1">
        <f t="array" ref="Q118:S118">VLOOKUP(P118,Hoja1!C:F,{2,3,4},FALSE)</f>
        <v>46304</v>
      </c>
      <c r="R118" t="str">
        <v>C13</v>
      </c>
      <c r="S118" t="str">
        <v>1000007320 GILIGROUP S.A.S.</v>
      </c>
    </row>
    <row r="119" spans="1:19" x14ac:dyDescent="0.3">
      <c r="A119" s="2" t="s">
        <v>14</v>
      </c>
      <c r="B119" s="3" t="s">
        <v>14</v>
      </c>
      <c r="C119" s="3" t="s">
        <v>953</v>
      </c>
      <c r="D119" s="3" t="s">
        <v>14</v>
      </c>
      <c r="E119" s="3" t="s">
        <v>28</v>
      </c>
      <c r="F119" s="4">
        <v>46287</v>
      </c>
      <c r="G119" s="3" t="s">
        <v>16</v>
      </c>
      <c r="H119" s="5">
        <v>109627.32</v>
      </c>
      <c r="I119" s="3" t="s">
        <v>17</v>
      </c>
      <c r="J119" s="3" t="s">
        <v>18</v>
      </c>
      <c r="K119" s="3" t="s">
        <v>14</v>
      </c>
      <c r="L119" s="3" t="s">
        <v>82</v>
      </c>
      <c r="M119" s="4">
        <v>46297</v>
      </c>
      <c r="N119" s="3" t="s">
        <v>756</v>
      </c>
      <c r="O119" s="3" t="s">
        <v>343</v>
      </c>
      <c r="P119" t="str">
        <f t="shared" si="1"/>
        <v>450013874580</v>
      </c>
      <c r="Q119" s="9" cm="1">
        <f t="array" ref="Q119:S119">VLOOKUP(P119,Hoja1!C:F,{2,3,4},FALSE)</f>
        <v>46301</v>
      </c>
      <c r="R119" t="str">
        <v>C03</v>
      </c>
      <c r="S119" t="str">
        <v>1000000012 IGARRETA MAQUINAS S.A.</v>
      </c>
    </row>
    <row r="120" spans="1:19" x14ac:dyDescent="0.3">
      <c r="A120" s="2" t="s">
        <v>14</v>
      </c>
      <c r="B120" s="3" t="s">
        <v>14</v>
      </c>
      <c r="C120" s="3" t="s">
        <v>954</v>
      </c>
      <c r="D120" s="3" t="s">
        <v>14</v>
      </c>
      <c r="E120" s="3" t="s">
        <v>28</v>
      </c>
      <c r="F120" s="4">
        <v>46288</v>
      </c>
      <c r="G120" s="3" t="s">
        <v>16</v>
      </c>
      <c r="H120" s="5">
        <v>197381.25</v>
      </c>
      <c r="I120" s="3" t="s">
        <v>17</v>
      </c>
      <c r="J120" s="3" t="s">
        <v>18</v>
      </c>
      <c r="K120" s="3" t="s">
        <v>14</v>
      </c>
      <c r="L120" s="3" t="s">
        <v>169</v>
      </c>
      <c r="M120" s="4">
        <v>46297</v>
      </c>
      <c r="N120" s="3" t="s">
        <v>765</v>
      </c>
      <c r="O120" s="3" t="s">
        <v>22</v>
      </c>
      <c r="P120" t="str">
        <f t="shared" si="1"/>
        <v>450013569930</v>
      </c>
      <c r="Q120" s="9" cm="1">
        <f t="array" ref="Q120:S120">VLOOKUP(P120,Hoja1!C:F,{2,3,4},FALSE)</f>
        <v>46304</v>
      </c>
      <c r="R120" t="str">
        <v>C43</v>
      </c>
      <c r="S120" t="str">
        <v>1000002607 DIESEL LANGE S.R.L</v>
      </c>
    </row>
    <row r="121" spans="1:19" x14ac:dyDescent="0.3">
      <c r="A121" s="2" t="s">
        <v>14</v>
      </c>
      <c r="B121" s="3" t="s">
        <v>14</v>
      </c>
      <c r="C121" s="3" t="s">
        <v>954</v>
      </c>
      <c r="D121" s="3" t="s">
        <v>14</v>
      </c>
      <c r="E121" s="3" t="s">
        <v>28</v>
      </c>
      <c r="F121" s="4">
        <v>46288</v>
      </c>
      <c r="G121" s="3" t="s">
        <v>16</v>
      </c>
      <c r="H121" s="5">
        <v>84851.25</v>
      </c>
      <c r="I121" s="3" t="s">
        <v>17</v>
      </c>
      <c r="J121" s="3" t="s">
        <v>18</v>
      </c>
      <c r="K121" s="3" t="s">
        <v>14</v>
      </c>
      <c r="L121" s="3" t="s">
        <v>169</v>
      </c>
      <c r="M121" s="4">
        <v>46297</v>
      </c>
      <c r="N121" s="3" t="s">
        <v>765</v>
      </c>
      <c r="O121" s="3" t="s">
        <v>26</v>
      </c>
      <c r="P121" t="str">
        <f t="shared" si="1"/>
        <v>450013569940</v>
      </c>
      <c r="Q121" s="9" cm="1">
        <f t="array" ref="Q121:S121">VLOOKUP(P121,Hoja1!C:F,{2,3,4},FALSE)</f>
        <v>46304</v>
      </c>
      <c r="R121" t="str">
        <v>C43</v>
      </c>
      <c r="S121" t="str">
        <v>1000002607 DIESEL LANGE S.R.L</v>
      </c>
    </row>
    <row r="122" spans="1:19" x14ac:dyDescent="0.3">
      <c r="A122" s="2" t="s">
        <v>14</v>
      </c>
      <c r="B122" s="3" t="s">
        <v>14</v>
      </c>
      <c r="C122" s="3" t="s">
        <v>955</v>
      </c>
      <c r="D122" s="3" t="s">
        <v>14</v>
      </c>
      <c r="E122" s="3" t="s">
        <v>28</v>
      </c>
      <c r="F122" s="4">
        <v>46288</v>
      </c>
      <c r="G122" s="3" t="s">
        <v>16</v>
      </c>
      <c r="H122" s="5">
        <v>30401.25</v>
      </c>
      <c r="I122" s="3" t="s">
        <v>17</v>
      </c>
      <c r="J122" s="3" t="s">
        <v>18</v>
      </c>
      <c r="K122" s="3" t="s">
        <v>14</v>
      </c>
      <c r="L122" s="3" t="s">
        <v>169</v>
      </c>
      <c r="M122" s="4">
        <v>46297</v>
      </c>
      <c r="N122" s="3" t="s">
        <v>767</v>
      </c>
      <c r="O122" s="3" t="s">
        <v>26</v>
      </c>
      <c r="P122" t="str">
        <f t="shared" si="1"/>
        <v>450013759140</v>
      </c>
      <c r="Q122" s="9" cm="1">
        <f t="array" ref="Q122:S122">VLOOKUP(P122,Hoja1!C:F,{2,3,4},FALSE)</f>
        <v>46301</v>
      </c>
      <c r="R122" t="str">
        <v>C03</v>
      </c>
      <c r="S122" t="str">
        <v>1000002607 DIESEL LANGE S.R.L</v>
      </c>
    </row>
    <row r="123" spans="1:19" x14ac:dyDescent="0.3">
      <c r="A123" s="2" t="s">
        <v>14</v>
      </c>
      <c r="B123" s="3" t="s">
        <v>14</v>
      </c>
      <c r="C123" s="3" t="s">
        <v>956</v>
      </c>
      <c r="D123" s="3" t="s">
        <v>14</v>
      </c>
      <c r="E123" s="3" t="s">
        <v>28</v>
      </c>
      <c r="F123" s="4">
        <v>46290</v>
      </c>
      <c r="G123" s="3" t="s">
        <v>16</v>
      </c>
      <c r="H123" s="5">
        <v>308595.86</v>
      </c>
      <c r="I123" s="3" t="s">
        <v>17</v>
      </c>
      <c r="J123" s="3" t="s">
        <v>18</v>
      </c>
      <c r="K123" s="3" t="s">
        <v>14</v>
      </c>
      <c r="L123" s="3" t="s">
        <v>82</v>
      </c>
      <c r="M123" s="4">
        <v>46297</v>
      </c>
      <c r="N123" s="3" t="s">
        <v>769</v>
      </c>
      <c r="O123" s="3" t="s">
        <v>34</v>
      </c>
      <c r="P123" t="str">
        <f t="shared" si="1"/>
        <v>450013717410</v>
      </c>
      <c r="Q123" s="9" cm="1">
        <f t="array" ref="Q123:S123">VLOOKUP(P123,Hoja1!C:F,{2,3,4},FALSE)</f>
        <v>46287</v>
      </c>
      <c r="R123" t="str">
        <v>C03</v>
      </c>
      <c r="S123" t="str">
        <v>1000000012 IGARRETA MAQUINAS S.A.</v>
      </c>
    </row>
    <row r="124" spans="1:19" x14ac:dyDescent="0.3">
      <c r="A124" s="2" t="s">
        <v>14</v>
      </c>
      <c r="B124" s="3" t="s">
        <v>14</v>
      </c>
      <c r="C124" s="3" t="s">
        <v>957</v>
      </c>
      <c r="D124" s="3" t="s">
        <v>14</v>
      </c>
      <c r="E124" s="3" t="s">
        <v>28</v>
      </c>
      <c r="F124" s="4">
        <v>46290</v>
      </c>
      <c r="G124" s="3" t="s">
        <v>16</v>
      </c>
      <c r="H124" s="5">
        <v>256600</v>
      </c>
      <c r="I124" s="3" t="s">
        <v>17</v>
      </c>
      <c r="J124" s="3" t="s">
        <v>18</v>
      </c>
      <c r="K124" s="3" t="s">
        <v>14</v>
      </c>
      <c r="L124" s="3" t="s">
        <v>53</v>
      </c>
      <c r="M124" s="4">
        <v>46297</v>
      </c>
      <c r="N124" s="3" t="s">
        <v>776</v>
      </c>
      <c r="O124" s="3" t="s">
        <v>34</v>
      </c>
      <c r="P124" t="str">
        <f t="shared" si="1"/>
        <v>450013868110</v>
      </c>
      <c r="Q124" s="9" cm="1">
        <f t="array" ref="Q124:S124">VLOOKUP(P124,Hoja1!C:F,{2,3,4},FALSE)</f>
        <v>46296</v>
      </c>
      <c r="R124" t="str">
        <v>C43</v>
      </c>
      <c r="S124" t="str">
        <v>1000002834 J.M.F. VIAL &amp; PARTS SAS</v>
      </c>
    </row>
    <row r="125" spans="1:19" x14ac:dyDescent="0.3">
      <c r="A125" s="2" t="s">
        <v>14</v>
      </c>
      <c r="B125" s="3" t="s">
        <v>14</v>
      </c>
      <c r="C125" s="3" t="s">
        <v>958</v>
      </c>
      <c r="D125" s="3" t="s">
        <v>14</v>
      </c>
      <c r="E125" s="3" t="s">
        <v>28</v>
      </c>
      <c r="F125" s="4">
        <v>46290</v>
      </c>
      <c r="G125" s="3" t="s">
        <v>16</v>
      </c>
      <c r="H125" s="5">
        <v>983125</v>
      </c>
      <c r="I125" s="3" t="s">
        <v>17</v>
      </c>
      <c r="J125" s="3" t="s">
        <v>18</v>
      </c>
      <c r="K125" s="3" t="s">
        <v>14</v>
      </c>
      <c r="L125" s="3" t="s">
        <v>762</v>
      </c>
      <c r="M125" s="4">
        <v>46297</v>
      </c>
      <c r="N125" s="3" t="s">
        <v>781</v>
      </c>
      <c r="O125" s="3" t="s">
        <v>21</v>
      </c>
      <c r="P125" t="str">
        <f t="shared" si="1"/>
        <v>450013686120</v>
      </c>
      <c r="Q125" s="9" cm="1">
        <f t="array" ref="Q125:S125">VLOOKUP(P125,Hoja1!C:F,{2,3,4},FALSE)</f>
        <v>46301</v>
      </c>
      <c r="R125" t="str">
        <v>C43</v>
      </c>
      <c r="S125" t="str">
        <v>1000000190 FERNANDEZ INSUA S.A.</v>
      </c>
    </row>
    <row r="126" spans="1:19" x14ac:dyDescent="0.3">
      <c r="A126" s="2" t="s">
        <v>14</v>
      </c>
      <c r="B126" s="3" t="s">
        <v>14</v>
      </c>
      <c r="C126" s="3" t="s">
        <v>959</v>
      </c>
      <c r="D126" s="3" t="s">
        <v>14</v>
      </c>
      <c r="E126" s="3" t="s">
        <v>28</v>
      </c>
      <c r="F126" s="4">
        <v>46293</v>
      </c>
      <c r="G126" s="3" t="s">
        <v>16</v>
      </c>
      <c r="H126" s="5">
        <v>444796</v>
      </c>
      <c r="I126" s="3" t="s">
        <v>17</v>
      </c>
      <c r="J126" s="3" t="s">
        <v>18</v>
      </c>
      <c r="K126" s="3" t="s">
        <v>14</v>
      </c>
      <c r="L126" s="3" t="s">
        <v>169</v>
      </c>
      <c r="M126" s="4">
        <v>46297</v>
      </c>
      <c r="N126" s="3" t="s">
        <v>790</v>
      </c>
      <c r="O126" s="3" t="s">
        <v>34</v>
      </c>
      <c r="P126" t="str">
        <f t="shared" si="1"/>
        <v>450013487710</v>
      </c>
      <c r="Q126" s="9" cm="1">
        <f t="array" ref="Q126:S126">VLOOKUP(P126,Hoja1!C:F,{2,3,4},FALSE)</f>
        <v>46301</v>
      </c>
      <c r="R126" t="str">
        <v>C43</v>
      </c>
      <c r="S126" t="str">
        <v>1000002607 DIESEL LANGE S.R.L</v>
      </c>
    </row>
    <row r="127" spans="1:19" x14ac:dyDescent="0.3">
      <c r="A127" s="2" t="s">
        <v>14</v>
      </c>
      <c r="B127" s="3" t="s">
        <v>14</v>
      </c>
      <c r="C127" s="3" t="s">
        <v>960</v>
      </c>
      <c r="D127" s="3" t="s">
        <v>14</v>
      </c>
      <c r="E127" s="3" t="s">
        <v>28</v>
      </c>
      <c r="F127" s="4">
        <v>46294</v>
      </c>
      <c r="G127" s="3" t="s">
        <v>16</v>
      </c>
      <c r="H127" s="5">
        <v>31972.639999999999</v>
      </c>
      <c r="I127" s="3" t="s">
        <v>17</v>
      </c>
      <c r="J127" s="3" t="s">
        <v>18</v>
      </c>
      <c r="K127" s="3" t="s">
        <v>14</v>
      </c>
      <c r="L127" s="3" t="s">
        <v>73</v>
      </c>
      <c r="M127" s="4">
        <v>46297</v>
      </c>
      <c r="N127" s="3" t="s">
        <v>812</v>
      </c>
      <c r="O127" s="3" t="s">
        <v>34</v>
      </c>
      <c r="P127" t="str">
        <f t="shared" si="1"/>
        <v>450013960110</v>
      </c>
      <c r="Q127" s="9" cm="1">
        <f t="array" ref="Q127:S127">VLOOKUP(P127,Hoja1!C:F,{2,3,4},FALSE)</f>
        <v>46300</v>
      </c>
      <c r="R127" t="str">
        <v>C43</v>
      </c>
      <c r="S127" t="str">
        <v>1000003373 MEYNIEL S.R.L.</v>
      </c>
    </row>
    <row r="128" spans="1:19" x14ac:dyDescent="0.3">
      <c r="A128" s="2" t="s">
        <v>14</v>
      </c>
      <c r="B128" s="3" t="s">
        <v>14</v>
      </c>
      <c r="C128" s="3" t="s">
        <v>961</v>
      </c>
      <c r="D128" s="3" t="s">
        <v>14</v>
      </c>
      <c r="E128" s="3" t="s">
        <v>28</v>
      </c>
      <c r="F128" s="4">
        <v>46297</v>
      </c>
      <c r="G128" s="3" t="s">
        <v>16</v>
      </c>
      <c r="H128" s="5">
        <v>37885.980000000003</v>
      </c>
      <c r="I128" s="3" t="s">
        <v>17</v>
      </c>
      <c r="J128" s="3" t="s">
        <v>18</v>
      </c>
      <c r="K128" s="3" t="s">
        <v>14</v>
      </c>
      <c r="L128" s="3" t="s">
        <v>517</v>
      </c>
      <c r="M128" s="4">
        <v>46297</v>
      </c>
      <c r="N128" s="3" t="s">
        <v>518</v>
      </c>
      <c r="O128" s="3" t="s">
        <v>34</v>
      </c>
      <c r="P128" t="str">
        <f t="shared" si="1"/>
        <v>450013770410</v>
      </c>
      <c r="Q128" s="9" cm="1">
        <f t="array" ref="Q128:S128">VLOOKUP(P128,Hoja1!C:F,{2,3,4},FALSE)</f>
        <v>46282</v>
      </c>
      <c r="R128" t="str">
        <v>C03</v>
      </c>
      <c r="S128" t="str">
        <v>1000000257 RODAMAR SRL</v>
      </c>
    </row>
    <row r="129" spans="1:19" x14ac:dyDescent="0.3">
      <c r="A129" s="2" t="s">
        <v>14</v>
      </c>
      <c r="B129" s="3" t="s">
        <v>14</v>
      </c>
      <c r="C129" s="3" t="s">
        <v>962</v>
      </c>
      <c r="D129" s="3" t="s">
        <v>14</v>
      </c>
      <c r="E129" s="3" t="s">
        <v>28</v>
      </c>
      <c r="F129" s="4">
        <v>46294</v>
      </c>
      <c r="G129" s="3" t="s">
        <v>16</v>
      </c>
      <c r="H129" s="5">
        <v>95760</v>
      </c>
      <c r="I129" s="3" t="s">
        <v>17</v>
      </c>
      <c r="J129" s="3" t="s">
        <v>18</v>
      </c>
      <c r="K129" s="3" t="s">
        <v>14</v>
      </c>
      <c r="L129" s="3" t="s">
        <v>586</v>
      </c>
      <c r="M129" s="4">
        <v>46297</v>
      </c>
      <c r="N129" s="3" t="s">
        <v>825</v>
      </c>
      <c r="O129" s="3" t="s">
        <v>34</v>
      </c>
      <c r="P129" t="str">
        <f t="shared" si="1"/>
        <v>450013969710</v>
      </c>
      <c r="Q129" s="9" cm="1">
        <f t="array" ref="Q129:S129">VLOOKUP(P129,Hoja1!C:F,{2,3,4},FALSE)</f>
        <v>46305</v>
      </c>
      <c r="R129" t="str">
        <v>C43</v>
      </c>
      <c r="S129" t="str">
        <v>1000001550 OLIVARES ANTONIO ALBERTO</v>
      </c>
    </row>
    <row r="130" spans="1:19" x14ac:dyDescent="0.3">
      <c r="A130" s="2" t="s">
        <v>14</v>
      </c>
      <c r="B130" s="3" t="s">
        <v>14</v>
      </c>
      <c r="C130" s="3" t="s">
        <v>963</v>
      </c>
      <c r="D130" s="3" t="s">
        <v>14</v>
      </c>
      <c r="E130" s="3" t="s">
        <v>28</v>
      </c>
      <c r="F130" s="4">
        <v>46294</v>
      </c>
      <c r="G130" s="3" t="s">
        <v>16</v>
      </c>
      <c r="H130" s="5">
        <v>123966.94</v>
      </c>
      <c r="I130" s="3" t="s">
        <v>17</v>
      </c>
      <c r="J130" s="3" t="s">
        <v>18</v>
      </c>
      <c r="K130" s="3" t="s">
        <v>14</v>
      </c>
      <c r="L130" s="3" t="s">
        <v>795</v>
      </c>
      <c r="M130" s="4">
        <v>46297</v>
      </c>
      <c r="N130" s="3" t="s">
        <v>796</v>
      </c>
      <c r="O130" s="3" t="s">
        <v>34</v>
      </c>
      <c r="P130" t="str">
        <f t="shared" si="1"/>
        <v>450014002610</v>
      </c>
      <c r="Q130" s="9" cm="1">
        <f t="array" ref="Q130:S130">VLOOKUP(P130,Hoja1!C:F,{2,3,4},FALSE)</f>
        <v>46305</v>
      </c>
      <c r="R130" t="str">
        <v>C39</v>
      </c>
      <c r="S130" t="str">
        <v>1000010371 BARCELO NEUMATICOS SA</v>
      </c>
    </row>
    <row r="131" spans="1:19" x14ac:dyDescent="0.3">
      <c r="A131" s="2" t="s">
        <v>14</v>
      </c>
      <c r="B131" s="3" t="s">
        <v>14</v>
      </c>
      <c r="C131" s="3" t="s">
        <v>964</v>
      </c>
      <c r="D131" s="3" t="s">
        <v>14</v>
      </c>
      <c r="E131" s="3" t="s">
        <v>28</v>
      </c>
      <c r="F131" s="4">
        <v>46295</v>
      </c>
      <c r="G131" s="3" t="s">
        <v>16</v>
      </c>
      <c r="H131" s="5">
        <v>827821.5</v>
      </c>
      <c r="I131" s="3" t="s">
        <v>17</v>
      </c>
      <c r="J131" s="3" t="s">
        <v>18</v>
      </c>
      <c r="K131" s="3" t="s">
        <v>14</v>
      </c>
      <c r="L131" s="3" t="s">
        <v>163</v>
      </c>
      <c r="M131" s="4">
        <v>46297</v>
      </c>
      <c r="N131" s="3" t="s">
        <v>700</v>
      </c>
      <c r="O131" s="3" t="s">
        <v>34</v>
      </c>
      <c r="P131" t="str">
        <f t="shared" ref="P131:P194" si="2">_xlfn.CONCAT(N131:O131)</f>
        <v>450013981910</v>
      </c>
      <c r="Q131" s="9" cm="1">
        <f t="array" ref="Q131:S131">VLOOKUP(P131,Hoja1!C:F,{2,3,4},FALSE)</f>
        <v>46302</v>
      </c>
      <c r="R131" t="str">
        <v>C03</v>
      </c>
      <c r="S131" t="str">
        <v>1000000062 FINNING ARGENTINA S.A.</v>
      </c>
    </row>
    <row r="132" spans="1:19" x14ac:dyDescent="0.3">
      <c r="A132" s="2" t="s">
        <v>14</v>
      </c>
      <c r="B132" s="3" t="s">
        <v>14</v>
      </c>
      <c r="C132" s="3" t="s">
        <v>965</v>
      </c>
      <c r="D132" s="3" t="s">
        <v>14</v>
      </c>
      <c r="E132" s="3" t="s">
        <v>28</v>
      </c>
      <c r="F132" s="4">
        <v>46295</v>
      </c>
      <c r="G132" s="3" t="s">
        <v>16</v>
      </c>
      <c r="H132" s="5">
        <v>1065746.5</v>
      </c>
      <c r="I132" s="3" t="s">
        <v>17</v>
      </c>
      <c r="J132" s="3" t="s">
        <v>18</v>
      </c>
      <c r="K132" s="3" t="s">
        <v>14</v>
      </c>
      <c r="L132" s="3" t="s">
        <v>228</v>
      </c>
      <c r="M132" s="4">
        <v>46297</v>
      </c>
      <c r="N132" s="3" t="s">
        <v>693</v>
      </c>
      <c r="O132" s="3" t="s">
        <v>34</v>
      </c>
      <c r="P132" t="str">
        <f t="shared" si="2"/>
        <v>450013973810</v>
      </c>
      <c r="Q132" s="9" cm="1">
        <f t="array" ref="Q132:S132">VLOOKUP(P132,Hoja1!C:F,{2,3,4},FALSE)</f>
        <v>46315</v>
      </c>
      <c r="R132" t="str">
        <v>C29</v>
      </c>
      <c r="S132" t="str">
        <v>1000000488 BETA S.A.</v>
      </c>
    </row>
    <row r="133" spans="1:19" x14ac:dyDescent="0.3">
      <c r="A133" s="2" t="s">
        <v>14</v>
      </c>
      <c r="B133" s="3" t="s">
        <v>14</v>
      </c>
      <c r="C133" s="3" t="s">
        <v>966</v>
      </c>
      <c r="D133" s="3" t="s">
        <v>14</v>
      </c>
      <c r="E133" s="3" t="s">
        <v>28</v>
      </c>
      <c r="F133" s="4">
        <v>46297</v>
      </c>
      <c r="G133" s="3" t="s">
        <v>16</v>
      </c>
      <c r="H133" s="5">
        <v>6242.86</v>
      </c>
      <c r="I133" s="3" t="s">
        <v>17</v>
      </c>
      <c r="J133" s="3" t="s">
        <v>18</v>
      </c>
      <c r="K133" s="3" t="s">
        <v>14</v>
      </c>
      <c r="L133" s="3" t="s">
        <v>520</v>
      </c>
      <c r="M133" s="4">
        <v>46297</v>
      </c>
      <c r="N133" s="3" t="s">
        <v>521</v>
      </c>
      <c r="O133" s="3" t="s">
        <v>34</v>
      </c>
      <c r="P133" t="str">
        <f t="shared" si="2"/>
        <v>450013666510</v>
      </c>
      <c r="Q133" s="9" cm="1">
        <f t="array" ref="Q133:S133">VLOOKUP(P133,Hoja1!C:F,{2,3,4},FALSE)</f>
        <v>46286</v>
      </c>
      <c r="R133" t="str">
        <v>C17</v>
      </c>
      <c r="S133" t="str">
        <v>1000008044 AGUDO DOHMEN MARIA ROMINA</v>
      </c>
    </row>
    <row r="134" spans="1:19" x14ac:dyDescent="0.3">
      <c r="A134" s="2" t="s">
        <v>14</v>
      </c>
      <c r="B134" s="3" t="s">
        <v>14</v>
      </c>
      <c r="C134" s="3" t="s">
        <v>966</v>
      </c>
      <c r="D134" s="3" t="s">
        <v>14</v>
      </c>
      <c r="E134" s="3" t="s">
        <v>28</v>
      </c>
      <c r="F134" s="4">
        <v>46297</v>
      </c>
      <c r="G134" s="3" t="s">
        <v>16</v>
      </c>
      <c r="H134" s="5">
        <v>124200</v>
      </c>
      <c r="I134" s="3" t="s">
        <v>17</v>
      </c>
      <c r="J134" s="3" t="s">
        <v>18</v>
      </c>
      <c r="K134" s="3" t="s">
        <v>14</v>
      </c>
      <c r="L134" s="3" t="s">
        <v>520</v>
      </c>
      <c r="M134" s="4">
        <v>46297</v>
      </c>
      <c r="N134" s="3" t="s">
        <v>521</v>
      </c>
      <c r="O134" s="3" t="s">
        <v>21</v>
      </c>
      <c r="P134" t="str">
        <f t="shared" si="2"/>
        <v>450013666520</v>
      </c>
      <c r="Q134" s="9" cm="1">
        <f t="array" ref="Q134:S134">VLOOKUP(P134,Hoja1!C:F,{2,3,4},FALSE)</f>
        <v>46286</v>
      </c>
      <c r="R134" t="str">
        <v>C17</v>
      </c>
      <c r="S134" t="str">
        <v>1000008044 AGUDO DOHMEN MARIA ROMINA</v>
      </c>
    </row>
    <row r="135" spans="1:19" x14ac:dyDescent="0.3">
      <c r="A135" s="2" t="s">
        <v>14</v>
      </c>
      <c r="B135" s="3" t="s">
        <v>14</v>
      </c>
      <c r="C135" s="3" t="s">
        <v>966</v>
      </c>
      <c r="D135" s="3" t="s">
        <v>14</v>
      </c>
      <c r="E135" s="3" t="s">
        <v>28</v>
      </c>
      <c r="F135" s="4">
        <v>46297</v>
      </c>
      <c r="G135" s="3" t="s">
        <v>16</v>
      </c>
      <c r="H135" s="5">
        <v>35190</v>
      </c>
      <c r="I135" s="3" t="s">
        <v>17</v>
      </c>
      <c r="J135" s="3" t="s">
        <v>18</v>
      </c>
      <c r="K135" s="3" t="s">
        <v>14</v>
      </c>
      <c r="L135" s="3" t="s">
        <v>520</v>
      </c>
      <c r="M135" s="4">
        <v>46297</v>
      </c>
      <c r="N135" s="3" t="s">
        <v>521</v>
      </c>
      <c r="O135" s="3" t="s">
        <v>22</v>
      </c>
      <c r="P135" t="str">
        <f t="shared" si="2"/>
        <v>450013666530</v>
      </c>
      <c r="Q135" s="9" cm="1">
        <f t="array" ref="Q135:S135">VLOOKUP(P135,Hoja1!C:F,{2,3,4},FALSE)</f>
        <v>46286</v>
      </c>
      <c r="R135" t="str">
        <v>C17</v>
      </c>
      <c r="S135" t="str">
        <v>1000008044 AGUDO DOHMEN MARIA ROMINA</v>
      </c>
    </row>
    <row r="136" spans="1:19" x14ac:dyDescent="0.3">
      <c r="A136" s="2" t="s">
        <v>14</v>
      </c>
      <c r="B136" s="3" t="s">
        <v>14</v>
      </c>
      <c r="C136" s="3" t="s">
        <v>966</v>
      </c>
      <c r="D136" s="3" t="s">
        <v>14</v>
      </c>
      <c r="E136" s="3" t="s">
        <v>28</v>
      </c>
      <c r="F136" s="4">
        <v>46297</v>
      </c>
      <c r="G136" s="3" t="s">
        <v>16</v>
      </c>
      <c r="H136" s="5">
        <v>16158</v>
      </c>
      <c r="I136" s="3" t="s">
        <v>17</v>
      </c>
      <c r="J136" s="3" t="s">
        <v>18</v>
      </c>
      <c r="K136" s="3" t="s">
        <v>14</v>
      </c>
      <c r="L136" s="3" t="s">
        <v>520</v>
      </c>
      <c r="M136" s="4">
        <v>46297</v>
      </c>
      <c r="N136" s="3" t="s">
        <v>521</v>
      </c>
      <c r="O136" s="3" t="s">
        <v>26</v>
      </c>
      <c r="P136" t="str">
        <f t="shared" si="2"/>
        <v>450013666540</v>
      </c>
      <c r="Q136" s="9" cm="1">
        <f t="array" ref="Q136:S136">VLOOKUP(P136,Hoja1!C:F,{2,3,4},FALSE)</f>
        <v>46269</v>
      </c>
      <c r="R136" t="str">
        <v>C17</v>
      </c>
      <c r="S136" t="str">
        <v>1000008044 AGUDO DOHMEN MARIA ROMINA</v>
      </c>
    </row>
    <row r="137" spans="1:19" x14ac:dyDescent="0.3">
      <c r="A137" s="2" t="s">
        <v>14</v>
      </c>
      <c r="B137" s="3" t="s">
        <v>14</v>
      </c>
      <c r="C137" s="3" t="s">
        <v>966</v>
      </c>
      <c r="D137" s="3" t="s">
        <v>14</v>
      </c>
      <c r="E137" s="3" t="s">
        <v>28</v>
      </c>
      <c r="F137" s="4">
        <v>46297</v>
      </c>
      <c r="G137" s="3" t="s">
        <v>16</v>
      </c>
      <c r="H137" s="5">
        <v>1111.9000000000001</v>
      </c>
      <c r="I137" s="3" t="s">
        <v>17</v>
      </c>
      <c r="J137" s="3" t="s">
        <v>18</v>
      </c>
      <c r="K137" s="3" t="s">
        <v>14</v>
      </c>
      <c r="L137" s="3" t="s">
        <v>520</v>
      </c>
      <c r="M137" s="4">
        <v>46297</v>
      </c>
      <c r="N137" s="3" t="s">
        <v>521</v>
      </c>
      <c r="O137" s="3" t="s">
        <v>23</v>
      </c>
      <c r="P137" t="str">
        <f t="shared" si="2"/>
        <v>450013666550</v>
      </c>
      <c r="Q137" s="9" cm="1">
        <f t="array" ref="Q137:S137">VLOOKUP(P137,Hoja1!C:F,{2,3,4},FALSE)</f>
        <v>46269</v>
      </c>
      <c r="R137" t="str">
        <v>C17</v>
      </c>
      <c r="S137" t="str">
        <v>1000008044 AGUDO DOHMEN MARIA ROMINA</v>
      </c>
    </row>
    <row r="138" spans="1:19" x14ac:dyDescent="0.3">
      <c r="A138" s="2" t="s">
        <v>14</v>
      </c>
      <c r="B138" s="3" t="s">
        <v>14</v>
      </c>
      <c r="C138" s="3" t="s">
        <v>966</v>
      </c>
      <c r="D138" s="3" t="s">
        <v>14</v>
      </c>
      <c r="E138" s="3" t="s">
        <v>28</v>
      </c>
      <c r="F138" s="4">
        <v>46297</v>
      </c>
      <c r="G138" s="3" t="s">
        <v>16</v>
      </c>
      <c r="H138" s="5">
        <v>1383.8</v>
      </c>
      <c r="I138" s="3" t="s">
        <v>17</v>
      </c>
      <c r="J138" s="3" t="s">
        <v>18</v>
      </c>
      <c r="K138" s="3" t="s">
        <v>14</v>
      </c>
      <c r="L138" s="3" t="s">
        <v>520</v>
      </c>
      <c r="M138" s="4">
        <v>46297</v>
      </c>
      <c r="N138" s="3" t="s">
        <v>521</v>
      </c>
      <c r="O138" s="3" t="s">
        <v>24</v>
      </c>
      <c r="P138" t="str">
        <f t="shared" si="2"/>
        <v>450013666560</v>
      </c>
      <c r="Q138" s="9" cm="1">
        <f t="array" ref="Q138:S138">VLOOKUP(P138,Hoja1!C:F,{2,3,4},FALSE)</f>
        <v>46269</v>
      </c>
      <c r="R138" t="str">
        <v>C17</v>
      </c>
      <c r="S138" t="str">
        <v>1000008044 AGUDO DOHMEN MARIA ROMINA</v>
      </c>
    </row>
    <row r="139" spans="1:19" x14ac:dyDescent="0.3">
      <c r="A139" s="2" t="s">
        <v>14</v>
      </c>
      <c r="B139" s="3" t="s">
        <v>14</v>
      </c>
      <c r="C139" s="3" t="s">
        <v>966</v>
      </c>
      <c r="D139" s="3" t="s">
        <v>14</v>
      </c>
      <c r="E139" s="3" t="s">
        <v>28</v>
      </c>
      <c r="F139" s="4">
        <v>46297</v>
      </c>
      <c r="G139" s="3" t="s">
        <v>16</v>
      </c>
      <c r="H139" s="5">
        <v>56185.74</v>
      </c>
      <c r="I139" s="3" t="s">
        <v>17</v>
      </c>
      <c r="J139" s="3" t="s">
        <v>18</v>
      </c>
      <c r="K139" s="3" t="s">
        <v>14</v>
      </c>
      <c r="L139" s="3" t="s">
        <v>520</v>
      </c>
      <c r="M139" s="4">
        <v>46297</v>
      </c>
      <c r="N139" s="3" t="s">
        <v>521</v>
      </c>
      <c r="O139" s="3" t="s">
        <v>25</v>
      </c>
      <c r="P139" t="str">
        <f t="shared" si="2"/>
        <v>450013666570</v>
      </c>
      <c r="Q139" s="9" cm="1">
        <f t="array" ref="Q139:S139">VLOOKUP(P139,Hoja1!C:F,{2,3,4},FALSE)</f>
        <v>46286</v>
      </c>
      <c r="R139" t="str">
        <v>C17</v>
      </c>
      <c r="S139" t="str">
        <v>1000008044 AGUDO DOHMEN MARIA ROMINA</v>
      </c>
    </row>
    <row r="140" spans="1:19" x14ac:dyDescent="0.3">
      <c r="A140" s="2" t="s">
        <v>14</v>
      </c>
      <c r="B140" s="3" t="s">
        <v>14</v>
      </c>
      <c r="C140" s="3" t="s">
        <v>966</v>
      </c>
      <c r="D140" s="3" t="s">
        <v>14</v>
      </c>
      <c r="E140" s="3" t="s">
        <v>28</v>
      </c>
      <c r="F140" s="4">
        <v>46297</v>
      </c>
      <c r="G140" s="3" t="s">
        <v>16</v>
      </c>
      <c r="H140" s="5">
        <v>2557.35</v>
      </c>
      <c r="I140" s="3" t="s">
        <v>17</v>
      </c>
      <c r="J140" s="3" t="s">
        <v>18</v>
      </c>
      <c r="K140" s="3" t="s">
        <v>14</v>
      </c>
      <c r="L140" s="3" t="s">
        <v>520</v>
      </c>
      <c r="M140" s="4">
        <v>46297</v>
      </c>
      <c r="N140" s="3" t="s">
        <v>521</v>
      </c>
      <c r="O140" s="3" t="s">
        <v>343</v>
      </c>
      <c r="P140" t="str">
        <f t="shared" si="2"/>
        <v>450013666580</v>
      </c>
      <c r="Q140" s="9" cm="1">
        <f t="array" ref="Q140:S140">VLOOKUP(P140,Hoja1!C:F,{2,3,4},FALSE)</f>
        <v>46286</v>
      </c>
      <c r="R140" t="str">
        <v>C17</v>
      </c>
      <c r="S140" t="str">
        <v>1000008044 AGUDO DOHMEN MARIA ROMINA</v>
      </c>
    </row>
    <row r="141" spans="1:19" x14ac:dyDescent="0.3">
      <c r="A141" s="2" t="s">
        <v>14</v>
      </c>
      <c r="B141" s="3" t="s">
        <v>14</v>
      </c>
      <c r="C141" s="3" t="s">
        <v>967</v>
      </c>
      <c r="D141" s="3" t="s">
        <v>14</v>
      </c>
      <c r="E141" s="3" t="s">
        <v>28</v>
      </c>
      <c r="F141" s="4">
        <v>46296</v>
      </c>
      <c r="G141" s="3" t="s">
        <v>16</v>
      </c>
      <c r="H141" s="5">
        <v>1786765.2</v>
      </c>
      <c r="I141" s="3" t="s">
        <v>17</v>
      </c>
      <c r="J141" s="3" t="s">
        <v>18</v>
      </c>
      <c r="K141" s="3" t="s">
        <v>14</v>
      </c>
      <c r="L141" s="3" t="s">
        <v>95</v>
      </c>
      <c r="M141" s="4">
        <v>46297</v>
      </c>
      <c r="N141" s="3" t="s">
        <v>668</v>
      </c>
      <c r="O141" s="3" t="s">
        <v>34</v>
      </c>
      <c r="P141" t="str">
        <f t="shared" si="2"/>
        <v>450013942710</v>
      </c>
      <c r="Q141" s="9" cm="1">
        <f t="array" ref="Q141:S141">VLOOKUP(P141,Hoja1!C:F,{2,3,4},FALSE)</f>
        <v>46320</v>
      </c>
      <c r="R141" t="str">
        <v>G04</v>
      </c>
      <c r="S141" t="str">
        <v>1000000561 ESCANDINAVIA DEL PLATA SA</v>
      </c>
    </row>
    <row r="142" spans="1:19" x14ac:dyDescent="0.3">
      <c r="A142" s="2" t="s">
        <v>14</v>
      </c>
      <c r="B142" s="3" t="s">
        <v>14</v>
      </c>
      <c r="C142" s="3" t="s">
        <v>968</v>
      </c>
      <c r="D142" s="3" t="s">
        <v>14</v>
      </c>
      <c r="E142" s="3" t="s">
        <v>28</v>
      </c>
      <c r="F142" s="4">
        <v>46296</v>
      </c>
      <c r="G142" s="3" t="s">
        <v>16</v>
      </c>
      <c r="H142" s="5">
        <v>287918.40000000002</v>
      </c>
      <c r="I142" s="3" t="s">
        <v>17</v>
      </c>
      <c r="J142" s="3" t="s">
        <v>18</v>
      </c>
      <c r="K142" s="3" t="s">
        <v>14</v>
      </c>
      <c r="L142" s="3" t="s">
        <v>832</v>
      </c>
      <c r="M142" s="4">
        <v>46297</v>
      </c>
      <c r="N142" s="3" t="s">
        <v>833</v>
      </c>
      <c r="O142" s="3" t="s">
        <v>34</v>
      </c>
      <c r="P142" t="str">
        <f t="shared" si="2"/>
        <v>450013968210</v>
      </c>
      <c r="Q142" s="9" cm="1">
        <f t="array" ref="Q142:S142">VLOOKUP(P142,Hoja1!C:F,{2,3,4},FALSE)</f>
        <v>46300</v>
      </c>
      <c r="R142" t="str">
        <v>F04</v>
      </c>
      <c r="S142" t="str">
        <v>1000001129 AGRONORTE S.R.L.</v>
      </c>
    </row>
    <row r="143" spans="1:19" x14ac:dyDescent="0.3">
      <c r="A143" s="2" t="s">
        <v>14</v>
      </c>
      <c r="B143" s="3" t="s">
        <v>14</v>
      </c>
      <c r="C143" s="3" t="s">
        <v>968</v>
      </c>
      <c r="D143" s="3" t="s">
        <v>14</v>
      </c>
      <c r="E143" s="3" t="s">
        <v>28</v>
      </c>
      <c r="F143" s="4">
        <v>46296</v>
      </c>
      <c r="G143" s="3" t="s">
        <v>16</v>
      </c>
      <c r="H143" s="5">
        <v>710265.6</v>
      </c>
      <c r="I143" s="3" t="s">
        <v>17</v>
      </c>
      <c r="J143" s="3" t="s">
        <v>18</v>
      </c>
      <c r="K143" s="3" t="s">
        <v>14</v>
      </c>
      <c r="L143" s="3" t="s">
        <v>832</v>
      </c>
      <c r="M143" s="4">
        <v>46297</v>
      </c>
      <c r="N143" s="3" t="s">
        <v>833</v>
      </c>
      <c r="O143" s="3" t="s">
        <v>21</v>
      </c>
      <c r="P143" t="str">
        <f t="shared" si="2"/>
        <v>450013968220</v>
      </c>
      <c r="Q143" s="9" cm="1">
        <f t="array" ref="Q143:S143">VLOOKUP(P143,Hoja1!C:F,{2,3,4},FALSE)</f>
        <v>46300</v>
      </c>
      <c r="R143" t="str">
        <v>F04</v>
      </c>
      <c r="S143" t="str">
        <v>1000001129 AGRONORTE S.R.L.</v>
      </c>
    </row>
    <row r="144" spans="1:19" x14ac:dyDescent="0.3">
      <c r="A144" s="2" t="s">
        <v>14</v>
      </c>
      <c r="B144" s="3" t="s">
        <v>14</v>
      </c>
      <c r="C144" s="3" t="s">
        <v>968</v>
      </c>
      <c r="D144" s="3" t="s">
        <v>14</v>
      </c>
      <c r="E144" s="3" t="s">
        <v>28</v>
      </c>
      <c r="F144" s="4">
        <v>46296</v>
      </c>
      <c r="G144" s="3" t="s">
        <v>16</v>
      </c>
      <c r="H144" s="5">
        <v>133942.39999999999</v>
      </c>
      <c r="I144" s="3" t="s">
        <v>17</v>
      </c>
      <c r="J144" s="3" t="s">
        <v>18</v>
      </c>
      <c r="K144" s="3" t="s">
        <v>14</v>
      </c>
      <c r="L144" s="3" t="s">
        <v>832</v>
      </c>
      <c r="M144" s="4">
        <v>46297</v>
      </c>
      <c r="N144" s="3" t="s">
        <v>833</v>
      </c>
      <c r="O144" s="3" t="s">
        <v>22</v>
      </c>
      <c r="P144" t="str">
        <f t="shared" si="2"/>
        <v>450013968230</v>
      </c>
      <c r="Q144" s="9" cm="1">
        <f t="array" ref="Q144:S144">VLOOKUP(P144,Hoja1!C:F,{2,3,4},FALSE)</f>
        <v>46300</v>
      </c>
      <c r="R144" t="str">
        <v>F04</v>
      </c>
      <c r="S144" t="str">
        <v>1000001129 AGRONORTE S.R.L.</v>
      </c>
    </row>
    <row r="145" spans="1:19" x14ac:dyDescent="0.3">
      <c r="A145" s="2" t="s">
        <v>14</v>
      </c>
      <c r="B145" s="3" t="s">
        <v>14</v>
      </c>
      <c r="C145" s="3" t="s">
        <v>969</v>
      </c>
      <c r="D145" s="3" t="s">
        <v>14</v>
      </c>
      <c r="E145" s="3" t="s">
        <v>28</v>
      </c>
      <c r="F145" s="4">
        <v>46296</v>
      </c>
      <c r="G145" s="3" t="s">
        <v>16</v>
      </c>
      <c r="H145" s="5">
        <v>550000</v>
      </c>
      <c r="I145" s="3" t="s">
        <v>17</v>
      </c>
      <c r="J145" s="3" t="s">
        <v>18</v>
      </c>
      <c r="K145" s="3" t="s">
        <v>14</v>
      </c>
      <c r="L145" s="3" t="s">
        <v>809</v>
      </c>
      <c r="M145" s="4">
        <v>46297</v>
      </c>
      <c r="N145" s="3" t="s">
        <v>810</v>
      </c>
      <c r="O145" s="3" t="s">
        <v>34</v>
      </c>
      <c r="P145" t="str">
        <f t="shared" si="2"/>
        <v>450013997810</v>
      </c>
      <c r="Q145" s="9" cm="1">
        <f t="array" ref="Q145:S145">VLOOKUP(P145,Hoja1!C:F,{2,3,4},FALSE)</f>
        <v>46300</v>
      </c>
      <c r="R145" t="str">
        <v>C43</v>
      </c>
      <c r="S145" t="str">
        <v>1000013728 FORMICA CARLOS ALBERTO</v>
      </c>
    </row>
    <row r="146" spans="1:19" x14ac:dyDescent="0.3">
      <c r="A146" s="2" t="s">
        <v>14</v>
      </c>
      <c r="B146" s="3" t="s">
        <v>14</v>
      </c>
      <c r="C146" s="3" t="s">
        <v>970</v>
      </c>
      <c r="D146" s="3" t="s">
        <v>14</v>
      </c>
      <c r="E146" s="3" t="s">
        <v>28</v>
      </c>
      <c r="F146" s="4">
        <v>46290</v>
      </c>
      <c r="G146" s="3" t="s">
        <v>16</v>
      </c>
      <c r="H146" s="5">
        <v>3186750</v>
      </c>
      <c r="I146" s="3" t="s">
        <v>17</v>
      </c>
      <c r="J146" s="3" t="s">
        <v>18</v>
      </c>
      <c r="K146" s="3" t="s">
        <v>14</v>
      </c>
      <c r="L146" s="3" t="s">
        <v>671</v>
      </c>
      <c r="M146" s="4">
        <v>46297</v>
      </c>
      <c r="N146" s="3" t="s">
        <v>672</v>
      </c>
      <c r="O146" s="3" t="s">
        <v>34</v>
      </c>
      <c r="P146" t="str">
        <f t="shared" si="2"/>
        <v>450013711010</v>
      </c>
      <c r="Q146" s="9" cm="1">
        <f t="array" ref="Q146:S146">VLOOKUP(P146,Hoja1!C:F,{2,3,4},FALSE)</f>
        <v>46325</v>
      </c>
      <c r="R146" t="str">
        <v>C13</v>
      </c>
      <c r="S146" t="str">
        <v>1000004943 DANIEL SORIN E HIJOS SRL</v>
      </c>
    </row>
    <row r="147" spans="1:19" x14ac:dyDescent="0.3">
      <c r="A147" s="2" t="s">
        <v>14</v>
      </c>
      <c r="B147" s="3" t="s">
        <v>14</v>
      </c>
      <c r="C147" s="3" t="s">
        <v>971</v>
      </c>
      <c r="D147" s="3" t="s">
        <v>14</v>
      </c>
      <c r="E147" s="3" t="s">
        <v>28</v>
      </c>
      <c r="F147" s="4">
        <v>46295</v>
      </c>
      <c r="G147" s="3" t="s">
        <v>44</v>
      </c>
      <c r="H147" s="6">
        <v>-1065746.5</v>
      </c>
      <c r="I147" s="3" t="s">
        <v>17</v>
      </c>
      <c r="J147" s="3" t="s">
        <v>18</v>
      </c>
      <c r="K147" s="3" t="s">
        <v>14</v>
      </c>
      <c r="L147" s="3" t="s">
        <v>228</v>
      </c>
      <c r="M147" s="4">
        <v>46297</v>
      </c>
      <c r="N147" s="3" t="s">
        <v>693</v>
      </c>
      <c r="O147" s="3" t="s">
        <v>34</v>
      </c>
      <c r="P147" t="str">
        <f t="shared" si="2"/>
        <v>450013973810</v>
      </c>
      <c r="Q147" s="9" cm="1">
        <f t="array" ref="Q147:S147">VLOOKUP(P147,Hoja1!C:F,{2,3,4},FALSE)</f>
        <v>46315</v>
      </c>
      <c r="R147" t="str">
        <v>C29</v>
      </c>
      <c r="S147" t="str">
        <v>1000000488 BETA S.A.</v>
      </c>
    </row>
    <row r="148" spans="1:19" x14ac:dyDescent="0.3">
      <c r="A148" s="2" t="s">
        <v>14</v>
      </c>
      <c r="B148" s="3" t="s">
        <v>14</v>
      </c>
      <c r="C148" s="3" t="s">
        <v>972</v>
      </c>
      <c r="D148" s="3" t="s">
        <v>14</v>
      </c>
      <c r="E148" s="3" t="s">
        <v>28</v>
      </c>
      <c r="F148" s="4">
        <v>46290</v>
      </c>
      <c r="G148" s="3" t="s">
        <v>16</v>
      </c>
      <c r="H148" s="5">
        <v>131850.45000000001</v>
      </c>
      <c r="I148" s="3" t="s">
        <v>17</v>
      </c>
      <c r="J148" s="3" t="s">
        <v>18</v>
      </c>
      <c r="K148" s="3" t="s">
        <v>14</v>
      </c>
      <c r="L148" s="3" t="s">
        <v>163</v>
      </c>
      <c r="M148" s="4">
        <v>46297</v>
      </c>
      <c r="N148" s="3" t="s">
        <v>610</v>
      </c>
      <c r="O148" s="3" t="s">
        <v>25</v>
      </c>
      <c r="P148" t="str">
        <f t="shared" si="2"/>
        <v>450013657470</v>
      </c>
      <c r="Q148" s="9" cm="1">
        <f t="array" ref="Q148:S148">VLOOKUP(P148,Hoja1!C:F,{2,3,4},FALSE)</f>
        <v>46290</v>
      </c>
      <c r="R148" t="str">
        <v>C03</v>
      </c>
      <c r="S148" t="str">
        <v>1000000062 FINNING ARGENTINA S.A.</v>
      </c>
    </row>
    <row r="149" spans="1:19" x14ac:dyDescent="0.3">
      <c r="A149" s="2" t="s">
        <v>14</v>
      </c>
      <c r="B149" s="3" t="s">
        <v>14</v>
      </c>
      <c r="C149" s="3" t="s">
        <v>973</v>
      </c>
      <c r="D149" s="3" t="s">
        <v>14</v>
      </c>
      <c r="E149" s="3" t="s">
        <v>28</v>
      </c>
      <c r="F149" s="4">
        <v>46231</v>
      </c>
      <c r="G149" s="3" t="s">
        <v>16</v>
      </c>
      <c r="H149" s="5">
        <v>456000</v>
      </c>
      <c r="I149" s="3" t="s">
        <v>17</v>
      </c>
      <c r="J149" s="3" t="s">
        <v>18</v>
      </c>
      <c r="K149" s="3" t="s">
        <v>14</v>
      </c>
      <c r="L149" s="3" t="s">
        <v>19</v>
      </c>
      <c r="M149" s="4">
        <v>46297</v>
      </c>
      <c r="N149" s="3" t="s">
        <v>974</v>
      </c>
      <c r="O149" s="3" t="s">
        <v>34</v>
      </c>
      <c r="P149" t="str">
        <f t="shared" si="2"/>
        <v>450013262110</v>
      </c>
      <c r="Q149" s="9" cm="1">
        <f t="array" ref="Q149:S149">VLOOKUP(P149,Hoja1!C:F,{2,3,4},FALSE)</f>
        <v>46230</v>
      </c>
      <c r="R149" t="str">
        <v>EFO</v>
      </c>
      <c r="S149" t="str">
        <v>1000001470 SUDAMERICANA CAMIONES SA</v>
      </c>
    </row>
    <row r="150" spans="1:19" x14ac:dyDescent="0.3">
      <c r="A150" s="2" t="s">
        <v>14</v>
      </c>
      <c r="B150" s="3" t="s">
        <v>14</v>
      </c>
      <c r="C150" s="3" t="s">
        <v>973</v>
      </c>
      <c r="D150" s="3" t="s">
        <v>14</v>
      </c>
      <c r="E150" s="3" t="s">
        <v>28</v>
      </c>
      <c r="F150" s="4">
        <v>46231</v>
      </c>
      <c r="G150" s="3" t="s">
        <v>16</v>
      </c>
      <c r="H150" s="5">
        <v>228000</v>
      </c>
      <c r="I150" s="3" t="s">
        <v>17</v>
      </c>
      <c r="J150" s="3" t="s">
        <v>18</v>
      </c>
      <c r="K150" s="3" t="s">
        <v>14</v>
      </c>
      <c r="L150" s="3" t="s">
        <v>19</v>
      </c>
      <c r="M150" s="4">
        <v>46297</v>
      </c>
      <c r="N150" s="3" t="s">
        <v>974</v>
      </c>
      <c r="O150" s="3" t="s">
        <v>21</v>
      </c>
      <c r="P150" t="str">
        <f t="shared" si="2"/>
        <v>450013262120</v>
      </c>
      <c r="Q150" s="9" cm="1">
        <f t="array" ref="Q150:S150">VLOOKUP(P150,Hoja1!C:F,{2,3,4},FALSE)</f>
        <v>46230</v>
      </c>
      <c r="R150" t="str">
        <v>EFO</v>
      </c>
      <c r="S150" t="str">
        <v>1000001470 SUDAMERICANA CAMIONES SA</v>
      </c>
    </row>
    <row r="151" spans="1:19" x14ac:dyDescent="0.3">
      <c r="A151" s="2" t="s">
        <v>14</v>
      </c>
      <c r="B151" s="3" t="s">
        <v>14</v>
      </c>
      <c r="C151" s="3" t="s">
        <v>973</v>
      </c>
      <c r="D151" s="3" t="s">
        <v>14</v>
      </c>
      <c r="E151" s="3" t="s">
        <v>28</v>
      </c>
      <c r="F151" s="4">
        <v>46231</v>
      </c>
      <c r="G151" s="3" t="s">
        <v>16</v>
      </c>
      <c r="H151" s="5">
        <v>456000</v>
      </c>
      <c r="I151" s="3" t="s">
        <v>17</v>
      </c>
      <c r="J151" s="3" t="s">
        <v>18</v>
      </c>
      <c r="K151" s="3" t="s">
        <v>14</v>
      </c>
      <c r="L151" s="3" t="s">
        <v>19</v>
      </c>
      <c r="M151" s="4">
        <v>46297</v>
      </c>
      <c r="N151" s="3" t="s">
        <v>974</v>
      </c>
      <c r="O151" s="3" t="s">
        <v>22</v>
      </c>
      <c r="P151" t="str">
        <f t="shared" si="2"/>
        <v>450013262130</v>
      </c>
      <c r="Q151" s="9" cm="1">
        <f t="array" ref="Q151:S151">VLOOKUP(P151,Hoja1!C:F,{2,3,4},FALSE)</f>
        <v>46230</v>
      </c>
      <c r="R151" t="str">
        <v>EFO</v>
      </c>
      <c r="S151" t="str">
        <v>1000001470 SUDAMERICANA CAMIONES SA</v>
      </c>
    </row>
    <row r="152" spans="1:19" x14ac:dyDescent="0.3">
      <c r="A152" s="2" t="s">
        <v>14</v>
      </c>
      <c r="B152" s="3" t="s">
        <v>14</v>
      </c>
      <c r="C152" s="3" t="s">
        <v>973</v>
      </c>
      <c r="D152" s="3" t="s">
        <v>14</v>
      </c>
      <c r="E152" s="3" t="s">
        <v>28</v>
      </c>
      <c r="F152" s="4">
        <v>46231</v>
      </c>
      <c r="G152" s="3" t="s">
        <v>16</v>
      </c>
      <c r="H152" s="5">
        <v>456000</v>
      </c>
      <c r="I152" s="3" t="s">
        <v>17</v>
      </c>
      <c r="J152" s="3" t="s">
        <v>18</v>
      </c>
      <c r="K152" s="3" t="s">
        <v>14</v>
      </c>
      <c r="L152" s="3" t="s">
        <v>19</v>
      </c>
      <c r="M152" s="4">
        <v>46297</v>
      </c>
      <c r="N152" s="3" t="s">
        <v>974</v>
      </c>
      <c r="O152" s="3" t="s">
        <v>26</v>
      </c>
      <c r="P152" t="str">
        <f t="shared" si="2"/>
        <v>450013262140</v>
      </c>
      <c r="Q152" s="9" cm="1">
        <f t="array" ref="Q152:S152">VLOOKUP(P152,Hoja1!C:F,{2,3,4},FALSE)</f>
        <v>46230</v>
      </c>
      <c r="R152" t="str">
        <v>EFO</v>
      </c>
      <c r="S152" t="str">
        <v>1000001470 SUDAMERICANA CAMIONES SA</v>
      </c>
    </row>
    <row r="153" spans="1:19" x14ac:dyDescent="0.3">
      <c r="A153" s="2" t="s">
        <v>14</v>
      </c>
      <c r="B153" s="3" t="s">
        <v>14</v>
      </c>
      <c r="C153" s="3" t="s">
        <v>973</v>
      </c>
      <c r="D153" s="3" t="s">
        <v>14</v>
      </c>
      <c r="E153" s="3" t="s">
        <v>28</v>
      </c>
      <c r="F153" s="4">
        <v>46231</v>
      </c>
      <c r="G153" s="3" t="s">
        <v>16</v>
      </c>
      <c r="H153" s="5">
        <v>456000</v>
      </c>
      <c r="I153" s="3" t="s">
        <v>17</v>
      </c>
      <c r="J153" s="3" t="s">
        <v>18</v>
      </c>
      <c r="K153" s="3" t="s">
        <v>14</v>
      </c>
      <c r="L153" s="3" t="s">
        <v>19</v>
      </c>
      <c r="M153" s="4">
        <v>46297</v>
      </c>
      <c r="N153" s="3" t="s">
        <v>974</v>
      </c>
      <c r="O153" s="3" t="s">
        <v>24</v>
      </c>
      <c r="P153" t="str">
        <f t="shared" si="2"/>
        <v>450013262160</v>
      </c>
      <c r="Q153" s="9" cm="1">
        <f t="array" ref="Q153:S153">VLOOKUP(P153,Hoja1!C:F,{2,3,4},FALSE)</f>
        <v>46230</v>
      </c>
      <c r="R153" t="str">
        <v>EFO</v>
      </c>
      <c r="S153" t="str">
        <v>1000001470 SUDAMERICANA CAMIONES SA</v>
      </c>
    </row>
    <row r="154" spans="1:19" x14ac:dyDescent="0.3">
      <c r="A154" s="2" t="s">
        <v>14</v>
      </c>
      <c r="B154" s="3" t="s">
        <v>14</v>
      </c>
      <c r="C154" s="3" t="s">
        <v>973</v>
      </c>
      <c r="D154" s="3" t="s">
        <v>14</v>
      </c>
      <c r="E154" s="3" t="s">
        <v>28</v>
      </c>
      <c r="F154" s="4">
        <v>46231</v>
      </c>
      <c r="G154" s="3" t="s">
        <v>16</v>
      </c>
      <c r="H154" s="5">
        <v>456000</v>
      </c>
      <c r="I154" s="3" t="s">
        <v>17</v>
      </c>
      <c r="J154" s="3" t="s">
        <v>18</v>
      </c>
      <c r="K154" s="3" t="s">
        <v>14</v>
      </c>
      <c r="L154" s="3" t="s">
        <v>19</v>
      </c>
      <c r="M154" s="4">
        <v>46297</v>
      </c>
      <c r="N154" s="3" t="s">
        <v>974</v>
      </c>
      <c r="O154" s="3" t="s">
        <v>25</v>
      </c>
      <c r="P154" t="str">
        <f t="shared" si="2"/>
        <v>450013262170</v>
      </c>
      <c r="Q154" s="9" cm="1">
        <f t="array" ref="Q154:S154">VLOOKUP(P154,Hoja1!C:F,{2,3,4},FALSE)</f>
        <v>46230</v>
      </c>
      <c r="R154" t="str">
        <v>EFO</v>
      </c>
      <c r="S154" t="str">
        <v>1000001470 SUDAMERICANA CAMIONES SA</v>
      </c>
    </row>
    <row r="155" spans="1:19" x14ac:dyDescent="0.3">
      <c r="A155" s="2" t="s">
        <v>14</v>
      </c>
      <c r="B155" s="3" t="s">
        <v>14</v>
      </c>
      <c r="C155" s="3" t="s">
        <v>973</v>
      </c>
      <c r="D155" s="3" t="s">
        <v>14</v>
      </c>
      <c r="E155" s="3" t="s">
        <v>28</v>
      </c>
      <c r="F155" s="4">
        <v>46231</v>
      </c>
      <c r="G155" s="3" t="s">
        <v>16</v>
      </c>
      <c r="H155" s="5">
        <v>456000</v>
      </c>
      <c r="I155" s="3" t="s">
        <v>17</v>
      </c>
      <c r="J155" s="3" t="s">
        <v>18</v>
      </c>
      <c r="K155" s="3" t="s">
        <v>14</v>
      </c>
      <c r="L155" s="3" t="s">
        <v>19</v>
      </c>
      <c r="M155" s="4">
        <v>46297</v>
      </c>
      <c r="N155" s="3" t="s">
        <v>974</v>
      </c>
      <c r="O155" s="3" t="s">
        <v>343</v>
      </c>
      <c r="P155" t="str">
        <f t="shared" si="2"/>
        <v>450013262180</v>
      </c>
      <c r="Q155" s="9" cm="1">
        <f t="array" ref="Q155:S155">VLOOKUP(P155,Hoja1!C:F,{2,3,4},FALSE)</f>
        <v>46230</v>
      </c>
      <c r="R155" t="str">
        <v>EFO</v>
      </c>
      <c r="S155" t="str">
        <v>1000001470 SUDAMERICANA CAMIONES SA</v>
      </c>
    </row>
    <row r="156" spans="1:19" x14ac:dyDescent="0.3">
      <c r="A156" s="2" t="s">
        <v>14</v>
      </c>
      <c r="B156" s="3" t="s">
        <v>14</v>
      </c>
      <c r="C156" s="3" t="s">
        <v>973</v>
      </c>
      <c r="D156" s="3" t="s">
        <v>14</v>
      </c>
      <c r="E156" s="3" t="s">
        <v>28</v>
      </c>
      <c r="F156" s="4">
        <v>46231</v>
      </c>
      <c r="G156" s="3" t="s">
        <v>16</v>
      </c>
      <c r="H156" s="5">
        <v>456000</v>
      </c>
      <c r="I156" s="3" t="s">
        <v>17</v>
      </c>
      <c r="J156" s="3" t="s">
        <v>18</v>
      </c>
      <c r="K156" s="3" t="s">
        <v>14</v>
      </c>
      <c r="L156" s="3" t="s">
        <v>19</v>
      </c>
      <c r="M156" s="4">
        <v>46297</v>
      </c>
      <c r="N156" s="3" t="s">
        <v>974</v>
      </c>
      <c r="O156" s="3" t="s">
        <v>344</v>
      </c>
      <c r="P156" t="str">
        <f t="shared" si="2"/>
        <v>450013262190</v>
      </c>
      <c r="Q156" s="9" cm="1">
        <f t="array" ref="Q156:S156">VLOOKUP(P156,Hoja1!C:F,{2,3,4},FALSE)</f>
        <v>46230</v>
      </c>
      <c r="R156" t="str">
        <v>EFO</v>
      </c>
      <c r="S156" t="str">
        <v>1000001470 SUDAMERICANA CAMIONES SA</v>
      </c>
    </row>
    <row r="157" spans="1:19" x14ac:dyDescent="0.3">
      <c r="A157" s="2" t="s">
        <v>14</v>
      </c>
      <c r="B157" s="3" t="s">
        <v>14</v>
      </c>
      <c r="C157" s="3" t="s">
        <v>975</v>
      </c>
      <c r="D157" s="3" t="s">
        <v>14</v>
      </c>
      <c r="E157" s="3" t="s">
        <v>28</v>
      </c>
      <c r="F157" s="4">
        <v>46231</v>
      </c>
      <c r="G157" s="3" t="s">
        <v>16</v>
      </c>
      <c r="H157" s="5">
        <v>3223800</v>
      </c>
      <c r="I157" s="3" t="s">
        <v>17</v>
      </c>
      <c r="J157" s="3" t="s">
        <v>18</v>
      </c>
      <c r="K157" s="3" t="s">
        <v>14</v>
      </c>
      <c r="L157" s="3" t="s">
        <v>19</v>
      </c>
      <c r="M157" s="4">
        <v>46297</v>
      </c>
      <c r="N157" s="3" t="s">
        <v>387</v>
      </c>
      <c r="O157" s="3" t="s">
        <v>34</v>
      </c>
      <c r="P157" t="str">
        <f t="shared" si="2"/>
        <v>450013283310</v>
      </c>
      <c r="Q157" s="9" cm="1">
        <f t="array" ref="Q157:S157">VLOOKUP(P157,Hoja1!C:F,{2,3,4},FALSE)</f>
        <v>46216</v>
      </c>
      <c r="R157" t="str">
        <v>EFO</v>
      </c>
      <c r="S157" t="str">
        <v>1000001470 SUDAMERICANA CAMIONES SA</v>
      </c>
    </row>
    <row r="158" spans="1:19" x14ac:dyDescent="0.3">
      <c r="A158" s="2" t="s">
        <v>14</v>
      </c>
      <c r="B158" s="3" t="s">
        <v>14</v>
      </c>
      <c r="C158" s="3" t="s">
        <v>976</v>
      </c>
      <c r="D158" s="3" t="s">
        <v>36</v>
      </c>
      <c r="E158" s="3" t="s">
        <v>28</v>
      </c>
      <c r="F158" s="4">
        <v>46231</v>
      </c>
      <c r="G158" s="3" t="s">
        <v>16</v>
      </c>
      <c r="H158" s="5">
        <v>746250</v>
      </c>
      <c r="I158" s="3" t="s">
        <v>17</v>
      </c>
      <c r="J158" s="3" t="s">
        <v>18</v>
      </c>
      <c r="K158" s="3" t="s">
        <v>14</v>
      </c>
      <c r="L158" s="3" t="s">
        <v>102</v>
      </c>
      <c r="M158" s="4">
        <v>46297</v>
      </c>
      <c r="N158" s="3" t="s">
        <v>103</v>
      </c>
      <c r="O158" s="3" t="s">
        <v>34</v>
      </c>
      <c r="P158" t="str">
        <f t="shared" si="2"/>
        <v>450013294610</v>
      </c>
      <c r="Q158" s="9" cm="1">
        <f t="array" ref="Q158:S158">VLOOKUP(P158,Hoja1!C:F,{2,3,4},FALSE)</f>
        <v>46239</v>
      </c>
      <c r="R158" t="str">
        <v>C07</v>
      </c>
      <c r="S158" t="str">
        <v>1000009543 AC SAT S.R.L.</v>
      </c>
    </row>
    <row r="159" spans="1:19" x14ac:dyDescent="0.3">
      <c r="A159" s="2" t="s">
        <v>14</v>
      </c>
      <c r="B159" s="3" t="s">
        <v>14</v>
      </c>
      <c r="C159" s="3" t="s">
        <v>977</v>
      </c>
      <c r="D159" s="3" t="s">
        <v>14</v>
      </c>
      <c r="E159" s="3" t="s">
        <v>28</v>
      </c>
      <c r="F159" s="4">
        <v>46288</v>
      </c>
      <c r="G159" s="3" t="s">
        <v>16</v>
      </c>
      <c r="H159" s="5">
        <v>1683170</v>
      </c>
      <c r="I159" s="3" t="s">
        <v>17</v>
      </c>
      <c r="J159" s="3" t="s">
        <v>18</v>
      </c>
      <c r="K159" s="3" t="s">
        <v>14</v>
      </c>
      <c r="L159" s="3" t="s">
        <v>89</v>
      </c>
      <c r="M159" s="4">
        <v>46297</v>
      </c>
      <c r="N159" s="3" t="s">
        <v>702</v>
      </c>
      <c r="O159" s="3" t="s">
        <v>34</v>
      </c>
      <c r="P159" t="str">
        <f t="shared" si="2"/>
        <v>450013902710</v>
      </c>
      <c r="Q159" s="9" cm="1">
        <f t="array" ref="Q159:S159">VLOOKUP(P159,Hoja1!C:F,{2,3,4},FALSE)</f>
        <v>46286</v>
      </c>
      <c r="R159" t="str">
        <v>C13</v>
      </c>
      <c r="S159" t="str">
        <v>1000001028 SOSTEN S.A.</v>
      </c>
    </row>
    <row r="160" spans="1:19" x14ac:dyDescent="0.3">
      <c r="A160" s="2" t="s">
        <v>14</v>
      </c>
      <c r="B160" s="3" t="s">
        <v>14</v>
      </c>
      <c r="C160" s="3" t="s">
        <v>978</v>
      </c>
      <c r="D160" s="3" t="s">
        <v>14</v>
      </c>
      <c r="E160" s="3" t="s">
        <v>28</v>
      </c>
      <c r="F160" s="4">
        <v>46294</v>
      </c>
      <c r="G160" s="3" t="s">
        <v>16</v>
      </c>
      <c r="H160" s="5">
        <v>934777.2</v>
      </c>
      <c r="I160" s="3" t="s">
        <v>17</v>
      </c>
      <c r="J160" s="3" t="s">
        <v>18</v>
      </c>
      <c r="K160" s="3" t="s">
        <v>14</v>
      </c>
      <c r="L160" s="3" t="s">
        <v>19</v>
      </c>
      <c r="M160" s="4">
        <v>46297</v>
      </c>
      <c r="N160" s="3" t="s">
        <v>636</v>
      </c>
      <c r="O160" s="3" t="s">
        <v>34</v>
      </c>
      <c r="P160" t="str">
        <f t="shared" si="2"/>
        <v>450013724010</v>
      </c>
      <c r="Q160" s="9" cm="1">
        <f t="array" ref="Q160:S160">VLOOKUP(P160,Hoja1!C:F,{2,3,4},FALSE)</f>
        <v>46290</v>
      </c>
      <c r="R160" t="str">
        <v>C03</v>
      </c>
      <c r="S160" t="str">
        <v>1000001470 SUDAMERICANA CAMIONES SA</v>
      </c>
    </row>
    <row r="161" spans="1:19" x14ac:dyDescent="0.3">
      <c r="A161" s="2" t="s">
        <v>14</v>
      </c>
      <c r="B161" s="3" t="s">
        <v>14</v>
      </c>
      <c r="C161" s="3" t="s">
        <v>979</v>
      </c>
      <c r="D161" s="3" t="s">
        <v>14</v>
      </c>
      <c r="E161" s="3" t="s">
        <v>28</v>
      </c>
      <c r="F161" s="4">
        <v>46295</v>
      </c>
      <c r="G161" s="3" t="s">
        <v>16</v>
      </c>
      <c r="H161" s="5">
        <v>201192.75</v>
      </c>
      <c r="I161" s="3" t="s">
        <v>17</v>
      </c>
      <c r="J161" s="3" t="s">
        <v>18</v>
      </c>
      <c r="K161" s="3" t="s">
        <v>14</v>
      </c>
      <c r="L161" s="3" t="s">
        <v>19</v>
      </c>
      <c r="M161" s="4">
        <v>46297</v>
      </c>
      <c r="N161" s="3" t="s">
        <v>20</v>
      </c>
      <c r="O161" s="3" t="s">
        <v>34</v>
      </c>
      <c r="P161" t="str">
        <f t="shared" si="2"/>
        <v>450013836810</v>
      </c>
      <c r="Q161" s="9" cm="1">
        <f t="array" ref="Q161:S161">VLOOKUP(P161,Hoja1!C:F,{2,3,4},FALSE)</f>
        <v>46295</v>
      </c>
      <c r="R161" t="str">
        <v>C03</v>
      </c>
      <c r="S161" t="str">
        <v>1000001470 SUDAMERICANA CAMIONES SA</v>
      </c>
    </row>
    <row r="162" spans="1:19" x14ac:dyDescent="0.3">
      <c r="A162" s="2" t="s">
        <v>14</v>
      </c>
      <c r="B162" s="3" t="s">
        <v>14</v>
      </c>
      <c r="C162" s="3" t="s">
        <v>980</v>
      </c>
      <c r="D162" s="3" t="s">
        <v>14</v>
      </c>
      <c r="E162" s="3" t="s">
        <v>28</v>
      </c>
      <c r="F162" s="4">
        <v>46295</v>
      </c>
      <c r="G162" s="3" t="s">
        <v>16</v>
      </c>
      <c r="H162" s="5">
        <v>1279832.1299999999</v>
      </c>
      <c r="I162" s="3" t="s">
        <v>17</v>
      </c>
      <c r="J162" s="3" t="s">
        <v>18</v>
      </c>
      <c r="K162" s="3" t="s">
        <v>14</v>
      </c>
      <c r="L162" s="3" t="s">
        <v>19</v>
      </c>
      <c r="M162" s="4">
        <v>46297</v>
      </c>
      <c r="N162" s="3" t="s">
        <v>682</v>
      </c>
      <c r="O162" s="3" t="s">
        <v>34</v>
      </c>
      <c r="P162" t="str">
        <f t="shared" si="2"/>
        <v>450013811710</v>
      </c>
      <c r="Q162" s="9" cm="1">
        <f t="array" ref="Q162:S162">VLOOKUP(P162,Hoja1!C:F,{2,3,4},FALSE)</f>
        <v>46288</v>
      </c>
      <c r="R162" t="str">
        <v>C29</v>
      </c>
      <c r="S162" t="str">
        <v>1000001470 SUDAMERICANA CAMIONES SA</v>
      </c>
    </row>
    <row r="163" spans="1:19" x14ac:dyDescent="0.3">
      <c r="A163" s="2" t="s">
        <v>14</v>
      </c>
      <c r="B163" s="3" t="s">
        <v>14</v>
      </c>
      <c r="C163" s="3" t="s">
        <v>981</v>
      </c>
      <c r="D163" s="3" t="s">
        <v>14</v>
      </c>
      <c r="E163" s="3" t="s">
        <v>28</v>
      </c>
      <c r="F163" s="4">
        <v>46295</v>
      </c>
      <c r="G163" s="3" t="s">
        <v>16</v>
      </c>
      <c r="H163" s="5">
        <v>934951.88</v>
      </c>
      <c r="I163" s="3" t="s">
        <v>17</v>
      </c>
      <c r="J163" s="3" t="s">
        <v>18</v>
      </c>
      <c r="K163" s="3" t="s">
        <v>14</v>
      </c>
      <c r="L163" s="3" t="s">
        <v>19</v>
      </c>
      <c r="M163" s="4">
        <v>46297</v>
      </c>
      <c r="N163" s="3" t="s">
        <v>788</v>
      </c>
      <c r="O163" s="3" t="s">
        <v>34</v>
      </c>
      <c r="P163" t="str">
        <f t="shared" si="2"/>
        <v>450013950510</v>
      </c>
      <c r="Q163" s="9" cm="1">
        <f t="array" ref="Q163:S163">VLOOKUP(P163,Hoja1!C:F,{2,3,4},FALSE)</f>
        <v>46304</v>
      </c>
      <c r="R163" t="str">
        <v>C29</v>
      </c>
      <c r="S163" t="str">
        <v>1000001470 SUDAMERICANA CAMIONES SA</v>
      </c>
    </row>
    <row r="164" spans="1:19" x14ac:dyDescent="0.3">
      <c r="A164" s="2" t="s">
        <v>14</v>
      </c>
      <c r="B164" s="3" t="s">
        <v>14</v>
      </c>
      <c r="C164" s="3" t="s">
        <v>981</v>
      </c>
      <c r="D164" s="3" t="s">
        <v>14</v>
      </c>
      <c r="E164" s="3" t="s">
        <v>28</v>
      </c>
      <c r="F164" s="4">
        <v>46295</v>
      </c>
      <c r="G164" s="3" t="s">
        <v>16</v>
      </c>
      <c r="H164" s="5">
        <v>36466.379999999997</v>
      </c>
      <c r="I164" s="3" t="s">
        <v>17</v>
      </c>
      <c r="J164" s="3" t="s">
        <v>18</v>
      </c>
      <c r="K164" s="3" t="s">
        <v>14</v>
      </c>
      <c r="L164" s="3" t="s">
        <v>19</v>
      </c>
      <c r="M164" s="4">
        <v>46297</v>
      </c>
      <c r="N164" s="3" t="s">
        <v>788</v>
      </c>
      <c r="O164" s="3" t="s">
        <v>22</v>
      </c>
      <c r="P164" t="str">
        <f t="shared" si="2"/>
        <v>450013950530</v>
      </c>
      <c r="Q164" s="9" cm="1">
        <f t="array" ref="Q164:S164">VLOOKUP(P164,Hoja1!C:F,{2,3,4},FALSE)</f>
        <v>46300</v>
      </c>
      <c r="R164" t="str">
        <v>C29</v>
      </c>
      <c r="S164" t="str">
        <v>1000001470 SUDAMERICANA CAMIONES SA</v>
      </c>
    </row>
    <row r="165" spans="1:19" x14ac:dyDescent="0.3">
      <c r="A165" s="2" t="s">
        <v>14</v>
      </c>
      <c r="B165" s="3" t="s">
        <v>14</v>
      </c>
      <c r="C165" s="3" t="s">
        <v>981</v>
      </c>
      <c r="D165" s="3" t="s">
        <v>14</v>
      </c>
      <c r="E165" s="3" t="s">
        <v>28</v>
      </c>
      <c r="F165" s="4">
        <v>46295</v>
      </c>
      <c r="G165" s="3" t="s">
        <v>16</v>
      </c>
      <c r="H165" s="5">
        <v>27194.75</v>
      </c>
      <c r="I165" s="3" t="s">
        <v>17</v>
      </c>
      <c r="J165" s="3" t="s">
        <v>18</v>
      </c>
      <c r="K165" s="3" t="s">
        <v>14</v>
      </c>
      <c r="L165" s="3" t="s">
        <v>19</v>
      </c>
      <c r="M165" s="4">
        <v>46297</v>
      </c>
      <c r="N165" s="3" t="s">
        <v>788</v>
      </c>
      <c r="O165" s="3" t="s">
        <v>26</v>
      </c>
      <c r="P165" t="str">
        <f t="shared" si="2"/>
        <v>450013950540</v>
      </c>
      <c r="Q165" s="9" cm="1">
        <f t="array" ref="Q165:S165">VLOOKUP(P165,Hoja1!C:F,{2,3,4},FALSE)</f>
        <v>46300</v>
      </c>
      <c r="R165" t="str">
        <v>C29</v>
      </c>
      <c r="S165" t="str">
        <v>1000001470 SUDAMERICANA CAMIONES SA</v>
      </c>
    </row>
    <row r="166" spans="1:19" x14ac:dyDescent="0.3">
      <c r="A166" s="2" t="s">
        <v>14</v>
      </c>
      <c r="B166" s="3" t="s">
        <v>14</v>
      </c>
      <c r="C166" s="3" t="s">
        <v>981</v>
      </c>
      <c r="D166" s="3" t="s">
        <v>14</v>
      </c>
      <c r="E166" s="3" t="s">
        <v>28</v>
      </c>
      <c r="F166" s="4">
        <v>46295</v>
      </c>
      <c r="G166" s="3" t="s">
        <v>16</v>
      </c>
      <c r="H166" s="5">
        <v>27194.75</v>
      </c>
      <c r="I166" s="3" t="s">
        <v>17</v>
      </c>
      <c r="J166" s="3" t="s">
        <v>18</v>
      </c>
      <c r="K166" s="3" t="s">
        <v>14</v>
      </c>
      <c r="L166" s="3" t="s">
        <v>19</v>
      </c>
      <c r="M166" s="4">
        <v>46297</v>
      </c>
      <c r="N166" s="3" t="s">
        <v>788</v>
      </c>
      <c r="O166" s="3" t="s">
        <v>23</v>
      </c>
      <c r="P166" t="str">
        <f t="shared" si="2"/>
        <v>450013950550</v>
      </c>
      <c r="Q166" s="9" cm="1">
        <f t="array" ref="Q166:S166">VLOOKUP(P166,Hoja1!C:F,{2,3,4},FALSE)</f>
        <v>46320</v>
      </c>
      <c r="R166" t="str">
        <v>C29</v>
      </c>
      <c r="S166" t="str">
        <v>1000001470 SUDAMERICANA CAMIONES SA</v>
      </c>
    </row>
    <row r="167" spans="1:19" x14ac:dyDescent="0.3">
      <c r="A167" s="2" t="s">
        <v>14</v>
      </c>
      <c r="B167" s="3" t="s">
        <v>14</v>
      </c>
      <c r="C167" s="3" t="s">
        <v>981</v>
      </c>
      <c r="D167" s="3" t="s">
        <v>14</v>
      </c>
      <c r="E167" s="3" t="s">
        <v>28</v>
      </c>
      <c r="F167" s="4">
        <v>46295</v>
      </c>
      <c r="G167" s="3" t="s">
        <v>16</v>
      </c>
      <c r="H167" s="5">
        <v>238052.38</v>
      </c>
      <c r="I167" s="3" t="s">
        <v>17</v>
      </c>
      <c r="J167" s="3" t="s">
        <v>18</v>
      </c>
      <c r="K167" s="3" t="s">
        <v>14</v>
      </c>
      <c r="L167" s="3" t="s">
        <v>19</v>
      </c>
      <c r="M167" s="4">
        <v>46297</v>
      </c>
      <c r="N167" s="3" t="s">
        <v>788</v>
      </c>
      <c r="O167" s="3" t="s">
        <v>24</v>
      </c>
      <c r="P167" t="str">
        <f t="shared" si="2"/>
        <v>450013950560</v>
      </c>
      <c r="Q167" s="9" cm="1">
        <f t="array" ref="Q167:S167">VLOOKUP(P167,Hoja1!C:F,{2,3,4},FALSE)</f>
        <v>46300</v>
      </c>
      <c r="R167" t="str">
        <v>C29</v>
      </c>
      <c r="S167" t="str">
        <v>1000001470 SUDAMERICANA CAMIONES SA</v>
      </c>
    </row>
    <row r="168" spans="1:19" x14ac:dyDescent="0.3">
      <c r="A168" s="2" t="s">
        <v>14</v>
      </c>
      <c r="B168" s="3" t="s">
        <v>14</v>
      </c>
      <c r="C168" s="3" t="s">
        <v>981</v>
      </c>
      <c r="D168" s="3" t="s">
        <v>14</v>
      </c>
      <c r="E168" s="3" t="s">
        <v>28</v>
      </c>
      <c r="F168" s="4">
        <v>46295</v>
      </c>
      <c r="G168" s="3" t="s">
        <v>16</v>
      </c>
      <c r="H168" s="5">
        <v>816190.38</v>
      </c>
      <c r="I168" s="3" t="s">
        <v>17</v>
      </c>
      <c r="J168" s="3" t="s">
        <v>18</v>
      </c>
      <c r="K168" s="3" t="s">
        <v>14</v>
      </c>
      <c r="L168" s="3" t="s">
        <v>19</v>
      </c>
      <c r="M168" s="4">
        <v>46297</v>
      </c>
      <c r="N168" s="3" t="s">
        <v>788</v>
      </c>
      <c r="O168" s="3" t="s">
        <v>25</v>
      </c>
      <c r="P168" t="str">
        <f t="shared" si="2"/>
        <v>450013950570</v>
      </c>
      <c r="Q168" s="9" cm="1">
        <f t="array" ref="Q168:S168">VLOOKUP(P168,Hoja1!C:F,{2,3,4},FALSE)</f>
        <v>46305</v>
      </c>
      <c r="R168" t="str">
        <v>C29</v>
      </c>
      <c r="S168" t="str">
        <v>1000001470 SUDAMERICANA CAMIONES SA</v>
      </c>
    </row>
    <row r="169" spans="1:19" x14ac:dyDescent="0.3">
      <c r="A169" s="2" t="s">
        <v>14</v>
      </c>
      <c r="B169" s="3" t="s">
        <v>14</v>
      </c>
      <c r="C169" s="3" t="s">
        <v>982</v>
      </c>
      <c r="D169" s="3" t="s">
        <v>14</v>
      </c>
      <c r="E169" s="3" t="s">
        <v>28</v>
      </c>
      <c r="F169" s="4">
        <v>46300</v>
      </c>
      <c r="G169" s="3" t="s">
        <v>16</v>
      </c>
      <c r="H169" s="5">
        <v>646124.64</v>
      </c>
      <c r="I169" s="3" t="s">
        <v>17</v>
      </c>
      <c r="J169" s="3" t="s">
        <v>18</v>
      </c>
      <c r="K169" s="3" t="s">
        <v>14</v>
      </c>
      <c r="L169" s="3" t="s">
        <v>126</v>
      </c>
      <c r="M169" s="4">
        <v>46300</v>
      </c>
      <c r="N169" s="3" t="s">
        <v>128</v>
      </c>
      <c r="O169" s="3" t="s">
        <v>34</v>
      </c>
      <c r="P169" t="str">
        <f t="shared" si="2"/>
        <v>450011903210</v>
      </c>
      <c r="Q169" s="9" cm="1">
        <f t="array" ref="Q169:S169">VLOOKUP(P169,Hoja1!C:F,{2,3,4},FALSE)</f>
        <v>46048</v>
      </c>
      <c r="R169" t="str">
        <v>C03</v>
      </c>
      <c r="S169" t="str">
        <v>1000002106 REMOLQUES OMBU SA</v>
      </c>
    </row>
    <row r="170" spans="1:19" x14ac:dyDescent="0.3">
      <c r="A170" s="2" t="s">
        <v>14</v>
      </c>
      <c r="B170" s="3" t="s">
        <v>14</v>
      </c>
      <c r="C170" s="3" t="s">
        <v>982</v>
      </c>
      <c r="D170" s="3" t="s">
        <v>14</v>
      </c>
      <c r="E170" s="3" t="s">
        <v>28</v>
      </c>
      <c r="F170" s="4">
        <v>46300</v>
      </c>
      <c r="G170" s="3" t="s">
        <v>16</v>
      </c>
      <c r="H170" s="5">
        <v>161531.16</v>
      </c>
      <c r="I170" s="3" t="s">
        <v>17</v>
      </c>
      <c r="J170" s="3" t="s">
        <v>18</v>
      </c>
      <c r="K170" s="3" t="s">
        <v>14</v>
      </c>
      <c r="L170" s="3" t="s">
        <v>126</v>
      </c>
      <c r="M170" s="4">
        <v>46300</v>
      </c>
      <c r="N170" s="3" t="s">
        <v>127</v>
      </c>
      <c r="O170" s="3" t="s">
        <v>34</v>
      </c>
      <c r="P170" t="str">
        <f t="shared" si="2"/>
        <v>450011902910</v>
      </c>
      <c r="Q170" s="9" cm="1">
        <f t="array" ref="Q170:S170">VLOOKUP(P170,Hoja1!C:F,{2,3,4},FALSE)</f>
        <v>46058</v>
      </c>
      <c r="R170" t="str">
        <v>C03</v>
      </c>
      <c r="S170" t="str">
        <v>1000002106 REMOLQUES OMBU SA</v>
      </c>
    </row>
    <row r="171" spans="1:19" x14ac:dyDescent="0.3">
      <c r="A171" s="2" t="s">
        <v>14</v>
      </c>
      <c r="B171" s="3" t="s">
        <v>14</v>
      </c>
      <c r="C171" s="3" t="s">
        <v>983</v>
      </c>
      <c r="D171" s="3" t="s">
        <v>14</v>
      </c>
      <c r="E171" s="3" t="s">
        <v>28</v>
      </c>
      <c r="F171" s="4">
        <v>46273</v>
      </c>
      <c r="G171" s="3" t="s">
        <v>16</v>
      </c>
      <c r="H171" s="5">
        <v>902646.85</v>
      </c>
      <c r="I171" s="3" t="s">
        <v>17</v>
      </c>
      <c r="J171" s="3" t="s">
        <v>18</v>
      </c>
      <c r="K171" s="3" t="s">
        <v>14</v>
      </c>
      <c r="L171" s="3" t="s">
        <v>506</v>
      </c>
      <c r="M171" s="4">
        <v>46300</v>
      </c>
      <c r="N171" s="3" t="s">
        <v>550</v>
      </c>
      <c r="O171" s="3" t="s">
        <v>34</v>
      </c>
      <c r="P171" t="str">
        <f t="shared" si="2"/>
        <v>450013743510</v>
      </c>
      <c r="Q171" s="9" cm="1">
        <f t="array" ref="Q171:S171">VLOOKUP(P171,Hoja1!C:F,{2,3,4},FALSE)</f>
        <v>46285</v>
      </c>
      <c r="R171" t="str">
        <v>L01</v>
      </c>
      <c r="S171" t="str">
        <v>1000000038 YPF S.A.</v>
      </c>
    </row>
    <row r="172" spans="1:19" x14ac:dyDescent="0.3">
      <c r="A172" s="2" t="s">
        <v>14</v>
      </c>
      <c r="B172" s="3" t="s">
        <v>14</v>
      </c>
      <c r="C172" s="3" t="s">
        <v>983</v>
      </c>
      <c r="D172" s="3" t="s">
        <v>14</v>
      </c>
      <c r="E172" s="3" t="s">
        <v>28</v>
      </c>
      <c r="F172" s="4">
        <v>46273</v>
      </c>
      <c r="G172" s="3" t="s">
        <v>16</v>
      </c>
      <c r="H172" s="5">
        <v>18860164</v>
      </c>
      <c r="I172" s="3" t="s">
        <v>17</v>
      </c>
      <c r="J172" s="3" t="s">
        <v>18</v>
      </c>
      <c r="K172" s="3" t="s">
        <v>14</v>
      </c>
      <c r="L172" s="3" t="s">
        <v>506</v>
      </c>
      <c r="M172" s="4">
        <v>46300</v>
      </c>
      <c r="N172" s="3" t="s">
        <v>550</v>
      </c>
      <c r="O172" s="3" t="s">
        <v>21</v>
      </c>
      <c r="P172" t="str">
        <f t="shared" si="2"/>
        <v>450013743520</v>
      </c>
      <c r="Q172" s="9" cm="1">
        <f t="array" ref="Q172:S172">VLOOKUP(P172,Hoja1!C:F,{2,3,4},FALSE)</f>
        <v>46285</v>
      </c>
      <c r="R172" t="str">
        <v>L01</v>
      </c>
      <c r="S172" t="str">
        <v>1000000038 YPF S.A.</v>
      </c>
    </row>
    <row r="173" spans="1:19" x14ac:dyDescent="0.3">
      <c r="A173" s="2" t="s">
        <v>14</v>
      </c>
      <c r="B173" s="3" t="s">
        <v>14</v>
      </c>
      <c r="C173" s="3" t="s">
        <v>983</v>
      </c>
      <c r="D173" s="3" t="s">
        <v>14</v>
      </c>
      <c r="E173" s="3" t="s">
        <v>28</v>
      </c>
      <c r="F173" s="4">
        <v>46273</v>
      </c>
      <c r="G173" s="3" t="s">
        <v>16</v>
      </c>
      <c r="H173" s="5">
        <v>6274082.75</v>
      </c>
      <c r="I173" s="3" t="s">
        <v>17</v>
      </c>
      <c r="J173" s="3" t="s">
        <v>18</v>
      </c>
      <c r="K173" s="3" t="s">
        <v>14</v>
      </c>
      <c r="L173" s="3" t="s">
        <v>506</v>
      </c>
      <c r="M173" s="4">
        <v>46300</v>
      </c>
      <c r="N173" s="3" t="s">
        <v>550</v>
      </c>
      <c r="O173" s="3" t="s">
        <v>22</v>
      </c>
      <c r="P173" t="str">
        <f t="shared" si="2"/>
        <v>450013743530</v>
      </c>
      <c r="Q173" s="9" cm="1">
        <f t="array" ref="Q173:S173">VLOOKUP(P173,Hoja1!C:F,{2,3,4},FALSE)</f>
        <v>46285</v>
      </c>
      <c r="R173" t="str">
        <v>L01</v>
      </c>
      <c r="S173" t="str">
        <v>1000000038 YPF S.A.</v>
      </c>
    </row>
    <row r="174" spans="1:19" x14ac:dyDescent="0.3">
      <c r="A174" s="2" t="s">
        <v>14</v>
      </c>
      <c r="B174" s="3" t="s">
        <v>14</v>
      </c>
      <c r="C174" s="3" t="s">
        <v>984</v>
      </c>
      <c r="D174" s="3" t="s">
        <v>14</v>
      </c>
      <c r="E174" s="3" t="s">
        <v>28</v>
      </c>
      <c r="F174" s="4">
        <v>46275</v>
      </c>
      <c r="G174" s="3" t="s">
        <v>16</v>
      </c>
      <c r="H174" s="5">
        <v>2616607.16</v>
      </c>
      <c r="I174" s="3" t="s">
        <v>17</v>
      </c>
      <c r="J174" s="3" t="s">
        <v>18</v>
      </c>
      <c r="K174" s="3" t="s">
        <v>14</v>
      </c>
      <c r="L174" s="3" t="s">
        <v>506</v>
      </c>
      <c r="M174" s="4">
        <v>46300</v>
      </c>
      <c r="N174" s="3" t="s">
        <v>541</v>
      </c>
      <c r="O174" s="3" t="s">
        <v>34</v>
      </c>
      <c r="P174" t="str">
        <f t="shared" si="2"/>
        <v>450013799610</v>
      </c>
      <c r="Q174" s="9" cm="1">
        <f t="array" ref="Q174:S174">VLOOKUP(P174,Hoja1!C:F,{2,3,4},FALSE)</f>
        <v>46287</v>
      </c>
      <c r="R174" t="str">
        <v>L02</v>
      </c>
      <c r="S174" t="str">
        <v>1000000038 YPF S.A.</v>
      </c>
    </row>
    <row r="175" spans="1:19" x14ac:dyDescent="0.3">
      <c r="A175" s="2" t="s">
        <v>14</v>
      </c>
      <c r="B175" s="3" t="s">
        <v>14</v>
      </c>
      <c r="C175" s="3" t="s">
        <v>985</v>
      </c>
      <c r="D175" s="3" t="s">
        <v>14</v>
      </c>
      <c r="E175" s="3" t="s">
        <v>28</v>
      </c>
      <c r="F175" s="4">
        <v>46281</v>
      </c>
      <c r="G175" s="3" t="s">
        <v>16</v>
      </c>
      <c r="H175" s="5">
        <v>1380501.87</v>
      </c>
      <c r="I175" s="3" t="s">
        <v>17</v>
      </c>
      <c r="J175" s="3" t="s">
        <v>18</v>
      </c>
      <c r="K175" s="3" t="s">
        <v>14</v>
      </c>
      <c r="L175" s="3" t="s">
        <v>506</v>
      </c>
      <c r="M175" s="4">
        <v>46300</v>
      </c>
      <c r="N175" s="3" t="s">
        <v>577</v>
      </c>
      <c r="O175" s="3" t="s">
        <v>34</v>
      </c>
      <c r="P175" t="str">
        <f t="shared" si="2"/>
        <v>450013772710</v>
      </c>
      <c r="Q175" s="9" cm="1">
        <f t="array" ref="Q175:S175">VLOOKUP(P175,Hoja1!C:F,{2,3,4},FALSE)</f>
        <v>46281</v>
      </c>
      <c r="R175" t="str">
        <v>L02</v>
      </c>
      <c r="S175" t="str">
        <v>1000000038 YPF S.A.</v>
      </c>
    </row>
    <row r="176" spans="1:19" x14ac:dyDescent="0.3">
      <c r="A176" s="2" t="s">
        <v>14</v>
      </c>
      <c r="B176" s="3" t="s">
        <v>14</v>
      </c>
      <c r="C176" s="3" t="s">
        <v>985</v>
      </c>
      <c r="D176" s="3" t="s">
        <v>14</v>
      </c>
      <c r="E176" s="3" t="s">
        <v>28</v>
      </c>
      <c r="F176" s="4">
        <v>46281</v>
      </c>
      <c r="G176" s="3" t="s">
        <v>16</v>
      </c>
      <c r="H176" s="5">
        <v>27347237.800000001</v>
      </c>
      <c r="I176" s="3" t="s">
        <v>17</v>
      </c>
      <c r="J176" s="3" t="s">
        <v>18</v>
      </c>
      <c r="K176" s="3" t="s">
        <v>14</v>
      </c>
      <c r="L176" s="3" t="s">
        <v>506</v>
      </c>
      <c r="M176" s="4">
        <v>46300</v>
      </c>
      <c r="N176" s="3" t="s">
        <v>577</v>
      </c>
      <c r="O176" s="3" t="s">
        <v>21</v>
      </c>
      <c r="P176" t="str">
        <f t="shared" si="2"/>
        <v>450013772720</v>
      </c>
      <c r="Q176" s="9" cm="1">
        <f t="array" ref="Q176:S176">VLOOKUP(P176,Hoja1!C:F,{2,3,4},FALSE)</f>
        <v>46282</v>
      </c>
      <c r="R176" t="str">
        <v>L02</v>
      </c>
      <c r="S176" t="str">
        <v>1000000038 YPF S.A.</v>
      </c>
    </row>
    <row r="177" spans="1:19" x14ac:dyDescent="0.3">
      <c r="A177" s="2" t="s">
        <v>14</v>
      </c>
      <c r="B177" s="3" t="s">
        <v>14</v>
      </c>
      <c r="C177" s="3" t="s">
        <v>986</v>
      </c>
      <c r="D177" s="3" t="s">
        <v>14</v>
      </c>
      <c r="E177" s="3" t="s">
        <v>28</v>
      </c>
      <c r="F177" s="4">
        <v>46281</v>
      </c>
      <c r="G177" s="3" t="s">
        <v>16</v>
      </c>
      <c r="H177" s="5">
        <v>1631502.21</v>
      </c>
      <c r="I177" s="3" t="s">
        <v>17</v>
      </c>
      <c r="J177" s="3" t="s">
        <v>18</v>
      </c>
      <c r="K177" s="3" t="s">
        <v>14</v>
      </c>
      <c r="L177" s="3" t="s">
        <v>506</v>
      </c>
      <c r="M177" s="4">
        <v>46300</v>
      </c>
      <c r="N177" s="3" t="s">
        <v>644</v>
      </c>
      <c r="O177" s="3" t="s">
        <v>34</v>
      </c>
      <c r="P177" t="str">
        <f t="shared" si="2"/>
        <v>450013813110</v>
      </c>
      <c r="Q177" s="9" cm="1">
        <f t="array" ref="Q177:S177">VLOOKUP(P177,Hoja1!C:F,{2,3,4},FALSE)</f>
        <v>46297</v>
      </c>
      <c r="R177" t="str">
        <v>L02</v>
      </c>
      <c r="S177" t="str">
        <v>1000000038 YPF S.A.</v>
      </c>
    </row>
    <row r="178" spans="1:19" x14ac:dyDescent="0.3">
      <c r="A178" s="2" t="s">
        <v>14</v>
      </c>
      <c r="B178" s="3" t="s">
        <v>14</v>
      </c>
      <c r="C178" s="3" t="s">
        <v>106</v>
      </c>
      <c r="D178" s="3" t="s">
        <v>14</v>
      </c>
      <c r="E178" s="3" t="s">
        <v>107</v>
      </c>
      <c r="F178" s="4">
        <v>46029</v>
      </c>
      <c r="G178" s="3" t="s">
        <v>44</v>
      </c>
      <c r="H178" s="6">
        <v>-172.57</v>
      </c>
      <c r="I178" s="3" t="s">
        <v>17</v>
      </c>
      <c r="J178" s="3" t="s">
        <v>14</v>
      </c>
      <c r="K178" s="3" t="s">
        <v>14</v>
      </c>
      <c r="L178" s="3" t="s">
        <v>108</v>
      </c>
      <c r="M178" s="4">
        <v>46029</v>
      </c>
      <c r="N178" s="3" t="s">
        <v>109</v>
      </c>
      <c r="O178" s="3" t="s">
        <v>34</v>
      </c>
      <c r="P178" t="str">
        <f t="shared" si="2"/>
        <v>450011680010</v>
      </c>
      <c r="Q178" s="9" cm="1">
        <f t="array" ref="Q178:S178">VLOOKUP(P178,Hoja1!C:F,{2,3,4},FALSE)</f>
        <v>46065</v>
      </c>
      <c r="R178" t="str">
        <v>C21</v>
      </c>
      <c r="S178" t="str">
        <v>1000001020 COMBUSTIBLES BARCELO S.R.L.</v>
      </c>
    </row>
    <row r="179" spans="1:19" x14ac:dyDescent="0.3">
      <c r="A179" s="2" t="s">
        <v>14</v>
      </c>
      <c r="B179" s="3" t="s">
        <v>14</v>
      </c>
      <c r="C179" s="3" t="s">
        <v>106</v>
      </c>
      <c r="D179" s="3" t="s">
        <v>14</v>
      </c>
      <c r="E179" s="3" t="s">
        <v>107</v>
      </c>
      <c r="F179" s="4">
        <v>46029</v>
      </c>
      <c r="G179" s="3" t="s">
        <v>44</v>
      </c>
      <c r="H179" s="6">
        <v>-19.670000000000002</v>
      </c>
      <c r="I179" s="3" t="s">
        <v>17</v>
      </c>
      <c r="J179" s="3" t="s">
        <v>14</v>
      </c>
      <c r="K179" s="3" t="s">
        <v>14</v>
      </c>
      <c r="L179" s="3" t="s">
        <v>108</v>
      </c>
      <c r="M179" s="4">
        <v>46029</v>
      </c>
      <c r="N179" s="3" t="s">
        <v>109</v>
      </c>
      <c r="O179" s="3" t="s">
        <v>34</v>
      </c>
      <c r="P179" t="str">
        <f t="shared" si="2"/>
        <v>450011680010</v>
      </c>
      <c r="Q179" s="9" cm="1">
        <f t="array" ref="Q179:S179">VLOOKUP(P179,Hoja1!C:F,{2,3,4},FALSE)</f>
        <v>46065</v>
      </c>
      <c r="R179" t="str">
        <v>C21</v>
      </c>
      <c r="S179" t="str">
        <v>1000001020 COMBUSTIBLES BARCELO S.R.L.</v>
      </c>
    </row>
    <row r="180" spans="1:19" x14ac:dyDescent="0.3">
      <c r="A180" s="2" t="s">
        <v>14</v>
      </c>
      <c r="B180" s="3" t="s">
        <v>14</v>
      </c>
      <c r="C180" s="3" t="s">
        <v>110</v>
      </c>
      <c r="D180" s="3" t="s">
        <v>14</v>
      </c>
      <c r="E180" s="3" t="s">
        <v>107</v>
      </c>
      <c r="F180" s="4">
        <v>46042</v>
      </c>
      <c r="G180" s="3" t="s">
        <v>44</v>
      </c>
      <c r="H180" s="6">
        <v>-2505.79</v>
      </c>
      <c r="I180" s="3" t="s">
        <v>17</v>
      </c>
      <c r="J180" s="3" t="s">
        <v>14</v>
      </c>
      <c r="K180" s="3" t="s">
        <v>14</v>
      </c>
      <c r="L180" s="3" t="s">
        <v>32</v>
      </c>
      <c r="M180" s="4">
        <v>46042</v>
      </c>
      <c r="N180" s="3" t="s">
        <v>33</v>
      </c>
      <c r="O180" s="3" t="s">
        <v>34</v>
      </c>
      <c r="P180" t="str">
        <f t="shared" si="2"/>
        <v>450011789910</v>
      </c>
      <c r="Q180" s="9" cm="1">
        <f t="array" ref="Q180:S180">VLOOKUP(P180,Hoja1!C:F,{2,3,4},FALSE)</f>
        <v>46059</v>
      </c>
      <c r="R180" t="str">
        <v>C43</v>
      </c>
      <c r="S180" t="str">
        <v>1000003696 DOBLE TRACCION SRL</v>
      </c>
    </row>
    <row r="181" spans="1:19" x14ac:dyDescent="0.3">
      <c r="A181" s="2" t="s">
        <v>14</v>
      </c>
      <c r="B181" s="3" t="s">
        <v>14</v>
      </c>
      <c r="C181" s="3" t="s">
        <v>111</v>
      </c>
      <c r="D181" s="3" t="s">
        <v>56</v>
      </c>
      <c r="E181" s="3" t="s">
        <v>107</v>
      </c>
      <c r="F181" s="4">
        <v>46050</v>
      </c>
      <c r="G181" s="3" t="s">
        <v>44</v>
      </c>
      <c r="H181" s="6">
        <v>-16528.93</v>
      </c>
      <c r="I181" s="3" t="s">
        <v>17</v>
      </c>
      <c r="J181" s="3" t="s">
        <v>14</v>
      </c>
      <c r="K181" s="3" t="s">
        <v>14</v>
      </c>
      <c r="L181" s="3" t="s">
        <v>112</v>
      </c>
      <c r="M181" s="4">
        <v>46050</v>
      </c>
      <c r="N181" s="3" t="s">
        <v>113</v>
      </c>
      <c r="O181" s="3" t="s">
        <v>34</v>
      </c>
      <c r="P181" t="str">
        <f t="shared" si="2"/>
        <v>450011865410</v>
      </c>
      <c r="Q181" s="9" cm="1">
        <f t="array" ref="Q181:S181">VLOOKUP(P181,Hoja1!C:F,{2,3,4},FALSE)</f>
        <v>46063</v>
      </c>
      <c r="R181" t="str">
        <v>EFO</v>
      </c>
      <c r="S181" t="str">
        <v>1000003173 DISEL CENTRO S.A.</v>
      </c>
    </row>
    <row r="182" spans="1:19" x14ac:dyDescent="0.3">
      <c r="A182" s="2" t="s">
        <v>14</v>
      </c>
      <c r="B182" s="3" t="s">
        <v>14</v>
      </c>
      <c r="C182" s="3" t="s">
        <v>114</v>
      </c>
      <c r="D182" s="3" t="s">
        <v>14</v>
      </c>
      <c r="E182" s="3" t="s">
        <v>107</v>
      </c>
      <c r="F182" s="4">
        <v>46051</v>
      </c>
      <c r="G182" s="3" t="s">
        <v>44</v>
      </c>
      <c r="H182" s="6">
        <v>-9657.1</v>
      </c>
      <c r="I182" s="3" t="s">
        <v>17</v>
      </c>
      <c r="J182" s="3" t="s">
        <v>14</v>
      </c>
      <c r="K182" s="3" t="s">
        <v>14</v>
      </c>
      <c r="L182" s="3" t="s">
        <v>29</v>
      </c>
      <c r="M182" s="4">
        <v>46051</v>
      </c>
      <c r="N182" s="3" t="s">
        <v>30</v>
      </c>
      <c r="O182" s="3" t="s">
        <v>21</v>
      </c>
      <c r="P182" t="str">
        <f t="shared" si="2"/>
        <v>450011645120</v>
      </c>
      <c r="Q182" s="9" cm="1">
        <f t="array" ref="Q182:S182">VLOOKUP(P182,Hoja1!C:F,{2,3,4},FALSE)</f>
        <v>46042</v>
      </c>
      <c r="R182" t="str">
        <v>EFO</v>
      </c>
      <c r="S182" t="str">
        <v>1000007436 RODRIGUEZ MARTINEZ EMILIO JOAQUIN</v>
      </c>
    </row>
    <row r="183" spans="1:19" x14ac:dyDescent="0.3">
      <c r="A183" s="2" t="s">
        <v>14</v>
      </c>
      <c r="B183" s="3" t="s">
        <v>14</v>
      </c>
      <c r="C183" s="3" t="s">
        <v>115</v>
      </c>
      <c r="D183" s="3" t="s">
        <v>14</v>
      </c>
      <c r="E183" s="3" t="s">
        <v>107</v>
      </c>
      <c r="F183" s="4">
        <v>46052</v>
      </c>
      <c r="G183" s="3" t="s">
        <v>44</v>
      </c>
      <c r="H183" s="6">
        <v>-280000</v>
      </c>
      <c r="I183" s="3" t="s">
        <v>17</v>
      </c>
      <c r="J183" s="3" t="s">
        <v>14</v>
      </c>
      <c r="K183" s="3" t="s">
        <v>14</v>
      </c>
      <c r="L183" s="3" t="s">
        <v>116</v>
      </c>
      <c r="M183" s="4">
        <v>46052</v>
      </c>
      <c r="N183" s="3" t="s">
        <v>117</v>
      </c>
      <c r="O183" s="3" t="s">
        <v>34</v>
      </c>
      <c r="P183" t="str">
        <f t="shared" si="2"/>
        <v>450011888610</v>
      </c>
      <c r="Q183" s="9" cm="1">
        <f t="array" ref="Q183:S183">VLOOKUP(P183,Hoja1!C:F,{2,3,4},FALSE)</f>
        <v>46063</v>
      </c>
      <c r="R183" t="str">
        <v>EFO</v>
      </c>
      <c r="S183" t="str">
        <v>1000001690 ELEC.PELLEGRINI DE OCCHI Y ORO</v>
      </c>
    </row>
    <row r="184" spans="1:19" x14ac:dyDescent="0.3">
      <c r="A184" s="2" t="s">
        <v>14</v>
      </c>
      <c r="B184" s="3" t="s">
        <v>14</v>
      </c>
      <c r="C184" s="3" t="s">
        <v>118</v>
      </c>
      <c r="D184" s="3" t="s">
        <v>14</v>
      </c>
      <c r="E184" s="3" t="s">
        <v>107</v>
      </c>
      <c r="F184" s="4">
        <v>46055</v>
      </c>
      <c r="G184" s="3" t="s">
        <v>44</v>
      </c>
      <c r="H184" s="6">
        <v>-172.57</v>
      </c>
      <c r="I184" s="3" t="s">
        <v>17</v>
      </c>
      <c r="J184" s="3" t="s">
        <v>14</v>
      </c>
      <c r="K184" s="3" t="s">
        <v>14</v>
      </c>
      <c r="L184" s="3" t="s">
        <v>108</v>
      </c>
      <c r="M184" s="4">
        <v>46055</v>
      </c>
      <c r="N184" s="3" t="s">
        <v>119</v>
      </c>
      <c r="O184" s="3" t="s">
        <v>34</v>
      </c>
      <c r="P184" t="str">
        <f t="shared" si="2"/>
        <v>450011903410</v>
      </c>
      <c r="Q184" s="9" cm="1">
        <f t="array" ref="Q184:S184">VLOOKUP(P184,Hoja1!C:F,{2,3,4},FALSE)</f>
        <v>46065</v>
      </c>
      <c r="R184" t="str">
        <v>C21</v>
      </c>
      <c r="S184" t="str">
        <v>1000001020 COMBUSTIBLES BARCELO S.R.L.</v>
      </c>
    </row>
    <row r="185" spans="1:19" x14ac:dyDescent="0.3">
      <c r="A185" s="2" t="s">
        <v>14</v>
      </c>
      <c r="B185" s="3" t="s">
        <v>14</v>
      </c>
      <c r="C185" s="3" t="s">
        <v>118</v>
      </c>
      <c r="D185" s="3" t="s">
        <v>14</v>
      </c>
      <c r="E185" s="3" t="s">
        <v>107</v>
      </c>
      <c r="F185" s="4">
        <v>46055</v>
      </c>
      <c r="G185" s="3" t="s">
        <v>44</v>
      </c>
      <c r="H185" s="6">
        <v>-19.670000000000002</v>
      </c>
      <c r="I185" s="3" t="s">
        <v>17</v>
      </c>
      <c r="J185" s="3" t="s">
        <v>14</v>
      </c>
      <c r="K185" s="3" t="s">
        <v>14</v>
      </c>
      <c r="L185" s="3" t="s">
        <v>108</v>
      </c>
      <c r="M185" s="4">
        <v>46055</v>
      </c>
      <c r="N185" s="3" t="s">
        <v>119</v>
      </c>
      <c r="O185" s="3" t="s">
        <v>34</v>
      </c>
      <c r="P185" t="str">
        <f t="shared" si="2"/>
        <v>450011903410</v>
      </c>
      <c r="Q185" s="9" cm="1">
        <f t="array" ref="Q185:S185">VLOOKUP(P185,Hoja1!C:F,{2,3,4},FALSE)</f>
        <v>46065</v>
      </c>
      <c r="R185" t="str">
        <v>C21</v>
      </c>
      <c r="S185" t="str">
        <v>1000001020 COMBUSTIBLES BARCELO S.R.L.</v>
      </c>
    </row>
    <row r="186" spans="1:19" x14ac:dyDescent="0.3">
      <c r="A186" s="2" t="s">
        <v>14</v>
      </c>
      <c r="B186" s="3" t="s">
        <v>14</v>
      </c>
      <c r="C186" s="3" t="s">
        <v>120</v>
      </c>
      <c r="D186" s="3" t="s">
        <v>56</v>
      </c>
      <c r="E186" s="3" t="s">
        <v>107</v>
      </c>
      <c r="F186" s="4">
        <v>46056</v>
      </c>
      <c r="G186" s="3" t="s">
        <v>44</v>
      </c>
      <c r="H186" s="6">
        <v>-908113.2</v>
      </c>
      <c r="I186" s="3" t="s">
        <v>17</v>
      </c>
      <c r="J186" s="3" t="s">
        <v>14</v>
      </c>
      <c r="K186" s="3" t="s">
        <v>14</v>
      </c>
      <c r="L186" s="3" t="s">
        <v>121</v>
      </c>
      <c r="M186" s="4">
        <v>46056</v>
      </c>
      <c r="N186" s="3" t="s">
        <v>122</v>
      </c>
      <c r="O186" s="3" t="s">
        <v>34</v>
      </c>
      <c r="P186" t="str">
        <f t="shared" si="2"/>
        <v>450011904510</v>
      </c>
      <c r="Q186" s="9" cm="1">
        <f t="array" ref="Q186:S186">VLOOKUP(P186,Hoja1!C:F,{2,3,4},FALSE)</f>
        <v>46065</v>
      </c>
      <c r="R186" t="str">
        <v>C21</v>
      </c>
      <c r="S186" t="str">
        <v>1000000634 RAIZEN ARGENTINA S.A.U.</v>
      </c>
    </row>
    <row r="187" spans="1:19" x14ac:dyDescent="0.3">
      <c r="A187" s="2" t="s">
        <v>14</v>
      </c>
      <c r="B187" s="3" t="s">
        <v>14</v>
      </c>
      <c r="C187" s="3" t="s">
        <v>120</v>
      </c>
      <c r="D187" s="3" t="s">
        <v>56</v>
      </c>
      <c r="E187" s="3" t="s">
        <v>107</v>
      </c>
      <c r="F187" s="4">
        <v>46056</v>
      </c>
      <c r="G187" s="3" t="s">
        <v>44</v>
      </c>
      <c r="H187" s="6">
        <v>-99434</v>
      </c>
      <c r="I187" s="3" t="s">
        <v>17</v>
      </c>
      <c r="J187" s="3" t="s">
        <v>14</v>
      </c>
      <c r="K187" s="3" t="s">
        <v>14</v>
      </c>
      <c r="L187" s="3" t="s">
        <v>121</v>
      </c>
      <c r="M187" s="4">
        <v>46056</v>
      </c>
      <c r="N187" s="3" t="s">
        <v>122</v>
      </c>
      <c r="O187" s="3" t="s">
        <v>34</v>
      </c>
      <c r="P187" t="str">
        <f t="shared" si="2"/>
        <v>450011904510</v>
      </c>
      <c r="Q187" s="9" cm="1">
        <f t="array" ref="Q187:S187">VLOOKUP(P187,Hoja1!C:F,{2,3,4},FALSE)</f>
        <v>46065</v>
      </c>
      <c r="R187" t="str">
        <v>C21</v>
      </c>
      <c r="S187" t="str">
        <v>1000000634 RAIZEN ARGENTINA S.A.U.</v>
      </c>
    </row>
    <row r="188" spans="1:19" x14ac:dyDescent="0.3">
      <c r="A188" s="2" t="s">
        <v>14</v>
      </c>
      <c r="B188" s="3" t="s">
        <v>14</v>
      </c>
      <c r="C188" s="3" t="s">
        <v>123</v>
      </c>
      <c r="D188" s="3" t="s">
        <v>56</v>
      </c>
      <c r="E188" s="3" t="s">
        <v>107</v>
      </c>
      <c r="F188" s="4">
        <v>46057</v>
      </c>
      <c r="G188" s="3" t="s">
        <v>44</v>
      </c>
      <c r="H188" s="6">
        <v>-908113.2</v>
      </c>
      <c r="I188" s="3" t="s">
        <v>17</v>
      </c>
      <c r="J188" s="3" t="s">
        <v>14</v>
      </c>
      <c r="K188" s="3" t="s">
        <v>14</v>
      </c>
      <c r="L188" s="3" t="s">
        <v>121</v>
      </c>
      <c r="M188" s="4">
        <v>46057</v>
      </c>
      <c r="N188" s="3" t="s">
        <v>124</v>
      </c>
      <c r="O188" s="3" t="s">
        <v>34</v>
      </c>
      <c r="P188" t="str">
        <f t="shared" si="2"/>
        <v>450011917410</v>
      </c>
      <c r="Q188" s="9" cm="1">
        <f t="array" ref="Q188:S188">VLOOKUP(P188,Hoja1!C:F,{2,3,4},FALSE)</f>
        <v>46065</v>
      </c>
      <c r="R188" t="str">
        <v>C21</v>
      </c>
      <c r="S188" t="str">
        <v>1000000634 RAIZEN ARGENTINA S.A.U.</v>
      </c>
    </row>
    <row r="189" spans="1:19" x14ac:dyDescent="0.3">
      <c r="A189" s="2" t="s">
        <v>14</v>
      </c>
      <c r="B189" s="3" t="s">
        <v>14</v>
      </c>
      <c r="C189" s="3" t="s">
        <v>123</v>
      </c>
      <c r="D189" s="3" t="s">
        <v>56</v>
      </c>
      <c r="E189" s="3" t="s">
        <v>107</v>
      </c>
      <c r="F189" s="4">
        <v>46057</v>
      </c>
      <c r="G189" s="3" t="s">
        <v>44</v>
      </c>
      <c r="H189" s="6">
        <v>-99434</v>
      </c>
      <c r="I189" s="3" t="s">
        <v>17</v>
      </c>
      <c r="J189" s="3" t="s">
        <v>14</v>
      </c>
      <c r="K189" s="3" t="s">
        <v>14</v>
      </c>
      <c r="L189" s="3" t="s">
        <v>121</v>
      </c>
      <c r="M189" s="4">
        <v>46057</v>
      </c>
      <c r="N189" s="3" t="s">
        <v>124</v>
      </c>
      <c r="O189" s="3" t="s">
        <v>34</v>
      </c>
      <c r="P189" t="str">
        <f t="shared" si="2"/>
        <v>450011917410</v>
      </c>
      <c r="Q189" s="9" cm="1">
        <f t="array" ref="Q189:S189">VLOOKUP(P189,Hoja1!C:F,{2,3,4},FALSE)</f>
        <v>46065</v>
      </c>
      <c r="R189" t="str">
        <v>C21</v>
      </c>
      <c r="S189" t="str">
        <v>1000000634 RAIZEN ARGENTINA S.A.U.</v>
      </c>
    </row>
    <row r="190" spans="1:19" x14ac:dyDescent="0.3">
      <c r="A190" s="2" t="s">
        <v>14</v>
      </c>
      <c r="B190" s="3" t="s">
        <v>14</v>
      </c>
      <c r="C190" s="3" t="s">
        <v>125</v>
      </c>
      <c r="D190" s="3" t="s">
        <v>14</v>
      </c>
      <c r="E190" s="3" t="s">
        <v>107</v>
      </c>
      <c r="F190" s="4">
        <v>46057</v>
      </c>
      <c r="G190" s="3" t="s">
        <v>44</v>
      </c>
      <c r="H190" s="6">
        <v>-161531.16</v>
      </c>
      <c r="I190" s="3" t="s">
        <v>17</v>
      </c>
      <c r="J190" s="3" t="s">
        <v>14</v>
      </c>
      <c r="K190" s="3" t="s">
        <v>14</v>
      </c>
      <c r="L190" s="3" t="s">
        <v>126</v>
      </c>
      <c r="M190" s="4">
        <v>46057</v>
      </c>
      <c r="N190" s="3" t="s">
        <v>127</v>
      </c>
      <c r="O190" s="3" t="s">
        <v>34</v>
      </c>
      <c r="P190" t="str">
        <f t="shared" si="2"/>
        <v>450011902910</v>
      </c>
      <c r="Q190" s="9" cm="1">
        <f t="array" ref="Q190:S190">VLOOKUP(P190,Hoja1!C:F,{2,3,4},FALSE)</f>
        <v>46058</v>
      </c>
      <c r="R190" t="str">
        <v>C03</v>
      </c>
      <c r="S190" t="str">
        <v>1000002106 REMOLQUES OMBU SA</v>
      </c>
    </row>
    <row r="191" spans="1:19" x14ac:dyDescent="0.3">
      <c r="A191" s="2" t="s">
        <v>14</v>
      </c>
      <c r="B191" s="3" t="s">
        <v>14</v>
      </c>
      <c r="C191" s="3" t="s">
        <v>125</v>
      </c>
      <c r="D191" s="3" t="s">
        <v>14</v>
      </c>
      <c r="E191" s="3" t="s">
        <v>107</v>
      </c>
      <c r="F191" s="4">
        <v>46057</v>
      </c>
      <c r="G191" s="3" t="s">
        <v>44</v>
      </c>
      <c r="H191" s="6">
        <v>-646124.64</v>
      </c>
      <c r="I191" s="3" t="s">
        <v>17</v>
      </c>
      <c r="J191" s="3" t="s">
        <v>14</v>
      </c>
      <c r="K191" s="3" t="s">
        <v>14</v>
      </c>
      <c r="L191" s="3" t="s">
        <v>126</v>
      </c>
      <c r="M191" s="4">
        <v>46057</v>
      </c>
      <c r="N191" s="3" t="s">
        <v>128</v>
      </c>
      <c r="O191" s="3" t="s">
        <v>34</v>
      </c>
      <c r="P191" t="str">
        <f t="shared" si="2"/>
        <v>450011903210</v>
      </c>
      <c r="Q191" s="9" cm="1">
        <f t="array" ref="Q191:S191">VLOOKUP(P191,Hoja1!C:F,{2,3,4},FALSE)</f>
        <v>46048</v>
      </c>
      <c r="R191" t="str">
        <v>C03</v>
      </c>
      <c r="S191" t="str">
        <v>1000002106 REMOLQUES OMBU SA</v>
      </c>
    </row>
    <row r="192" spans="1:19" x14ac:dyDescent="0.3">
      <c r="A192" s="2" t="s">
        <v>14</v>
      </c>
      <c r="B192" s="3" t="s">
        <v>14</v>
      </c>
      <c r="C192" s="3" t="s">
        <v>129</v>
      </c>
      <c r="D192" s="3" t="s">
        <v>14</v>
      </c>
      <c r="E192" s="3" t="s">
        <v>107</v>
      </c>
      <c r="F192" s="4">
        <v>46057</v>
      </c>
      <c r="G192" s="3" t="s">
        <v>44</v>
      </c>
      <c r="H192" s="6">
        <v>-249261.59</v>
      </c>
      <c r="I192" s="3" t="s">
        <v>17</v>
      </c>
      <c r="J192" s="3" t="s">
        <v>14</v>
      </c>
      <c r="K192" s="3" t="s">
        <v>14</v>
      </c>
      <c r="L192" s="3" t="s">
        <v>130</v>
      </c>
      <c r="M192" s="4">
        <v>46057</v>
      </c>
      <c r="N192" s="3" t="s">
        <v>131</v>
      </c>
      <c r="O192" s="3" t="s">
        <v>34</v>
      </c>
      <c r="P192" t="str">
        <f t="shared" si="2"/>
        <v>450011915910</v>
      </c>
      <c r="Q192" s="9" cm="1">
        <f t="array" ref="Q192:S192">VLOOKUP(P192,Hoja1!C:F,{2,3,4},FALSE)</f>
        <v>46063</v>
      </c>
      <c r="R192" t="str">
        <v>C04</v>
      </c>
      <c r="S192" t="str">
        <v>1000010401 BASUALDO NECCHI MARCOS GABRIEL</v>
      </c>
    </row>
    <row r="193" spans="1:19" x14ac:dyDescent="0.3">
      <c r="A193" s="2" t="s">
        <v>14</v>
      </c>
      <c r="B193" s="3" t="s">
        <v>14</v>
      </c>
      <c r="C193" s="3" t="s">
        <v>132</v>
      </c>
      <c r="D193" s="3" t="s">
        <v>56</v>
      </c>
      <c r="E193" s="3" t="s">
        <v>107</v>
      </c>
      <c r="F193" s="4">
        <v>46058</v>
      </c>
      <c r="G193" s="3" t="s">
        <v>44</v>
      </c>
      <c r="H193" s="6">
        <v>-908113.2</v>
      </c>
      <c r="I193" s="3" t="s">
        <v>17</v>
      </c>
      <c r="J193" s="3" t="s">
        <v>14</v>
      </c>
      <c r="K193" s="3" t="s">
        <v>14</v>
      </c>
      <c r="L193" s="3" t="s">
        <v>121</v>
      </c>
      <c r="M193" s="4">
        <v>46058</v>
      </c>
      <c r="N193" s="3" t="s">
        <v>133</v>
      </c>
      <c r="O193" s="3" t="s">
        <v>34</v>
      </c>
      <c r="P193" t="str">
        <f t="shared" si="2"/>
        <v>450011926310</v>
      </c>
      <c r="Q193" s="9" cm="1">
        <f t="array" ref="Q193:S193">VLOOKUP(P193,Hoja1!C:F,{2,3,4},FALSE)</f>
        <v>46065</v>
      </c>
      <c r="R193" t="str">
        <v>C21</v>
      </c>
      <c r="S193" t="str">
        <v>1000000634 RAIZEN ARGENTINA S.A.U.</v>
      </c>
    </row>
    <row r="194" spans="1:19" x14ac:dyDescent="0.3">
      <c r="A194" s="2" t="s">
        <v>14</v>
      </c>
      <c r="B194" s="3" t="s">
        <v>14</v>
      </c>
      <c r="C194" s="3" t="s">
        <v>132</v>
      </c>
      <c r="D194" s="3" t="s">
        <v>56</v>
      </c>
      <c r="E194" s="3" t="s">
        <v>107</v>
      </c>
      <c r="F194" s="4">
        <v>46058</v>
      </c>
      <c r="G194" s="3" t="s">
        <v>44</v>
      </c>
      <c r="H194" s="6">
        <v>-99434</v>
      </c>
      <c r="I194" s="3" t="s">
        <v>17</v>
      </c>
      <c r="J194" s="3" t="s">
        <v>14</v>
      </c>
      <c r="K194" s="3" t="s">
        <v>14</v>
      </c>
      <c r="L194" s="3" t="s">
        <v>121</v>
      </c>
      <c r="M194" s="4">
        <v>46058</v>
      </c>
      <c r="N194" s="3" t="s">
        <v>133</v>
      </c>
      <c r="O194" s="3" t="s">
        <v>34</v>
      </c>
      <c r="P194" t="str">
        <f t="shared" si="2"/>
        <v>450011926310</v>
      </c>
      <c r="Q194" s="9" cm="1">
        <f t="array" ref="Q194:S194">VLOOKUP(P194,Hoja1!C:F,{2,3,4},FALSE)</f>
        <v>46065</v>
      </c>
      <c r="R194" t="str">
        <v>C21</v>
      </c>
      <c r="S194" t="str">
        <v>1000000634 RAIZEN ARGENTINA S.A.U.</v>
      </c>
    </row>
    <row r="195" spans="1:19" x14ac:dyDescent="0.3">
      <c r="A195" s="2" t="s">
        <v>14</v>
      </c>
      <c r="B195" s="3" t="s">
        <v>14</v>
      </c>
      <c r="C195" s="3" t="s">
        <v>134</v>
      </c>
      <c r="D195" s="3" t="s">
        <v>56</v>
      </c>
      <c r="E195" s="3" t="s">
        <v>107</v>
      </c>
      <c r="F195" s="4">
        <v>46064</v>
      </c>
      <c r="G195" s="3" t="s">
        <v>44</v>
      </c>
      <c r="H195" s="6">
        <v>-908113.2</v>
      </c>
      <c r="I195" s="3" t="s">
        <v>17</v>
      </c>
      <c r="J195" s="3" t="s">
        <v>14</v>
      </c>
      <c r="K195" s="3" t="s">
        <v>14</v>
      </c>
      <c r="L195" s="3" t="s">
        <v>121</v>
      </c>
      <c r="M195" s="4">
        <v>46064</v>
      </c>
      <c r="N195" s="3" t="s">
        <v>135</v>
      </c>
      <c r="O195" s="3" t="s">
        <v>34</v>
      </c>
      <c r="P195" t="str">
        <f t="shared" ref="P195:P258" si="3">_xlfn.CONCAT(N195:O195)</f>
        <v>450011941310</v>
      </c>
      <c r="Q195" s="9" cm="1">
        <f t="array" ref="Q195:S195">VLOOKUP(P195,Hoja1!C:F,{2,3,4},FALSE)</f>
        <v>46065</v>
      </c>
      <c r="R195" t="str">
        <v>C21</v>
      </c>
      <c r="S195" t="str">
        <v>1000000634 RAIZEN ARGENTINA S.A.U.</v>
      </c>
    </row>
    <row r="196" spans="1:19" x14ac:dyDescent="0.3">
      <c r="A196" s="2" t="s">
        <v>14</v>
      </c>
      <c r="B196" s="3" t="s">
        <v>14</v>
      </c>
      <c r="C196" s="3" t="s">
        <v>134</v>
      </c>
      <c r="D196" s="3" t="s">
        <v>56</v>
      </c>
      <c r="E196" s="3" t="s">
        <v>107</v>
      </c>
      <c r="F196" s="4">
        <v>46064</v>
      </c>
      <c r="G196" s="3" t="s">
        <v>44</v>
      </c>
      <c r="H196" s="6">
        <v>-99434</v>
      </c>
      <c r="I196" s="3" t="s">
        <v>17</v>
      </c>
      <c r="J196" s="3" t="s">
        <v>14</v>
      </c>
      <c r="K196" s="3" t="s">
        <v>14</v>
      </c>
      <c r="L196" s="3" t="s">
        <v>121</v>
      </c>
      <c r="M196" s="4">
        <v>46064</v>
      </c>
      <c r="N196" s="3" t="s">
        <v>135</v>
      </c>
      <c r="O196" s="3" t="s">
        <v>34</v>
      </c>
      <c r="P196" t="str">
        <f t="shared" si="3"/>
        <v>450011941310</v>
      </c>
      <c r="Q196" s="9" cm="1">
        <f t="array" ref="Q196:S196">VLOOKUP(P196,Hoja1!C:F,{2,3,4},FALSE)</f>
        <v>46065</v>
      </c>
      <c r="R196" t="str">
        <v>C21</v>
      </c>
      <c r="S196" t="str">
        <v>1000000634 RAIZEN ARGENTINA S.A.U.</v>
      </c>
    </row>
    <row r="197" spans="1:19" x14ac:dyDescent="0.3">
      <c r="A197" s="2" t="s">
        <v>14</v>
      </c>
      <c r="B197" s="3" t="s">
        <v>14</v>
      </c>
      <c r="C197" s="3" t="s">
        <v>136</v>
      </c>
      <c r="D197" s="3" t="s">
        <v>14</v>
      </c>
      <c r="E197" s="3" t="s">
        <v>107</v>
      </c>
      <c r="F197" s="4">
        <v>46071</v>
      </c>
      <c r="G197" s="3" t="s">
        <v>44</v>
      </c>
      <c r="H197" s="6">
        <v>-172.57</v>
      </c>
      <c r="I197" s="3" t="s">
        <v>17</v>
      </c>
      <c r="J197" s="3" t="s">
        <v>14</v>
      </c>
      <c r="K197" s="3" t="s">
        <v>14</v>
      </c>
      <c r="L197" s="3" t="s">
        <v>108</v>
      </c>
      <c r="M197" s="4">
        <v>46071</v>
      </c>
      <c r="N197" s="3" t="s">
        <v>137</v>
      </c>
      <c r="O197" s="3" t="s">
        <v>34</v>
      </c>
      <c r="P197" t="str">
        <f t="shared" si="3"/>
        <v>450012024510</v>
      </c>
      <c r="Q197" s="9" cm="1">
        <f t="array" ref="Q197:S197">VLOOKUP(P197,Hoja1!C:F,{2,3,4},FALSE)</f>
        <v>46065</v>
      </c>
      <c r="R197" t="str">
        <v>C21</v>
      </c>
      <c r="S197" t="str">
        <v>1000001020 COMBUSTIBLES BARCELO S.R.L.</v>
      </c>
    </row>
    <row r="198" spans="1:19" x14ac:dyDescent="0.3">
      <c r="A198" s="2" t="s">
        <v>14</v>
      </c>
      <c r="B198" s="3" t="s">
        <v>14</v>
      </c>
      <c r="C198" s="3" t="s">
        <v>136</v>
      </c>
      <c r="D198" s="3" t="s">
        <v>14</v>
      </c>
      <c r="E198" s="3" t="s">
        <v>107</v>
      </c>
      <c r="F198" s="4">
        <v>46071</v>
      </c>
      <c r="G198" s="3" t="s">
        <v>44</v>
      </c>
      <c r="H198" s="6">
        <v>-19.670000000000002</v>
      </c>
      <c r="I198" s="3" t="s">
        <v>17</v>
      </c>
      <c r="J198" s="3" t="s">
        <v>14</v>
      </c>
      <c r="K198" s="3" t="s">
        <v>14</v>
      </c>
      <c r="L198" s="3" t="s">
        <v>108</v>
      </c>
      <c r="M198" s="4">
        <v>46071</v>
      </c>
      <c r="N198" s="3" t="s">
        <v>137</v>
      </c>
      <c r="O198" s="3" t="s">
        <v>34</v>
      </c>
      <c r="P198" t="str">
        <f t="shared" si="3"/>
        <v>450012024510</v>
      </c>
      <c r="Q198" s="9" cm="1">
        <f t="array" ref="Q198:S198">VLOOKUP(P198,Hoja1!C:F,{2,3,4},FALSE)</f>
        <v>46065</v>
      </c>
      <c r="R198" t="str">
        <v>C21</v>
      </c>
      <c r="S198" t="str">
        <v>1000001020 COMBUSTIBLES BARCELO S.R.L.</v>
      </c>
    </row>
    <row r="199" spans="1:19" x14ac:dyDescent="0.3">
      <c r="A199" s="2" t="s">
        <v>14</v>
      </c>
      <c r="B199" s="3" t="s">
        <v>14</v>
      </c>
      <c r="C199" s="3" t="s">
        <v>138</v>
      </c>
      <c r="D199" s="3" t="s">
        <v>14</v>
      </c>
      <c r="E199" s="3" t="s">
        <v>107</v>
      </c>
      <c r="F199" s="4">
        <v>46071</v>
      </c>
      <c r="G199" s="3" t="s">
        <v>44</v>
      </c>
      <c r="H199" s="6">
        <v>-1894349.3</v>
      </c>
      <c r="I199" s="3" t="s">
        <v>17</v>
      </c>
      <c r="J199" s="3" t="s">
        <v>14</v>
      </c>
      <c r="K199" s="3" t="s">
        <v>14</v>
      </c>
      <c r="L199" s="3" t="s">
        <v>139</v>
      </c>
      <c r="M199" s="4">
        <v>46071</v>
      </c>
      <c r="N199" s="3" t="s">
        <v>140</v>
      </c>
      <c r="O199" s="3" t="s">
        <v>34</v>
      </c>
      <c r="P199" t="str">
        <f t="shared" si="3"/>
        <v>450011995310</v>
      </c>
      <c r="Q199" s="9" cm="1">
        <f t="array" ref="Q199:S199">VLOOKUP(P199,Hoja1!C:F,{2,3,4},FALSE)</f>
        <v>46096</v>
      </c>
      <c r="R199" t="str">
        <v>C39</v>
      </c>
      <c r="S199" t="str">
        <v>1000003490 M D AUTOELEVADORES Y EQUIPOS S</v>
      </c>
    </row>
    <row r="200" spans="1:19" x14ac:dyDescent="0.3">
      <c r="A200" s="2" t="s">
        <v>14</v>
      </c>
      <c r="B200" s="3" t="s">
        <v>14</v>
      </c>
      <c r="C200" s="3" t="s">
        <v>141</v>
      </c>
      <c r="D200" s="3" t="s">
        <v>56</v>
      </c>
      <c r="E200" s="3" t="s">
        <v>107</v>
      </c>
      <c r="F200" s="4">
        <v>46071</v>
      </c>
      <c r="G200" s="3" t="s">
        <v>44</v>
      </c>
      <c r="H200" s="6">
        <v>-908113.2</v>
      </c>
      <c r="I200" s="3" t="s">
        <v>17</v>
      </c>
      <c r="J200" s="3" t="s">
        <v>14</v>
      </c>
      <c r="K200" s="3" t="s">
        <v>14</v>
      </c>
      <c r="L200" s="3" t="s">
        <v>121</v>
      </c>
      <c r="M200" s="4">
        <v>46071</v>
      </c>
      <c r="N200" s="3" t="s">
        <v>142</v>
      </c>
      <c r="O200" s="3" t="s">
        <v>34</v>
      </c>
      <c r="P200" t="str">
        <f t="shared" si="3"/>
        <v>450012018610</v>
      </c>
      <c r="Q200" s="9" cm="1">
        <f t="array" ref="Q200:S200">VLOOKUP(P200,Hoja1!C:F,{2,3,4},FALSE)</f>
        <v>46065</v>
      </c>
      <c r="R200" t="str">
        <v>C21</v>
      </c>
      <c r="S200" t="str">
        <v>1000000634 RAIZEN ARGENTINA S.A.U.</v>
      </c>
    </row>
    <row r="201" spans="1:19" x14ac:dyDescent="0.3">
      <c r="A201" s="2" t="s">
        <v>14</v>
      </c>
      <c r="B201" s="3" t="s">
        <v>14</v>
      </c>
      <c r="C201" s="3" t="s">
        <v>141</v>
      </c>
      <c r="D201" s="3" t="s">
        <v>56</v>
      </c>
      <c r="E201" s="3" t="s">
        <v>107</v>
      </c>
      <c r="F201" s="4">
        <v>46071</v>
      </c>
      <c r="G201" s="3" t="s">
        <v>44</v>
      </c>
      <c r="H201" s="6">
        <v>-99434</v>
      </c>
      <c r="I201" s="3" t="s">
        <v>17</v>
      </c>
      <c r="J201" s="3" t="s">
        <v>14</v>
      </c>
      <c r="K201" s="3" t="s">
        <v>14</v>
      </c>
      <c r="L201" s="3" t="s">
        <v>121</v>
      </c>
      <c r="M201" s="4">
        <v>46071</v>
      </c>
      <c r="N201" s="3" t="s">
        <v>142</v>
      </c>
      <c r="O201" s="3" t="s">
        <v>34</v>
      </c>
      <c r="P201" t="str">
        <f t="shared" si="3"/>
        <v>450012018610</v>
      </c>
      <c r="Q201" s="9" cm="1">
        <f t="array" ref="Q201:S201">VLOOKUP(P201,Hoja1!C:F,{2,3,4},FALSE)</f>
        <v>46065</v>
      </c>
      <c r="R201" t="str">
        <v>C21</v>
      </c>
      <c r="S201" t="str">
        <v>1000000634 RAIZEN ARGENTINA S.A.U.</v>
      </c>
    </row>
    <row r="202" spans="1:19" x14ac:dyDescent="0.3">
      <c r="A202" s="2" t="s">
        <v>14</v>
      </c>
      <c r="B202" s="3" t="s">
        <v>14</v>
      </c>
      <c r="C202" s="3" t="s">
        <v>141</v>
      </c>
      <c r="D202" s="3" t="s">
        <v>56</v>
      </c>
      <c r="E202" s="3" t="s">
        <v>107</v>
      </c>
      <c r="F202" s="4">
        <v>46071</v>
      </c>
      <c r="G202" s="3" t="s">
        <v>44</v>
      </c>
      <c r="H202" s="6">
        <v>-908113.2</v>
      </c>
      <c r="I202" s="3" t="s">
        <v>17</v>
      </c>
      <c r="J202" s="3" t="s">
        <v>14</v>
      </c>
      <c r="K202" s="3" t="s">
        <v>14</v>
      </c>
      <c r="L202" s="3" t="s">
        <v>121</v>
      </c>
      <c r="M202" s="4">
        <v>46071</v>
      </c>
      <c r="N202" s="3" t="s">
        <v>142</v>
      </c>
      <c r="O202" s="3" t="s">
        <v>21</v>
      </c>
      <c r="P202" t="str">
        <f t="shared" si="3"/>
        <v>450012018620</v>
      </c>
      <c r="Q202" s="9" cm="1">
        <f t="array" ref="Q202:S202">VLOOKUP(P202,Hoja1!C:F,{2,3,4},FALSE)</f>
        <v>46065</v>
      </c>
      <c r="R202" t="str">
        <v>C21</v>
      </c>
      <c r="S202" t="str">
        <v>1000000634 RAIZEN ARGENTINA S.A.U.</v>
      </c>
    </row>
    <row r="203" spans="1:19" x14ac:dyDescent="0.3">
      <c r="A203" s="2" t="s">
        <v>14</v>
      </c>
      <c r="B203" s="3" t="s">
        <v>14</v>
      </c>
      <c r="C203" s="3" t="s">
        <v>141</v>
      </c>
      <c r="D203" s="3" t="s">
        <v>56</v>
      </c>
      <c r="E203" s="3" t="s">
        <v>107</v>
      </c>
      <c r="F203" s="4">
        <v>46071</v>
      </c>
      <c r="G203" s="3" t="s">
        <v>44</v>
      </c>
      <c r="H203" s="6">
        <v>-99434</v>
      </c>
      <c r="I203" s="3" t="s">
        <v>17</v>
      </c>
      <c r="J203" s="3" t="s">
        <v>14</v>
      </c>
      <c r="K203" s="3" t="s">
        <v>14</v>
      </c>
      <c r="L203" s="3" t="s">
        <v>121</v>
      </c>
      <c r="M203" s="4">
        <v>46071</v>
      </c>
      <c r="N203" s="3" t="s">
        <v>142</v>
      </c>
      <c r="O203" s="3" t="s">
        <v>21</v>
      </c>
      <c r="P203" t="str">
        <f t="shared" si="3"/>
        <v>450012018620</v>
      </c>
      <c r="Q203" s="9" cm="1">
        <f t="array" ref="Q203:S203">VLOOKUP(P203,Hoja1!C:F,{2,3,4},FALSE)</f>
        <v>46065</v>
      </c>
      <c r="R203" t="str">
        <v>C21</v>
      </c>
      <c r="S203" t="str">
        <v>1000000634 RAIZEN ARGENTINA S.A.U.</v>
      </c>
    </row>
    <row r="204" spans="1:19" x14ac:dyDescent="0.3">
      <c r="A204" s="2" t="s">
        <v>14</v>
      </c>
      <c r="B204" s="3" t="s">
        <v>14</v>
      </c>
      <c r="C204" s="3" t="s">
        <v>143</v>
      </c>
      <c r="D204" s="3" t="s">
        <v>56</v>
      </c>
      <c r="E204" s="3" t="s">
        <v>107</v>
      </c>
      <c r="F204" s="4">
        <v>46072</v>
      </c>
      <c r="G204" s="3" t="s">
        <v>44</v>
      </c>
      <c r="H204" s="6">
        <v>-908113.2</v>
      </c>
      <c r="I204" s="3" t="s">
        <v>17</v>
      </c>
      <c r="J204" s="3" t="s">
        <v>14</v>
      </c>
      <c r="K204" s="3" t="s">
        <v>14</v>
      </c>
      <c r="L204" s="3" t="s">
        <v>121</v>
      </c>
      <c r="M204" s="4">
        <v>46072</v>
      </c>
      <c r="N204" s="3" t="s">
        <v>144</v>
      </c>
      <c r="O204" s="3" t="s">
        <v>34</v>
      </c>
      <c r="P204" t="str">
        <f t="shared" si="3"/>
        <v>450012035810</v>
      </c>
      <c r="Q204" s="9" cm="1">
        <f t="array" ref="Q204:S204">VLOOKUP(P204,Hoja1!C:F,{2,3,4},FALSE)</f>
        <v>46065</v>
      </c>
      <c r="R204" t="str">
        <v>C21</v>
      </c>
      <c r="S204" t="str">
        <v>1000000634 RAIZEN ARGENTINA S.A.U.</v>
      </c>
    </row>
    <row r="205" spans="1:19" x14ac:dyDescent="0.3">
      <c r="A205" s="2" t="s">
        <v>14</v>
      </c>
      <c r="B205" s="3" t="s">
        <v>14</v>
      </c>
      <c r="C205" s="3" t="s">
        <v>143</v>
      </c>
      <c r="D205" s="3" t="s">
        <v>56</v>
      </c>
      <c r="E205" s="3" t="s">
        <v>107</v>
      </c>
      <c r="F205" s="4">
        <v>46072</v>
      </c>
      <c r="G205" s="3" t="s">
        <v>44</v>
      </c>
      <c r="H205" s="6">
        <v>-99434</v>
      </c>
      <c r="I205" s="3" t="s">
        <v>17</v>
      </c>
      <c r="J205" s="3" t="s">
        <v>14</v>
      </c>
      <c r="K205" s="3" t="s">
        <v>14</v>
      </c>
      <c r="L205" s="3" t="s">
        <v>121</v>
      </c>
      <c r="M205" s="4">
        <v>46072</v>
      </c>
      <c r="N205" s="3" t="s">
        <v>144</v>
      </c>
      <c r="O205" s="3" t="s">
        <v>34</v>
      </c>
      <c r="P205" t="str">
        <f t="shared" si="3"/>
        <v>450012035810</v>
      </c>
      <c r="Q205" s="9" cm="1">
        <f t="array" ref="Q205:S205">VLOOKUP(P205,Hoja1!C:F,{2,3,4},FALSE)</f>
        <v>46065</v>
      </c>
      <c r="R205" t="str">
        <v>C21</v>
      </c>
      <c r="S205" t="str">
        <v>1000000634 RAIZEN ARGENTINA S.A.U.</v>
      </c>
    </row>
    <row r="206" spans="1:19" x14ac:dyDescent="0.3">
      <c r="A206" s="2" t="s">
        <v>14</v>
      </c>
      <c r="B206" s="3" t="s">
        <v>14</v>
      </c>
      <c r="C206" s="3" t="s">
        <v>145</v>
      </c>
      <c r="D206" s="3" t="s">
        <v>14</v>
      </c>
      <c r="E206" s="3" t="s">
        <v>107</v>
      </c>
      <c r="F206" s="4">
        <v>46076</v>
      </c>
      <c r="G206" s="3" t="s">
        <v>44</v>
      </c>
      <c r="H206" s="6">
        <v>-4794608.07</v>
      </c>
      <c r="I206" s="3" t="s">
        <v>17</v>
      </c>
      <c r="J206" s="3" t="s">
        <v>14</v>
      </c>
      <c r="K206" s="3" t="s">
        <v>14</v>
      </c>
      <c r="L206" s="3" t="s">
        <v>146</v>
      </c>
      <c r="M206" s="4">
        <v>46076</v>
      </c>
      <c r="N206" s="3" t="s">
        <v>147</v>
      </c>
      <c r="O206" s="3" t="s">
        <v>34</v>
      </c>
      <c r="P206" t="str">
        <f t="shared" si="3"/>
        <v>450011890610</v>
      </c>
      <c r="Q206" s="9" cm="1">
        <f t="array" ref="Q206:S206">VLOOKUP(P206,Hoja1!C:F,{2,3,4},FALSE)</f>
        <v>46096</v>
      </c>
      <c r="R206" t="str">
        <v>C48</v>
      </c>
      <c r="S206" t="str">
        <v>1000011072 NEUMATICOS GOODYEAR S R L</v>
      </c>
    </row>
    <row r="207" spans="1:19" x14ac:dyDescent="0.3">
      <c r="A207" s="2" t="s">
        <v>14</v>
      </c>
      <c r="B207" s="3" t="s">
        <v>14</v>
      </c>
      <c r="C207" s="3" t="s">
        <v>148</v>
      </c>
      <c r="D207" s="3" t="s">
        <v>56</v>
      </c>
      <c r="E207" s="3" t="s">
        <v>107</v>
      </c>
      <c r="F207" s="4">
        <v>46077</v>
      </c>
      <c r="G207" s="3" t="s">
        <v>44</v>
      </c>
      <c r="H207" s="6">
        <v>-908113.2</v>
      </c>
      <c r="I207" s="3" t="s">
        <v>17</v>
      </c>
      <c r="J207" s="3" t="s">
        <v>14</v>
      </c>
      <c r="K207" s="3" t="s">
        <v>14</v>
      </c>
      <c r="L207" s="3" t="s">
        <v>121</v>
      </c>
      <c r="M207" s="4">
        <v>46077</v>
      </c>
      <c r="N207" s="3" t="s">
        <v>149</v>
      </c>
      <c r="O207" s="3" t="s">
        <v>34</v>
      </c>
      <c r="P207" t="str">
        <f t="shared" si="3"/>
        <v>450012063010</v>
      </c>
      <c r="Q207" s="9" cm="1">
        <f t="array" ref="Q207:S207">VLOOKUP(P207,Hoja1!C:F,{2,3,4},FALSE)</f>
        <v>46065</v>
      </c>
      <c r="R207" t="str">
        <v>C21</v>
      </c>
      <c r="S207" t="str">
        <v>1000000634 RAIZEN ARGENTINA S.A.U.</v>
      </c>
    </row>
    <row r="208" spans="1:19" x14ac:dyDescent="0.3">
      <c r="A208" s="2" t="s">
        <v>14</v>
      </c>
      <c r="B208" s="3" t="s">
        <v>14</v>
      </c>
      <c r="C208" s="3" t="s">
        <v>148</v>
      </c>
      <c r="D208" s="3" t="s">
        <v>56</v>
      </c>
      <c r="E208" s="3" t="s">
        <v>107</v>
      </c>
      <c r="F208" s="4">
        <v>46077</v>
      </c>
      <c r="G208" s="3" t="s">
        <v>44</v>
      </c>
      <c r="H208" s="6">
        <v>-99434</v>
      </c>
      <c r="I208" s="3" t="s">
        <v>17</v>
      </c>
      <c r="J208" s="3" t="s">
        <v>14</v>
      </c>
      <c r="K208" s="3" t="s">
        <v>14</v>
      </c>
      <c r="L208" s="3" t="s">
        <v>121</v>
      </c>
      <c r="M208" s="4">
        <v>46077</v>
      </c>
      <c r="N208" s="3" t="s">
        <v>149</v>
      </c>
      <c r="O208" s="3" t="s">
        <v>34</v>
      </c>
      <c r="P208" t="str">
        <f t="shared" si="3"/>
        <v>450012063010</v>
      </c>
      <c r="Q208" s="9" cm="1">
        <f t="array" ref="Q208:S208">VLOOKUP(P208,Hoja1!C:F,{2,3,4},FALSE)</f>
        <v>46065</v>
      </c>
      <c r="R208" t="str">
        <v>C21</v>
      </c>
      <c r="S208" t="str">
        <v>1000000634 RAIZEN ARGENTINA S.A.U.</v>
      </c>
    </row>
    <row r="209" spans="1:19" x14ac:dyDescent="0.3">
      <c r="A209" s="2" t="s">
        <v>14</v>
      </c>
      <c r="B209" s="3" t="s">
        <v>14</v>
      </c>
      <c r="C209" s="3" t="s">
        <v>150</v>
      </c>
      <c r="D209" s="3" t="s">
        <v>14</v>
      </c>
      <c r="E209" s="3" t="s">
        <v>107</v>
      </c>
      <c r="F209" s="4">
        <v>46079</v>
      </c>
      <c r="G209" s="3" t="s">
        <v>44</v>
      </c>
      <c r="H209" s="6">
        <v>-3424720.05</v>
      </c>
      <c r="I209" s="3" t="s">
        <v>17</v>
      </c>
      <c r="J209" s="3" t="s">
        <v>14</v>
      </c>
      <c r="K209" s="3" t="s">
        <v>14</v>
      </c>
      <c r="L209" s="3" t="s">
        <v>146</v>
      </c>
      <c r="M209" s="4">
        <v>46079</v>
      </c>
      <c r="N209" s="3" t="s">
        <v>147</v>
      </c>
      <c r="O209" s="3" t="s">
        <v>34</v>
      </c>
      <c r="P209" t="str">
        <f t="shared" si="3"/>
        <v>450011890610</v>
      </c>
      <c r="Q209" s="9" cm="1">
        <f t="array" ref="Q209:S209">VLOOKUP(P209,Hoja1!C:F,{2,3,4},FALSE)</f>
        <v>46096</v>
      </c>
      <c r="R209" t="str">
        <v>C48</v>
      </c>
      <c r="S209" t="str">
        <v>1000011072 NEUMATICOS GOODYEAR S R L</v>
      </c>
    </row>
    <row r="210" spans="1:19" x14ac:dyDescent="0.3">
      <c r="A210" s="2" t="s">
        <v>14</v>
      </c>
      <c r="B210" s="3" t="s">
        <v>14</v>
      </c>
      <c r="C210" s="3" t="s">
        <v>151</v>
      </c>
      <c r="D210" s="3" t="s">
        <v>14</v>
      </c>
      <c r="E210" s="3" t="s">
        <v>107</v>
      </c>
      <c r="F210" s="4">
        <v>46081</v>
      </c>
      <c r="G210" s="3" t="s">
        <v>44</v>
      </c>
      <c r="H210" s="6">
        <v>-9382380</v>
      </c>
      <c r="I210" s="3" t="s">
        <v>17</v>
      </c>
      <c r="J210" s="3" t="s">
        <v>14</v>
      </c>
      <c r="K210" s="3" t="s">
        <v>14</v>
      </c>
      <c r="L210" s="3" t="s">
        <v>121</v>
      </c>
      <c r="M210" s="4">
        <v>46081</v>
      </c>
      <c r="N210" s="3" t="s">
        <v>152</v>
      </c>
      <c r="O210" s="3" t="s">
        <v>34</v>
      </c>
      <c r="P210" t="str">
        <f t="shared" si="3"/>
        <v>450012003810</v>
      </c>
      <c r="Q210" s="9" cm="1">
        <f t="array" ref="Q210:S210">VLOOKUP(P210,Hoja1!C:F,{2,3,4},FALSE)</f>
        <v>46203</v>
      </c>
      <c r="R210" t="str">
        <v>C21</v>
      </c>
      <c r="S210" t="str">
        <v>1000000634 RAIZEN ARGENTINA S.A.U.</v>
      </c>
    </row>
    <row r="211" spans="1:19" x14ac:dyDescent="0.3">
      <c r="A211" s="2" t="s">
        <v>14</v>
      </c>
      <c r="B211" s="3" t="s">
        <v>14</v>
      </c>
      <c r="C211" s="3" t="s">
        <v>151</v>
      </c>
      <c r="D211" s="3" t="s">
        <v>14</v>
      </c>
      <c r="E211" s="3" t="s">
        <v>107</v>
      </c>
      <c r="F211" s="4">
        <v>46081</v>
      </c>
      <c r="G211" s="3" t="s">
        <v>44</v>
      </c>
      <c r="H211" s="6">
        <v>-1069320</v>
      </c>
      <c r="I211" s="3" t="s">
        <v>17</v>
      </c>
      <c r="J211" s="3" t="s">
        <v>14</v>
      </c>
      <c r="K211" s="3" t="s">
        <v>14</v>
      </c>
      <c r="L211" s="3" t="s">
        <v>121</v>
      </c>
      <c r="M211" s="4">
        <v>46081</v>
      </c>
      <c r="N211" s="3" t="s">
        <v>152</v>
      </c>
      <c r="O211" s="3" t="s">
        <v>34</v>
      </c>
      <c r="P211" t="str">
        <f t="shared" si="3"/>
        <v>450012003810</v>
      </c>
      <c r="Q211" s="9" cm="1">
        <f t="array" ref="Q211:S211">VLOOKUP(P211,Hoja1!C:F,{2,3,4},FALSE)</f>
        <v>46203</v>
      </c>
      <c r="R211" t="str">
        <v>C21</v>
      </c>
      <c r="S211" t="str">
        <v>1000000634 RAIZEN ARGENTINA S.A.U.</v>
      </c>
    </row>
    <row r="212" spans="1:19" x14ac:dyDescent="0.3">
      <c r="A212" s="2" t="s">
        <v>14</v>
      </c>
      <c r="B212" s="3" t="s">
        <v>14</v>
      </c>
      <c r="C212" s="3" t="s">
        <v>153</v>
      </c>
      <c r="D212" s="3" t="s">
        <v>14</v>
      </c>
      <c r="E212" s="3" t="s">
        <v>107</v>
      </c>
      <c r="F212" s="4">
        <v>46077</v>
      </c>
      <c r="G212" s="3" t="s">
        <v>44</v>
      </c>
      <c r="H212" s="6">
        <v>-9382380</v>
      </c>
      <c r="I212" s="3" t="s">
        <v>17</v>
      </c>
      <c r="J212" s="3" t="s">
        <v>14</v>
      </c>
      <c r="K212" s="3" t="s">
        <v>14</v>
      </c>
      <c r="L212" s="3" t="s">
        <v>121</v>
      </c>
      <c r="M212" s="4">
        <v>46083</v>
      </c>
      <c r="N212" s="3" t="s">
        <v>152</v>
      </c>
      <c r="O212" s="3" t="s">
        <v>34</v>
      </c>
      <c r="P212" t="str">
        <f t="shared" si="3"/>
        <v>450012003810</v>
      </c>
      <c r="Q212" s="9" cm="1">
        <f t="array" ref="Q212:S212">VLOOKUP(P212,Hoja1!C:F,{2,3,4},FALSE)</f>
        <v>46203</v>
      </c>
      <c r="R212" t="str">
        <v>C21</v>
      </c>
      <c r="S212" t="str">
        <v>1000000634 RAIZEN ARGENTINA S.A.U.</v>
      </c>
    </row>
    <row r="213" spans="1:19" x14ac:dyDescent="0.3">
      <c r="A213" s="2" t="s">
        <v>14</v>
      </c>
      <c r="B213" s="3" t="s">
        <v>14</v>
      </c>
      <c r="C213" s="3" t="s">
        <v>153</v>
      </c>
      <c r="D213" s="3" t="s">
        <v>14</v>
      </c>
      <c r="E213" s="3" t="s">
        <v>107</v>
      </c>
      <c r="F213" s="4">
        <v>46077</v>
      </c>
      <c r="G213" s="3" t="s">
        <v>44</v>
      </c>
      <c r="H213" s="6">
        <v>-1069320</v>
      </c>
      <c r="I213" s="3" t="s">
        <v>17</v>
      </c>
      <c r="J213" s="3" t="s">
        <v>14</v>
      </c>
      <c r="K213" s="3" t="s">
        <v>14</v>
      </c>
      <c r="L213" s="3" t="s">
        <v>121</v>
      </c>
      <c r="M213" s="4">
        <v>46083</v>
      </c>
      <c r="N213" s="3" t="s">
        <v>152</v>
      </c>
      <c r="O213" s="3" t="s">
        <v>34</v>
      </c>
      <c r="P213" t="str">
        <f t="shared" si="3"/>
        <v>450012003810</v>
      </c>
      <c r="Q213" s="9" cm="1">
        <f t="array" ref="Q213:S213">VLOOKUP(P213,Hoja1!C:F,{2,3,4},FALSE)</f>
        <v>46203</v>
      </c>
      <c r="R213" t="str">
        <v>C21</v>
      </c>
      <c r="S213" t="str">
        <v>1000000634 RAIZEN ARGENTINA S.A.U.</v>
      </c>
    </row>
    <row r="214" spans="1:19" x14ac:dyDescent="0.3">
      <c r="A214" s="2" t="s">
        <v>14</v>
      </c>
      <c r="B214" s="3" t="s">
        <v>14</v>
      </c>
      <c r="C214" s="3" t="s">
        <v>154</v>
      </c>
      <c r="D214" s="3" t="s">
        <v>36</v>
      </c>
      <c r="E214" s="3" t="s">
        <v>107</v>
      </c>
      <c r="F214" s="4">
        <v>46084</v>
      </c>
      <c r="G214" s="3" t="s">
        <v>44</v>
      </c>
      <c r="H214" s="6">
        <v>-161208.04</v>
      </c>
      <c r="I214" s="3" t="s">
        <v>17</v>
      </c>
      <c r="J214" s="3" t="s">
        <v>14</v>
      </c>
      <c r="K214" s="3" t="s">
        <v>14</v>
      </c>
      <c r="L214" s="3" t="s">
        <v>155</v>
      </c>
      <c r="M214" s="4">
        <v>46084</v>
      </c>
      <c r="N214" s="3" t="s">
        <v>156</v>
      </c>
      <c r="O214" s="3" t="s">
        <v>21</v>
      </c>
      <c r="P214" t="str">
        <f t="shared" si="3"/>
        <v>450011860420</v>
      </c>
      <c r="Q214" s="9" cm="1">
        <f t="array" ref="Q214:S214">VLOOKUP(P214,Hoja1!C:F,{2,3,4},FALSE)</f>
        <v>46173</v>
      </c>
      <c r="R214" t="str">
        <v>C07</v>
      </c>
      <c r="S214" t="str">
        <v>1000012671 STYLUS S.A</v>
      </c>
    </row>
    <row r="215" spans="1:19" x14ac:dyDescent="0.3">
      <c r="A215" s="2" t="s">
        <v>14</v>
      </c>
      <c r="B215" s="3" t="s">
        <v>14</v>
      </c>
      <c r="C215" s="3" t="s">
        <v>157</v>
      </c>
      <c r="D215" s="3" t="s">
        <v>14</v>
      </c>
      <c r="E215" s="3" t="s">
        <v>107</v>
      </c>
      <c r="F215" s="4">
        <v>46085</v>
      </c>
      <c r="G215" s="3" t="s">
        <v>44</v>
      </c>
      <c r="H215" s="6">
        <v>-9605770</v>
      </c>
      <c r="I215" s="3" t="s">
        <v>17</v>
      </c>
      <c r="J215" s="3" t="s">
        <v>14</v>
      </c>
      <c r="K215" s="3" t="s">
        <v>14</v>
      </c>
      <c r="L215" s="3" t="s">
        <v>121</v>
      </c>
      <c r="M215" s="4">
        <v>46085</v>
      </c>
      <c r="N215" s="3" t="s">
        <v>152</v>
      </c>
      <c r="O215" s="3" t="s">
        <v>34</v>
      </c>
      <c r="P215" t="str">
        <f t="shared" si="3"/>
        <v>450012003810</v>
      </c>
      <c r="Q215" s="9" cm="1">
        <f t="array" ref="Q215:S215">VLOOKUP(P215,Hoja1!C:F,{2,3,4},FALSE)</f>
        <v>46203</v>
      </c>
      <c r="R215" t="str">
        <v>C21</v>
      </c>
      <c r="S215" t="str">
        <v>1000000634 RAIZEN ARGENTINA S.A.U.</v>
      </c>
    </row>
    <row r="216" spans="1:19" x14ac:dyDescent="0.3">
      <c r="A216" s="2" t="s">
        <v>14</v>
      </c>
      <c r="B216" s="3" t="s">
        <v>14</v>
      </c>
      <c r="C216" s="3" t="s">
        <v>157</v>
      </c>
      <c r="D216" s="3" t="s">
        <v>14</v>
      </c>
      <c r="E216" s="3" t="s">
        <v>107</v>
      </c>
      <c r="F216" s="4">
        <v>46085</v>
      </c>
      <c r="G216" s="3" t="s">
        <v>44</v>
      </c>
      <c r="H216" s="6">
        <v>-1094780</v>
      </c>
      <c r="I216" s="3" t="s">
        <v>17</v>
      </c>
      <c r="J216" s="3" t="s">
        <v>14</v>
      </c>
      <c r="K216" s="3" t="s">
        <v>14</v>
      </c>
      <c r="L216" s="3" t="s">
        <v>121</v>
      </c>
      <c r="M216" s="4">
        <v>46085</v>
      </c>
      <c r="N216" s="3" t="s">
        <v>152</v>
      </c>
      <c r="O216" s="3" t="s">
        <v>34</v>
      </c>
      <c r="P216" t="str">
        <f t="shared" si="3"/>
        <v>450012003810</v>
      </c>
      <c r="Q216" s="9" cm="1">
        <f t="array" ref="Q216:S216">VLOOKUP(P216,Hoja1!C:F,{2,3,4},FALSE)</f>
        <v>46203</v>
      </c>
      <c r="R216" t="str">
        <v>C21</v>
      </c>
      <c r="S216" t="str">
        <v>1000000634 RAIZEN ARGENTINA S.A.U.</v>
      </c>
    </row>
    <row r="217" spans="1:19" x14ac:dyDescent="0.3">
      <c r="A217" s="2" t="s">
        <v>14</v>
      </c>
      <c r="B217" s="3" t="s">
        <v>14</v>
      </c>
      <c r="C217" s="3" t="s">
        <v>158</v>
      </c>
      <c r="D217" s="3" t="s">
        <v>14</v>
      </c>
      <c r="E217" s="3" t="s">
        <v>107</v>
      </c>
      <c r="F217" s="4">
        <v>46086</v>
      </c>
      <c r="G217" s="3" t="s">
        <v>44</v>
      </c>
      <c r="H217" s="6">
        <v>-2317360</v>
      </c>
      <c r="I217" s="3" t="s">
        <v>17</v>
      </c>
      <c r="J217" s="3" t="s">
        <v>14</v>
      </c>
      <c r="K217" s="3" t="s">
        <v>14</v>
      </c>
      <c r="L217" s="3" t="s">
        <v>159</v>
      </c>
      <c r="M217" s="4">
        <v>46086</v>
      </c>
      <c r="N217" s="3" t="s">
        <v>160</v>
      </c>
      <c r="O217" s="3" t="s">
        <v>34</v>
      </c>
      <c r="P217" t="str">
        <f t="shared" si="3"/>
        <v>450011888510</v>
      </c>
      <c r="Q217" s="9" cm="1">
        <f t="array" ref="Q217:S217">VLOOKUP(P217,Hoja1!C:F,{2,3,4},FALSE)</f>
        <v>46096</v>
      </c>
      <c r="R217" t="str">
        <v>C04</v>
      </c>
      <c r="S217" t="str">
        <v>1000010438 TURBOS T&amp;T S.R.L</v>
      </c>
    </row>
    <row r="218" spans="1:19" x14ac:dyDescent="0.3">
      <c r="A218" s="2" t="s">
        <v>14</v>
      </c>
      <c r="B218" s="3" t="s">
        <v>14</v>
      </c>
      <c r="C218" s="3" t="s">
        <v>161</v>
      </c>
      <c r="D218" s="3" t="s">
        <v>14</v>
      </c>
      <c r="E218" s="3" t="s">
        <v>107</v>
      </c>
      <c r="F218" s="4">
        <v>46087</v>
      </c>
      <c r="G218" s="3" t="s">
        <v>44</v>
      </c>
      <c r="H218" s="6">
        <v>-9605770</v>
      </c>
      <c r="I218" s="3" t="s">
        <v>17</v>
      </c>
      <c r="J218" s="3" t="s">
        <v>14</v>
      </c>
      <c r="K218" s="3" t="s">
        <v>14</v>
      </c>
      <c r="L218" s="3" t="s">
        <v>121</v>
      </c>
      <c r="M218" s="4">
        <v>46087</v>
      </c>
      <c r="N218" s="3" t="s">
        <v>152</v>
      </c>
      <c r="O218" s="3" t="s">
        <v>34</v>
      </c>
      <c r="P218" t="str">
        <f t="shared" si="3"/>
        <v>450012003810</v>
      </c>
      <c r="Q218" s="9" cm="1">
        <f t="array" ref="Q218:S218">VLOOKUP(P218,Hoja1!C:F,{2,3,4},FALSE)</f>
        <v>46203</v>
      </c>
      <c r="R218" t="str">
        <v>C21</v>
      </c>
      <c r="S218" t="str">
        <v>1000000634 RAIZEN ARGENTINA S.A.U.</v>
      </c>
    </row>
    <row r="219" spans="1:19" x14ac:dyDescent="0.3">
      <c r="A219" s="2" t="s">
        <v>14</v>
      </c>
      <c r="B219" s="3" t="s">
        <v>14</v>
      </c>
      <c r="C219" s="3" t="s">
        <v>161</v>
      </c>
      <c r="D219" s="3" t="s">
        <v>14</v>
      </c>
      <c r="E219" s="3" t="s">
        <v>107</v>
      </c>
      <c r="F219" s="4">
        <v>46087</v>
      </c>
      <c r="G219" s="3" t="s">
        <v>44</v>
      </c>
      <c r="H219" s="6">
        <v>-1094780</v>
      </c>
      <c r="I219" s="3" t="s">
        <v>17</v>
      </c>
      <c r="J219" s="3" t="s">
        <v>14</v>
      </c>
      <c r="K219" s="3" t="s">
        <v>14</v>
      </c>
      <c r="L219" s="3" t="s">
        <v>121</v>
      </c>
      <c r="M219" s="4">
        <v>46087</v>
      </c>
      <c r="N219" s="3" t="s">
        <v>152</v>
      </c>
      <c r="O219" s="3" t="s">
        <v>34</v>
      </c>
      <c r="P219" t="str">
        <f t="shared" si="3"/>
        <v>450012003810</v>
      </c>
      <c r="Q219" s="9" cm="1">
        <f t="array" ref="Q219:S219">VLOOKUP(P219,Hoja1!C:F,{2,3,4},FALSE)</f>
        <v>46203</v>
      </c>
      <c r="R219" t="str">
        <v>C21</v>
      </c>
      <c r="S219" t="str">
        <v>1000000634 RAIZEN ARGENTINA S.A.U.</v>
      </c>
    </row>
    <row r="220" spans="1:19" x14ac:dyDescent="0.3">
      <c r="A220" s="2" t="s">
        <v>14</v>
      </c>
      <c r="B220" s="3" t="s">
        <v>14</v>
      </c>
      <c r="C220" s="3" t="s">
        <v>162</v>
      </c>
      <c r="D220" s="3" t="s">
        <v>14</v>
      </c>
      <c r="E220" s="3" t="s">
        <v>107</v>
      </c>
      <c r="F220" s="4">
        <v>46087</v>
      </c>
      <c r="G220" s="3" t="s">
        <v>44</v>
      </c>
      <c r="H220" s="6">
        <v>-308550</v>
      </c>
      <c r="I220" s="3" t="s">
        <v>17</v>
      </c>
      <c r="J220" s="3" t="s">
        <v>14</v>
      </c>
      <c r="K220" s="3" t="s">
        <v>14</v>
      </c>
      <c r="L220" s="3" t="s">
        <v>163</v>
      </c>
      <c r="M220" s="4">
        <v>46087</v>
      </c>
      <c r="N220" s="3" t="s">
        <v>164</v>
      </c>
      <c r="O220" s="3" t="s">
        <v>34</v>
      </c>
      <c r="P220" t="str">
        <f t="shared" si="3"/>
        <v>450011780310</v>
      </c>
      <c r="Q220" s="9" cm="1">
        <f t="array" ref="Q220:S220">VLOOKUP(P220,Hoja1!C:F,{2,3,4},FALSE)</f>
        <v>46092</v>
      </c>
      <c r="R220" t="str">
        <v>C03</v>
      </c>
      <c r="S220" t="str">
        <v>1000000062 FINNING ARGENTINA S.A.</v>
      </c>
    </row>
    <row r="221" spans="1:19" x14ac:dyDescent="0.3">
      <c r="A221" s="2" t="s">
        <v>14</v>
      </c>
      <c r="B221" s="3" t="s">
        <v>14</v>
      </c>
      <c r="C221" s="3" t="s">
        <v>165</v>
      </c>
      <c r="D221" s="3" t="s">
        <v>14</v>
      </c>
      <c r="E221" s="3" t="s">
        <v>107</v>
      </c>
      <c r="F221" s="4">
        <v>46091</v>
      </c>
      <c r="G221" s="3" t="s">
        <v>44</v>
      </c>
      <c r="H221" s="6">
        <v>-172.57</v>
      </c>
      <c r="I221" s="3" t="s">
        <v>17</v>
      </c>
      <c r="J221" s="3" t="s">
        <v>14</v>
      </c>
      <c r="K221" s="3" t="s">
        <v>14</v>
      </c>
      <c r="L221" s="3" t="s">
        <v>108</v>
      </c>
      <c r="M221" s="4">
        <v>46091</v>
      </c>
      <c r="N221" s="3" t="s">
        <v>166</v>
      </c>
      <c r="O221" s="3" t="s">
        <v>34</v>
      </c>
      <c r="P221" t="str">
        <f t="shared" si="3"/>
        <v>450012209210</v>
      </c>
      <c r="Q221" s="9" cm="1">
        <f t="array" ref="Q221:S221">VLOOKUP(P221,Hoja1!C:F,{2,3,4},FALSE)</f>
        <v>46124</v>
      </c>
      <c r="R221" t="str">
        <v>C21</v>
      </c>
      <c r="S221" t="str">
        <v>1000001020 COMBUSTIBLES BARCELO S.R.L.</v>
      </c>
    </row>
    <row r="222" spans="1:19" x14ac:dyDescent="0.3">
      <c r="A222" s="2" t="s">
        <v>14</v>
      </c>
      <c r="B222" s="3" t="s">
        <v>14</v>
      </c>
      <c r="C222" s="3" t="s">
        <v>165</v>
      </c>
      <c r="D222" s="3" t="s">
        <v>14</v>
      </c>
      <c r="E222" s="3" t="s">
        <v>107</v>
      </c>
      <c r="F222" s="4">
        <v>46091</v>
      </c>
      <c r="G222" s="3" t="s">
        <v>44</v>
      </c>
      <c r="H222" s="6">
        <v>-19.670000000000002</v>
      </c>
      <c r="I222" s="3" t="s">
        <v>17</v>
      </c>
      <c r="J222" s="3" t="s">
        <v>14</v>
      </c>
      <c r="K222" s="3" t="s">
        <v>14</v>
      </c>
      <c r="L222" s="3" t="s">
        <v>108</v>
      </c>
      <c r="M222" s="4">
        <v>46091</v>
      </c>
      <c r="N222" s="3" t="s">
        <v>166</v>
      </c>
      <c r="O222" s="3" t="s">
        <v>34</v>
      </c>
      <c r="P222" t="str">
        <f t="shared" si="3"/>
        <v>450012209210</v>
      </c>
      <c r="Q222" s="9" cm="1">
        <f t="array" ref="Q222:S222">VLOOKUP(P222,Hoja1!C:F,{2,3,4},FALSE)</f>
        <v>46124</v>
      </c>
      <c r="R222" t="str">
        <v>C21</v>
      </c>
      <c r="S222" t="str">
        <v>1000001020 COMBUSTIBLES BARCELO S.R.L.</v>
      </c>
    </row>
    <row r="223" spans="1:19" x14ac:dyDescent="0.3">
      <c r="A223" s="2" t="s">
        <v>14</v>
      </c>
      <c r="B223" s="3" t="s">
        <v>14</v>
      </c>
      <c r="C223" s="3" t="s">
        <v>167</v>
      </c>
      <c r="D223" s="3" t="s">
        <v>14</v>
      </c>
      <c r="E223" s="3" t="s">
        <v>107</v>
      </c>
      <c r="F223" s="4">
        <v>46093</v>
      </c>
      <c r="G223" s="3" t="s">
        <v>44</v>
      </c>
      <c r="H223" s="6">
        <v>-9382380</v>
      </c>
      <c r="I223" s="3" t="s">
        <v>17</v>
      </c>
      <c r="J223" s="3" t="s">
        <v>14</v>
      </c>
      <c r="K223" s="3" t="s">
        <v>14</v>
      </c>
      <c r="L223" s="3" t="s">
        <v>121</v>
      </c>
      <c r="M223" s="4">
        <v>46093</v>
      </c>
      <c r="N223" s="3" t="s">
        <v>152</v>
      </c>
      <c r="O223" s="3" t="s">
        <v>34</v>
      </c>
      <c r="P223" t="str">
        <f t="shared" si="3"/>
        <v>450012003810</v>
      </c>
      <c r="Q223" s="9" cm="1">
        <f t="array" ref="Q223:S223">VLOOKUP(P223,Hoja1!C:F,{2,3,4},FALSE)</f>
        <v>46203</v>
      </c>
      <c r="R223" t="str">
        <v>C21</v>
      </c>
      <c r="S223" t="str">
        <v>1000000634 RAIZEN ARGENTINA S.A.U.</v>
      </c>
    </row>
    <row r="224" spans="1:19" x14ac:dyDescent="0.3">
      <c r="A224" s="2" t="s">
        <v>14</v>
      </c>
      <c r="B224" s="3" t="s">
        <v>14</v>
      </c>
      <c r="C224" s="3" t="s">
        <v>167</v>
      </c>
      <c r="D224" s="3" t="s">
        <v>14</v>
      </c>
      <c r="E224" s="3" t="s">
        <v>107</v>
      </c>
      <c r="F224" s="4">
        <v>46093</v>
      </c>
      <c r="G224" s="3" t="s">
        <v>44</v>
      </c>
      <c r="H224" s="6">
        <v>-1069320</v>
      </c>
      <c r="I224" s="3" t="s">
        <v>17</v>
      </c>
      <c r="J224" s="3" t="s">
        <v>14</v>
      </c>
      <c r="K224" s="3" t="s">
        <v>14</v>
      </c>
      <c r="L224" s="3" t="s">
        <v>121</v>
      </c>
      <c r="M224" s="4">
        <v>46093</v>
      </c>
      <c r="N224" s="3" t="s">
        <v>152</v>
      </c>
      <c r="O224" s="3" t="s">
        <v>34</v>
      </c>
      <c r="P224" t="str">
        <f t="shared" si="3"/>
        <v>450012003810</v>
      </c>
      <c r="Q224" s="9" cm="1">
        <f t="array" ref="Q224:S224">VLOOKUP(P224,Hoja1!C:F,{2,3,4},FALSE)</f>
        <v>46203</v>
      </c>
      <c r="R224" t="str">
        <v>C21</v>
      </c>
      <c r="S224" t="str">
        <v>1000000634 RAIZEN ARGENTINA S.A.U.</v>
      </c>
    </row>
    <row r="225" spans="1:19" x14ac:dyDescent="0.3">
      <c r="A225" s="2" t="s">
        <v>14</v>
      </c>
      <c r="B225" s="3" t="s">
        <v>14</v>
      </c>
      <c r="C225" s="3" t="s">
        <v>168</v>
      </c>
      <c r="D225" s="3" t="s">
        <v>14</v>
      </c>
      <c r="E225" s="3" t="s">
        <v>107</v>
      </c>
      <c r="F225" s="4">
        <v>46093</v>
      </c>
      <c r="G225" s="3" t="s">
        <v>44</v>
      </c>
      <c r="H225" s="6">
        <v>-122772.05</v>
      </c>
      <c r="I225" s="3" t="s">
        <v>17</v>
      </c>
      <c r="J225" s="3" t="s">
        <v>14</v>
      </c>
      <c r="K225" s="3" t="s">
        <v>14</v>
      </c>
      <c r="L225" s="3" t="s">
        <v>169</v>
      </c>
      <c r="M225" s="4">
        <v>46093</v>
      </c>
      <c r="N225" s="3" t="s">
        <v>170</v>
      </c>
      <c r="O225" s="3" t="s">
        <v>34</v>
      </c>
      <c r="P225" t="str">
        <f t="shared" si="3"/>
        <v>450012221110</v>
      </c>
      <c r="Q225" s="9" cm="1">
        <f t="array" ref="Q225:S225">VLOOKUP(P225,Hoja1!C:F,{2,3,4},FALSE)</f>
        <v>46094</v>
      </c>
      <c r="R225" t="str">
        <v>C43</v>
      </c>
      <c r="S225" t="str">
        <v>1000002607 DIESEL LANGE S.R.L</v>
      </c>
    </row>
    <row r="226" spans="1:19" x14ac:dyDescent="0.3">
      <c r="A226" s="2" t="s">
        <v>14</v>
      </c>
      <c r="B226" s="3" t="s">
        <v>14</v>
      </c>
      <c r="C226" s="3" t="s">
        <v>171</v>
      </c>
      <c r="D226" s="3" t="s">
        <v>14</v>
      </c>
      <c r="E226" s="3" t="s">
        <v>107</v>
      </c>
      <c r="F226" s="4">
        <v>46094</v>
      </c>
      <c r="G226" s="3" t="s">
        <v>44</v>
      </c>
      <c r="H226" s="6">
        <v>-9382380</v>
      </c>
      <c r="I226" s="3" t="s">
        <v>17</v>
      </c>
      <c r="J226" s="3" t="s">
        <v>14</v>
      </c>
      <c r="K226" s="3" t="s">
        <v>14</v>
      </c>
      <c r="L226" s="3" t="s">
        <v>121</v>
      </c>
      <c r="M226" s="4">
        <v>46094</v>
      </c>
      <c r="N226" s="3" t="s">
        <v>152</v>
      </c>
      <c r="O226" s="3" t="s">
        <v>34</v>
      </c>
      <c r="P226" t="str">
        <f t="shared" si="3"/>
        <v>450012003810</v>
      </c>
      <c r="Q226" s="9" cm="1">
        <f t="array" ref="Q226:S226">VLOOKUP(P226,Hoja1!C:F,{2,3,4},FALSE)</f>
        <v>46203</v>
      </c>
      <c r="R226" t="str">
        <v>C21</v>
      </c>
      <c r="S226" t="str">
        <v>1000000634 RAIZEN ARGENTINA S.A.U.</v>
      </c>
    </row>
    <row r="227" spans="1:19" x14ac:dyDescent="0.3">
      <c r="A227" s="2" t="s">
        <v>14</v>
      </c>
      <c r="B227" s="3" t="s">
        <v>14</v>
      </c>
      <c r="C227" s="3" t="s">
        <v>171</v>
      </c>
      <c r="D227" s="3" t="s">
        <v>14</v>
      </c>
      <c r="E227" s="3" t="s">
        <v>107</v>
      </c>
      <c r="F227" s="4">
        <v>46094</v>
      </c>
      <c r="G227" s="3" t="s">
        <v>44</v>
      </c>
      <c r="H227" s="6">
        <v>-1069320</v>
      </c>
      <c r="I227" s="3" t="s">
        <v>17</v>
      </c>
      <c r="J227" s="3" t="s">
        <v>14</v>
      </c>
      <c r="K227" s="3" t="s">
        <v>14</v>
      </c>
      <c r="L227" s="3" t="s">
        <v>121</v>
      </c>
      <c r="M227" s="4">
        <v>46094</v>
      </c>
      <c r="N227" s="3" t="s">
        <v>152</v>
      </c>
      <c r="O227" s="3" t="s">
        <v>34</v>
      </c>
      <c r="P227" t="str">
        <f t="shared" si="3"/>
        <v>450012003810</v>
      </c>
      <c r="Q227" s="9" cm="1">
        <f t="array" ref="Q227:S227">VLOOKUP(P227,Hoja1!C:F,{2,3,4},FALSE)</f>
        <v>46203</v>
      </c>
      <c r="R227" t="str">
        <v>C21</v>
      </c>
      <c r="S227" t="str">
        <v>1000000634 RAIZEN ARGENTINA S.A.U.</v>
      </c>
    </row>
    <row r="228" spans="1:19" x14ac:dyDescent="0.3">
      <c r="A228" s="2" t="s">
        <v>14</v>
      </c>
      <c r="B228" s="3" t="s">
        <v>14</v>
      </c>
      <c r="C228" s="3" t="s">
        <v>172</v>
      </c>
      <c r="D228" s="3" t="s">
        <v>14</v>
      </c>
      <c r="E228" s="3" t="s">
        <v>107</v>
      </c>
      <c r="F228" s="4">
        <v>46094</v>
      </c>
      <c r="G228" s="3" t="s">
        <v>44</v>
      </c>
      <c r="H228" s="6">
        <v>-104250</v>
      </c>
      <c r="I228" s="3" t="s">
        <v>17</v>
      </c>
      <c r="J228" s="3" t="s">
        <v>14</v>
      </c>
      <c r="K228" s="3" t="s">
        <v>14</v>
      </c>
      <c r="L228" s="3" t="s">
        <v>163</v>
      </c>
      <c r="M228" s="4">
        <v>46094</v>
      </c>
      <c r="N228" s="3" t="s">
        <v>164</v>
      </c>
      <c r="O228" s="3" t="s">
        <v>21</v>
      </c>
      <c r="P228" t="str">
        <f t="shared" si="3"/>
        <v>450011780320</v>
      </c>
      <c r="Q228" s="9" cm="1">
        <f t="array" ref="Q228:S228">VLOOKUP(P228,Hoja1!C:F,{2,3,4},FALSE)</f>
        <v>46092</v>
      </c>
      <c r="R228" t="str">
        <v>C03</v>
      </c>
      <c r="S228" t="str">
        <v>1000000062 FINNING ARGENTINA S.A.</v>
      </c>
    </row>
    <row r="229" spans="1:19" x14ac:dyDescent="0.3">
      <c r="A229" s="2" t="s">
        <v>14</v>
      </c>
      <c r="B229" s="3" t="s">
        <v>14</v>
      </c>
      <c r="C229" s="3" t="s">
        <v>173</v>
      </c>
      <c r="D229" s="3" t="s">
        <v>14</v>
      </c>
      <c r="E229" s="3" t="s">
        <v>107</v>
      </c>
      <c r="F229" s="4">
        <v>46098</v>
      </c>
      <c r="G229" s="3" t="s">
        <v>44</v>
      </c>
      <c r="H229" s="6">
        <v>-9382380</v>
      </c>
      <c r="I229" s="3" t="s">
        <v>17</v>
      </c>
      <c r="J229" s="3" t="s">
        <v>14</v>
      </c>
      <c r="K229" s="3" t="s">
        <v>14</v>
      </c>
      <c r="L229" s="3" t="s">
        <v>121</v>
      </c>
      <c r="M229" s="4">
        <v>46098</v>
      </c>
      <c r="N229" s="3" t="s">
        <v>152</v>
      </c>
      <c r="O229" s="3" t="s">
        <v>34</v>
      </c>
      <c r="P229" t="str">
        <f t="shared" si="3"/>
        <v>450012003810</v>
      </c>
      <c r="Q229" s="9" cm="1">
        <f t="array" ref="Q229:S229">VLOOKUP(P229,Hoja1!C:F,{2,3,4},FALSE)</f>
        <v>46203</v>
      </c>
      <c r="R229" t="str">
        <v>C21</v>
      </c>
      <c r="S229" t="str">
        <v>1000000634 RAIZEN ARGENTINA S.A.U.</v>
      </c>
    </row>
    <row r="230" spans="1:19" x14ac:dyDescent="0.3">
      <c r="A230" s="2" t="s">
        <v>14</v>
      </c>
      <c r="B230" s="3" t="s">
        <v>14</v>
      </c>
      <c r="C230" s="3" t="s">
        <v>173</v>
      </c>
      <c r="D230" s="3" t="s">
        <v>14</v>
      </c>
      <c r="E230" s="3" t="s">
        <v>107</v>
      </c>
      <c r="F230" s="4">
        <v>46098</v>
      </c>
      <c r="G230" s="3" t="s">
        <v>44</v>
      </c>
      <c r="H230" s="6">
        <v>-1069320</v>
      </c>
      <c r="I230" s="3" t="s">
        <v>17</v>
      </c>
      <c r="J230" s="3" t="s">
        <v>14</v>
      </c>
      <c r="K230" s="3" t="s">
        <v>14</v>
      </c>
      <c r="L230" s="3" t="s">
        <v>121</v>
      </c>
      <c r="M230" s="4">
        <v>46098</v>
      </c>
      <c r="N230" s="3" t="s">
        <v>152</v>
      </c>
      <c r="O230" s="3" t="s">
        <v>34</v>
      </c>
      <c r="P230" t="str">
        <f t="shared" si="3"/>
        <v>450012003810</v>
      </c>
      <c r="Q230" s="9" cm="1">
        <f t="array" ref="Q230:S230">VLOOKUP(P230,Hoja1!C:F,{2,3,4},FALSE)</f>
        <v>46203</v>
      </c>
      <c r="R230" t="str">
        <v>C21</v>
      </c>
      <c r="S230" t="str">
        <v>1000000634 RAIZEN ARGENTINA S.A.U.</v>
      </c>
    </row>
    <row r="231" spans="1:19" x14ac:dyDescent="0.3">
      <c r="A231" s="2" t="s">
        <v>14</v>
      </c>
      <c r="B231" s="3" t="s">
        <v>14</v>
      </c>
      <c r="C231" s="3" t="s">
        <v>174</v>
      </c>
      <c r="D231" s="3" t="s">
        <v>14</v>
      </c>
      <c r="E231" s="3" t="s">
        <v>107</v>
      </c>
      <c r="F231" s="4">
        <v>46099</v>
      </c>
      <c r="G231" s="3" t="s">
        <v>44</v>
      </c>
      <c r="H231" s="6">
        <v>-9382380</v>
      </c>
      <c r="I231" s="3" t="s">
        <v>17</v>
      </c>
      <c r="J231" s="3" t="s">
        <v>14</v>
      </c>
      <c r="K231" s="3" t="s">
        <v>14</v>
      </c>
      <c r="L231" s="3" t="s">
        <v>121</v>
      </c>
      <c r="M231" s="4">
        <v>46099</v>
      </c>
      <c r="N231" s="3" t="s">
        <v>152</v>
      </c>
      <c r="O231" s="3" t="s">
        <v>34</v>
      </c>
      <c r="P231" t="str">
        <f t="shared" si="3"/>
        <v>450012003810</v>
      </c>
      <c r="Q231" s="9" cm="1">
        <f t="array" ref="Q231:S231">VLOOKUP(P231,Hoja1!C:F,{2,3,4},FALSE)</f>
        <v>46203</v>
      </c>
      <c r="R231" t="str">
        <v>C21</v>
      </c>
      <c r="S231" t="str">
        <v>1000000634 RAIZEN ARGENTINA S.A.U.</v>
      </c>
    </row>
    <row r="232" spans="1:19" x14ac:dyDescent="0.3">
      <c r="A232" s="2" t="s">
        <v>14</v>
      </c>
      <c r="B232" s="3" t="s">
        <v>14</v>
      </c>
      <c r="C232" s="3" t="s">
        <v>174</v>
      </c>
      <c r="D232" s="3" t="s">
        <v>14</v>
      </c>
      <c r="E232" s="3" t="s">
        <v>107</v>
      </c>
      <c r="F232" s="4">
        <v>46099</v>
      </c>
      <c r="G232" s="3" t="s">
        <v>44</v>
      </c>
      <c r="H232" s="6">
        <v>-1069320</v>
      </c>
      <c r="I232" s="3" t="s">
        <v>17</v>
      </c>
      <c r="J232" s="3" t="s">
        <v>14</v>
      </c>
      <c r="K232" s="3" t="s">
        <v>14</v>
      </c>
      <c r="L232" s="3" t="s">
        <v>121</v>
      </c>
      <c r="M232" s="4">
        <v>46099</v>
      </c>
      <c r="N232" s="3" t="s">
        <v>152</v>
      </c>
      <c r="O232" s="3" t="s">
        <v>34</v>
      </c>
      <c r="P232" t="str">
        <f t="shared" si="3"/>
        <v>450012003810</v>
      </c>
      <c r="Q232" s="9" cm="1">
        <f t="array" ref="Q232:S232">VLOOKUP(P232,Hoja1!C:F,{2,3,4},FALSE)</f>
        <v>46203</v>
      </c>
      <c r="R232" t="str">
        <v>C21</v>
      </c>
      <c r="S232" t="str">
        <v>1000000634 RAIZEN ARGENTINA S.A.U.</v>
      </c>
    </row>
    <row r="233" spans="1:19" x14ac:dyDescent="0.3">
      <c r="A233" s="2" t="s">
        <v>14</v>
      </c>
      <c r="B233" s="3" t="s">
        <v>14</v>
      </c>
      <c r="C233" s="3" t="s">
        <v>175</v>
      </c>
      <c r="D233" s="3" t="s">
        <v>14</v>
      </c>
      <c r="E233" s="3" t="s">
        <v>107</v>
      </c>
      <c r="F233" s="4">
        <v>46099</v>
      </c>
      <c r="G233" s="3" t="s">
        <v>44</v>
      </c>
      <c r="H233" s="6">
        <v>-719567.35999999999</v>
      </c>
      <c r="I233" s="3" t="s">
        <v>17</v>
      </c>
      <c r="J233" s="3" t="s">
        <v>14</v>
      </c>
      <c r="K233" s="3" t="s">
        <v>14</v>
      </c>
      <c r="L233" s="3" t="s">
        <v>176</v>
      </c>
      <c r="M233" s="4">
        <v>46099</v>
      </c>
      <c r="N233" s="3" t="s">
        <v>177</v>
      </c>
      <c r="O233" s="3" t="s">
        <v>34</v>
      </c>
      <c r="P233" t="str">
        <f t="shared" si="3"/>
        <v>450012199110</v>
      </c>
      <c r="Q233" s="9" cm="1">
        <f t="array" ref="Q233:S233">VLOOKUP(P233,Hoja1!C:F,{2,3,4},FALSE)</f>
        <v>46108</v>
      </c>
      <c r="R233" t="str">
        <v>C03</v>
      </c>
      <c r="S233" t="str">
        <v>1000008805 SAKURA MOTORS S. A.</v>
      </c>
    </row>
    <row r="234" spans="1:19" x14ac:dyDescent="0.3">
      <c r="A234" s="2" t="s">
        <v>14</v>
      </c>
      <c r="B234" s="3" t="s">
        <v>14</v>
      </c>
      <c r="C234" s="3" t="s">
        <v>175</v>
      </c>
      <c r="D234" s="3" t="s">
        <v>14</v>
      </c>
      <c r="E234" s="3" t="s">
        <v>107</v>
      </c>
      <c r="F234" s="4">
        <v>46099</v>
      </c>
      <c r="G234" s="3" t="s">
        <v>44</v>
      </c>
      <c r="H234" s="6">
        <v>-611373.49</v>
      </c>
      <c r="I234" s="3" t="s">
        <v>17</v>
      </c>
      <c r="J234" s="3" t="s">
        <v>14</v>
      </c>
      <c r="K234" s="3" t="s">
        <v>14</v>
      </c>
      <c r="L234" s="3" t="s">
        <v>176</v>
      </c>
      <c r="M234" s="4">
        <v>46099</v>
      </c>
      <c r="N234" s="3" t="s">
        <v>177</v>
      </c>
      <c r="O234" s="3" t="s">
        <v>21</v>
      </c>
      <c r="P234" t="str">
        <f t="shared" si="3"/>
        <v>450012199120</v>
      </c>
      <c r="Q234" s="9" cm="1">
        <f t="array" ref="Q234:S234">VLOOKUP(P234,Hoja1!C:F,{2,3,4},FALSE)</f>
        <v>46108</v>
      </c>
      <c r="R234" t="str">
        <v>C03</v>
      </c>
      <c r="S234" t="str">
        <v>1000008805 SAKURA MOTORS S. A.</v>
      </c>
    </row>
    <row r="235" spans="1:19" x14ac:dyDescent="0.3">
      <c r="A235" s="2" t="s">
        <v>14</v>
      </c>
      <c r="B235" s="3" t="s">
        <v>14</v>
      </c>
      <c r="C235" s="3" t="s">
        <v>175</v>
      </c>
      <c r="D235" s="3" t="s">
        <v>14</v>
      </c>
      <c r="E235" s="3" t="s">
        <v>107</v>
      </c>
      <c r="F235" s="4">
        <v>46099</v>
      </c>
      <c r="G235" s="3" t="s">
        <v>44</v>
      </c>
      <c r="H235" s="6">
        <v>-192570.72</v>
      </c>
      <c r="I235" s="3" t="s">
        <v>17</v>
      </c>
      <c r="J235" s="3" t="s">
        <v>14</v>
      </c>
      <c r="K235" s="3" t="s">
        <v>14</v>
      </c>
      <c r="L235" s="3" t="s">
        <v>176</v>
      </c>
      <c r="M235" s="4">
        <v>46099</v>
      </c>
      <c r="N235" s="3" t="s">
        <v>177</v>
      </c>
      <c r="O235" s="3" t="s">
        <v>22</v>
      </c>
      <c r="P235" t="str">
        <f t="shared" si="3"/>
        <v>450012199130</v>
      </c>
      <c r="Q235" s="9" cm="1">
        <f t="array" ref="Q235:S235">VLOOKUP(P235,Hoja1!C:F,{2,3,4},FALSE)</f>
        <v>46108</v>
      </c>
      <c r="R235" t="str">
        <v>C03</v>
      </c>
      <c r="S235" t="str">
        <v>1000008805 SAKURA MOTORS S. A.</v>
      </c>
    </row>
    <row r="236" spans="1:19" x14ac:dyDescent="0.3">
      <c r="A236" s="2" t="s">
        <v>14</v>
      </c>
      <c r="B236" s="3" t="s">
        <v>14</v>
      </c>
      <c r="C236" s="3" t="s">
        <v>175</v>
      </c>
      <c r="D236" s="3" t="s">
        <v>14</v>
      </c>
      <c r="E236" s="3" t="s">
        <v>107</v>
      </c>
      <c r="F236" s="4">
        <v>46099</v>
      </c>
      <c r="G236" s="3" t="s">
        <v>44</v>
      </c>
      <c r="H236" s="6">
        <v>-269976.39</v>
      </c>
      <c r="I236" s="3" t="s">
        <v>17</v>
      </c>
      <c r="J236" s="3" t="s">
        <v>14</v>
      </c>
      <c r="K236" s="3" t="s">
        <v>14</v>
      </c>
      <c r="L236" s="3" t="s">
        <v>176</v>
      </c>
      <c r="M236" s="4">
        <v>46099</v>
      </c>
      <c r="N236" s="3" t="s">
        <v>177</v>
      </c>
      <c r="O236" s="3" t="s">
        <v>26</v>
      </c>
      <c r="P236" t="str">
        <f t="shared" si="3"/>
        <v>450012199140</v>
      </c>
      <c r="Q236" s="9" cm="1">
        <f t="array" ref="Q236:S236">VLOOKUP(P236,Hoja1!C:F,{2,3,4},FALSE)</f>
        <v>46108</v>
      </c>
      <c r="R236" t="str">
        <v>C03</v>
      </c>
      <c r="S236" t="str">
        <v>1000008805 SAKURA MOTORS S. A.</v>
      </c>
    </row>
    <row r="237" spans="1:19" x14ac:dyDescent="0.3">
      <c r="A237" s="2" t="s">
        <v>14</v>
      </c>
      <c r="B237" s="3" t="s">
        <v>14</v>
      </c>
      <c r="C237" s="3" t="s">
        <v>175</v>
      </c>
      <c r="D237" s="3" t="s">
        <v>14</v>
      </c>
      <c r="E237" s="3" t="s">
        <v>107</v>
      </c>
      <c r="F237" s="4">
        <v>46099</v>
      </c>
      <c r="G237" s="3" t="s">
        <v>44</v>
      </c>
      <c r="H237" s="6">
        <v>-132006.49</v>
      </c>
      <c r="I237" s="3" t="s">
        <v>17</v>
      </c>
      <c r="J237" s="3" t="s">
        <v>14</v>
      </c>
      <c r="K237" s="3" t="s">
        <v>14</v>
      </c>
      <c r="L237" s="3" t="s">
        <v>176</v>
      </c>
      <c r="M237" s="4">
        <v>46099</v>
      </c>
      <c r="N237" s="3" t="s">
        <v>177</v>
      </c>
      <c r="O237" s="3" t="s">
        <v>23</v>
      </c>
      <c r="P237" t="str">
        <f t="shared" si="3"/>
        <v>450012199150</v>
      </c>
      <c r="Q237" s="9" cm="1">
        <f t="array" ref="Q237:S237">VLOOKUP(P237,Hoja1!C:F,{2,3,4},FALSE)</f>
        <v>46108</v>
      </c>
      <c r="R237" t="str">
        <v>C03</v>
      </c>
      <c r="S237" t="str">
        <v>1000008805 SAKURA MOTORS S. A.</v>
      </c>
    </row>
    <row r="238" spans="1:19" x14ac:dyDescent="0.3">
      <c r="A238" s="2" t="s">
        <v>14</v>
      </c>
      <c r="B238" s="3" t="s">
        <v>14</v>
      </c>
      <c r="C238" s="3" t="s">
        <v>175</v>
      </c>
      <c r="D238" s="3" t="s">
        <v>14</v>
      </c>
      <c r="E238" s="3" t="s">
        <v>107</v>
      </c>
      <c r="F238" s="4">
        <v>46099</v>
      </c>
      <c r="G238" s="3" t="s">
        <v>44</v>
      </c>
      <c r="H238" s="6">
        <v>-62435.34</v>
      </c>
      <c r="I238" s="3" t="s">
        <v>17</v>
      </c>
      <c r="J238" s="3" t="s">
        <v>14</v>
      </c>
      <c r="K238" s="3" t="s">
        <v>14</v>
      </c>
      <c r="L238" s="3" t="s">
        <v>176</v>
      </c>
      <c r="M238" s="4">
        <v>46099</v>
      </c>
      <c r="N238" s="3" t="s">
        <v>177</v>
      </c>
      <c r="O238" s="3" t="s">
        <v>24</v>
      </c>
      <c r="P238" t="str">
        <f t="shared" si="3"/>
        <v>450012199160</v>
      </c>
      <c r="Q238" s="9" cm="1">
        <f t="array" ref="Q238:S238">VLOOKUP(P238,Hoja1!C:F,{2,3,4},FALSE)</f>
        <v>46108</v>
      </c>
      <c r="R238" t="str">
        <v>C03</v>
      </c>
      <c r="S238" t="str">
        <v>1000008805 SAKURA MOTORS S. A.</v>
      </c>
    </row>
    <row r="239" spans="1:19" x14ac:dyDescent="0.3">
      <c r="A239" s="2" t="s">
        <v>14</v>
      </c>
      <c r="B239" s="3" t="s">
        <v>14</v>
      </c>
      <c r="C239" s="3" t="s">
        <v>178</v>
      </c>
      <c r="D239" s="3" t="s">
        <v>14</v>
      </c>
      <c r="E239" s="3" t="s">
        <v>107</v>
      </c>
      <c r="F239" s="4">
        <v>46105</v>
      </c>
      <c r="G239" s="3" t="s">
        <v>44</v>
      </c>
      <c r="H239" s="6">
        <v>-9382380</v>
      </c>
      <c r="I239" s="3" t="s">
        <v>17</v>
      </c>
      <c r="J239" s="3" t="s">
        <v>14</v>
      </c>
      <c r="K239" s="3" t="s">
        <v>14</v>
      </c>
      <c r="L239" s="3" t="s">
        <v>121</v>
      </c>
      <c r="M239" s="4">
        <v>46105</v>
      </c>
      <c r="N239" s="3" t="s">
        <v>152</v>
      </c>
      <c r="O239" s="3" t="s">
        <v>34</v>
      </c>
      <c r="P239" t="str">
        <f t="shared" si="3"/>
        <v>450012003810</v>
      </c>
      <c r="Q239" s="9" cm="1">
        <f t="array" ref="Q239:S239">VLOOKUP(P239,Hoja1!C:F,{2,3,4},FALSE)</f>
        <v>46203</v>
      </c>
      <c r="R239" t="str">
        <v>C21</v>
      </c>
      <c r="S239" t="str">
        <v>1000000634 RAIZEN ARGENTINA S.A.U.</v>
      </c>
    </row>
    <row r="240" spans="1:19" x14ac:dyDescent="0.3">
      <c r="A240" s="2" t="s">
        <v>14</v>
      </c>
      <c r="B240" s="3" t="s">
        <v>14</v>
      </c>
      <c r="C240" s="3" t="s">
        <v>178</v>
      </c>
      <c r="D240" s="3" t="s">
        <v>14</v>
      </c>
      <c r="E240" s="3" t="s">
        <v>107</v>
      </c>
      <c r="F240" s="4">
        <v>46105</v>
      </c>
      <c r="G240" s="3" t="s">
        <v>44</v>
      </c>
      <c r="H240" s="6">
        <v>-1069320</v>
      </c>
      <c r="I240" s="3" t="s">
        <v>17</v>
      </c>
      <c r="J240" s="3" t="s">
        <v>14</v>
      </c>
      <c r="K240" s="3" t="s">
        <v>14</v>
      </c>
      <c r="L240" s="3" t="s">
        <v>121</v>
      </c>
      <c r="M240" s="4">
        <v>46105</v>
      </c>
      <c r="N240" s="3" t="s">
        <v>152</v>
      </c>
      <c r="O240" s="3" t="s">
        <v>34</v>
      </c>
      <c r="P240" t="str">
        <f t="shared" si="3"/>
        <v>450012003810</v>
      </c>
      <c r="Q240" s="9" cm="1">
        <f t="array" ref="Q240:S240">VLOOKUP(P240,Hoja1!C:F,{2,3,4},FALSE)</f>
        <v>46203</v>
      </c>
      <c r="R240" t="str">
        <v>C21</v>
      </c>
      <c r="S240" t="str">
        <v>1000000634 RAIZEN ARGENTINA S.A.U.</v>
      </c>
    </row>
    <row r="241" spans="1:19" x14ac:dyDescent="0.3">
      <c r="A241" s="2" t="s">
        <v>14</v>
      </c>
      <c r="B241" s="3" t="s">
        <v>14</v>
      </c>
      <c r="C241" s="3" t="s">
        <v>179</v>
      </c>
      <c r="D241" s="3" t="s">
        <v>14</v>
      </c>
      <c r="E241" s="3" t="s">
        <v>107</v>
      </c>
      <c r="F241" s="4">
        <v>46102</v>
      </c>
      <c r="G241" s="3" t="s">
        <v>44</v>
      </c>
      <c r="H241" s="6">
        <v>-390950</v>
      </c>
      <c r="I241" s="3" t="s">
        <v>17</v>
      </c>
      <c r="J241" s="3" t="s">
        <v>14</v>
      </c>
      <c r="K241" s="3" t="s">
        <v>14</v>
      </c>
      <c r="L241" s="3" t="s">
        <v>108</v>
      </c>
      <c r="M241" s="4">
        <v>46106</v>
      </c>
      <c r="N241" s="3" t="s">
        <v>180</v>
      </c>
      <c r="O241" s="3" t="s">
        <v>34</v>
      </c>
      <c r="P241" t="str">
        <f t="shared" si="3"/>
        <v>450011911710</v>
      </c>
      <c r="Q241" s="9" cm="1">
        <f t="array" ref="Q241:S241">VLOOKUP(P241,Hoja1!C:F,{2,3,4},FALSE)</f>
        <v>46245</v>
      </c>
      <c r="R241" t="str">
        <v>C21</v>
      </c>
      <c r="S241" t="str">
        <v>1000001020 COMBUSTIBLES BARCELO S.R.L.</v>
      </c>
    </row>
    <row r="242" spans="1:19" x14ac:dyDescent="0.3">
      <c r="A242" s="2" t="s">
        <v>14</v>
      </c>
      <c r="B242" s="3" t="s">
        <v>14</v>
      </c>
      <c r="C242" s="3" t="s">
        <v>179</v>
      </c>
      <c r="D242" s="3" t="s">
        <v>14</v>
      </c>
      <c r="E242" s="3" t="s">
        <v>107</v>
      </c>
      <c r="F242" s="4">
        <v>46102</v>
      </c>
      <c r="G242" s="3" t="s">
        <v>44</v>
      </c>
      <c r="H242" s="6">
        <v>-44555</v>
      </c>
      <c r="I242" s="3" t="s">
        <v>17</v>
      </c>
      <c r="J242" s="3" t="s">
        <v>14</v>
      </c>
      <c r="K242" s="3" t="s">
        <v>14</v>
      </c>
      <c r="L242" s="3" t="s">
        <v>108</v>
      </c>
      <c r="M242" s="4">
        <v>46106</v>
      </c>
      <c r="N242" s="3" t="s">
        <v>180</v>
      </c>
      <c r="O242" s="3" t="s">
        <v>34</v>
      </c>
      <c r="P242" t="str">
        <f t="shared" si="3"/>
        <v>450011911710</v>
      </c>
      <c r="Q242" s="9" cm="1">
        <f t="array" ref="Q242:S242">VLOOKUP(P242,Hoja1!C:F,{2,3,4},FALSE)</f>
        <v>46245</v>
      </c>
      <c r="R242" t="str">
        <v>C21</v>
      </c>
      <c r="S242" t="str">
        <v>1000001020 COMBUSTIBLES BARCELO S.R.L.</v>
      </c>
    </row>
    <row r="243" spans="1:19" x14ac:dyDescent="0.3">
      <c r="A243" s="2" t="s">
        <v>14</v>
      </c>
      <c r="B243" s="3" t="s">
        <v>14</v>
      </c>
      <c r="C243" s="3" t="s">
        <v>181</v>
      </c>
      <c r="D243" s="3" t="s">
        <v>14</v>
      </c>
      <c r="E243" s="3" t="s">
        <v>107</v>
      </c>
      <c r="F243" s="4">
        <v>46107</v>
      </c>
      <c r="G243" s="3" t="s">
        <v>44</v>
      </c>
      <c r="H243" s="6">
        <v>-223.4</v>
      </c>
      <c r="I243" s="3" t="s">
        <v>17</v>
      </c>
      <c r="J243" s="3" t="s">
        <v>14</v>
      </c>
      <c r="K243" s="3" t="s">
        <v>14</v>
      </c>
      <c r="L243" s="3" t="s">
        <v>108</v>
      </c>
      <c r="M243" s="4">
        <v>46107</v>
      </c>
      <c r="N243" s="3" t="s">
        <v>182</v>
      </c>
      <c r="O243" s="3" t="s">
        <v>34</v>
      </c>
      <c r="P243" t="str">
        <f t="shared" si="3"/>
        <v>450012338910</v>
      </c>
      <c r="Q243" s="9" cm="1">
        <f t="array" ref="Q243:S243">VLOOKUP(P243,Hoja1!C:F,{2,3,4},FALSE)</f>
        <v>46184</v>
      </c>
      <c r="R243" t="str">
        <v>C21</v>
      </c>
      <c r="S243" t="str">
        <v>1000001020 COMBUSTIBLES BARCELO S.R.L.</v>
      </c>
    </row>
    <row r="244" spans="1:19" x14ac:dyDescent="0.3">
      <c r="A244" s="2" t="s">
        <v>14</v>
      </c>
      <c r="B244" s="3" t="s">
        <v>14</v>
      </c>
      <c r="C244" s="3" t="s">
        <v>181</v>
      </c>
      <c r="D244" s="3" t="s">
        <v>14</v>
      </c>
      <c r="E244" s="3" t="s">
        <v>107</v>
      </c>
      <c r="F244" s="4">
        <v>46107</v>
      </c>
      <c r="G244" s="3" t="s">
        <v>44</v>
      </c>
      <c r="H244" s="6">
        <v>-25.46</v>
      </c>
      <c r="I244" s="3" t="s">
        <v>17</v>
      </c>
      <c r="J244" s="3" t="s">
        <v>14</v>
      </c>
      <c r="K244" s="3" t="s">
        <v>14</v>
      </c>
      <c r="L244" s="3" t="s">
        <v>108</v>
      </c>
      <c r="M244" s="4">
        <v>46107</v>
      </c>
      <c r="N244" s="3" t="s">
        <v>182</v>
      </c>
      <c r="O244" s="3" t="s">
        <v>34</v>
      </c>
      <c r="P244" t="str">
        <f t="shared" si="3"/>
        <v>450012338910</v>
      </c>
      <c r="Q244" s="9" cm="1">
        <f t="array" ref="Q244:S244">VLOOKUP(P244,Hoja1!C:F,{2,3,4},FALSE)</f>
        <v>46184</v>
      </c>
      <c r="R244" t="str">
        <v>C21</v>
      </c>
      <c r="S244" t="str">
        <v>1000001020 COMBUSTIBLES BARCELO S.R.L.</v>
      </c>
    </row>
    <row r="245" spans="1:19" x14ac:dyDescent="0.3">
      <c r="A245" s="2" t="s">
        <v>14</v>
      </c>
      <c r="B245" s="3" t="s">
        <v>14</v>
      </c>
      <c r="C245" s="3" t="s">
        <v>183</v>
      </c>
      <c r="D245" s="3" t="s">
        <v>14</v>
      </c>
      <c r="E245" s="3" t="s">
        <v>107</v>
      </c>
      <c r="F245" s="4">
        <v>46108</v>
      </c>
      <c r="G245" s="3" t="s">
        <v>44</v>
      </c>
      <c r="H245" s="6">
        <v>-9382380</v>
      </c>
      <c r="I245" s="3" t="s">
        <v>17</v>
      </c>
      <c r="J245" s="3" t="s">
        <v>14</v>
      </c>
      <c r="K245" s="3" t="s">
        <v>14</v>
      </c>
      <c r="L245" s="3" t="s">
        <v>121</v>
      </c>
      <c r="M245" s="4">
        <v>46108</v>
      </c>
      <c r="N245" s="3" t="s">
        <v>152</v>
      </c>
      <c r="O245" s="3" t="s">
        <v>34</v>
      </c>
      <c r="P245" t="str">
        <f t="shared" si="3"/>
        <v>450012003810</v>
      </c>
      <c r="Q245" s="9" cm="1">
        <f t="array" ref="Q245:S245">VLOOKUP(P245,Hoja1!C:F,{2,3,4},FALSE)</f>
        <v>46203</v>
      </c>
      <c r="R245" t="str">
        <v>C21</v>
      </c>
      <c r="S245" t="str">
        <v>1000000634 RAIZEN ARGENTINA S.A.U.</v>
      </c>
    </row>
    <row r="246" spans="1:19" x14ac:dyDescent="0.3">
      <c r="A246" s="2" t="s">
        <v>14</v>
      </c>
      <c r="B246" s="3" t="s">
        <v>14</v>
      </c>
      <c r="C246" s="3" t="s">
        <v>183</v>
      </c>
      <c r="D246" s="3" t="s">
        <v>14</v>
      </c>
      <c r="E246" s="3" t="s">
        <v>107</v>
      </c>
      <c r="F246" s="4">
        <v>46108</v>
      </c>
      <c r="G246" s="3" t="s">
        <v>44</v>
      </c>
      <c r="H246" s="6">
        <v>-1069320</v>
      </c>
      <c r="I246" s="3" t="s">
        <v>17</v>
      </c>
      <c r="J246" s="3" t="s">
        <v>14</v>
      </c>
      <c r="K246" s="3" t="s">
        <v>14</v>
      </c>
      <c r="L246" s="3" t="s">
        <v>121</v>
      </c>
      <c r="M246" s="4">
        <v>46108</v>
      </c>
      <c r="N246" s="3" t="s">
        <v>152</v>
      </c>
      <c r="O246" s="3" t="s">
        <v>34</v>
      </c>
      <c r="P246" t="str">
        <f t="shared" si="3"/>
        <v>450012003810</v>
      </c>
      <c r="Q246" s="9" cm="1">
        <f t="array" ref="Q246:S246">VLOOKUP(P246,Hoja1!C:F,{2,3,4},FALSE)</f>
        <v>46203</v>
      </c>
      <c r="R246" t="str">
        <v>C21</v>
      </c>
      <c r="S246" t="str">
        <v>1000000634 RAIZEN ARGENTINA S.A.U.</v>
      </c>
    </row>
    <row r="247" spans="1:19" x14ac:dyDescent="0.3">
      <c r="A247" s="2" t="s">
        <v>14</v>
      </c>
      <c r="B247" s="3" t="s">
        <v>14</v>
      </c>
      <c r="C247" s="3" t="s">
        <v>184</v>
      </c>
      <c r="D247" s="3" t="s">
        <v>14</v>
      </c>
      <c r="E247" s="3" t="s">
        <v>107</v>
      </c>
      <c r="F247" s="4">
        <v>46108</v>
      </c>
      <c r="G247" s="3" t="s">
        <v>44</v>
      </c>
      <c r="H247" s="6">
        <v>-420000</v>
      </c>
      <c r="I247" s="3" t="s">
        <v>17</v>
      </c>
      <c r="J247" s="3" t="s">
        <v>14</v>
      </c>
      <c r="K247" s="3" t="s">
        <v>14</v>
      </c>
      <c r="L247" s="3" t="s">
        <v>185</v>
      </c>
      <c r="M247" s="4">
        <v>46108</v>
      </c>
      <c r="N247" s="3" t="s">
        <v>186</v>
      </c>
      <c r="O247" s="3" t="s">
        <v>34</v>
      </c>
      <c r="P247" t="str">
        <f t="shared" si="3"/>
        <v>450011868210</v>
      </c>
      <c r="Q247" s="9" cm="1">
        <f t="array" ref="Q247:S247">VLOOKUP(P247,Hoja1!C:F,{2,3,4},FALSE)</f>
        <v>46108</v>
      </c>
      <c r="R247" t="str">
        <v>C04</v>
      </c>
      <c r="S247" t="str">
        <v>1000012459 GIMENEZ JUAN OMAR</v>
      </c>
    </row>
    <row r="248" spans="1:19" x14ac:dyDescent="0.3">
      <c r="A248" s="2" t="s">
        <v>14</v>
      </c>
      <c r="B248" s="3" t="s">
        <v>14</v>
      </c>
      <c r="C248" s="3" t="s">
        <v>187</v>
      </c>
      <c r="D248" s="3" t="s">
        <v>36</v>
      </c>
      <c r="E248" s="3" t="s">
        <v>107</v>
      </c>
      <c r="F248" s="4">
        <v>46110</v>
      </c>
      <c r="G248" s="3" t="s">
        <v>44</v>
      </c>
      <c r="H248" s="6">
        <v>-161208.04</v>
      </c>
      <c r="I248" s="3" t="s">
        <v>17</v>
      </c>
      <c r="J248" s="3" t="s">
        <v>14</v>
      </c>
      <c r="K248" s="3" t="s">
        <v>14</v>
      </c>
      <c r="L248" s="3" t="s">
        <v>155</v>
      </c>
      <c r="M248" s="4">
        <v>46110</v>
      </c>
      <c r="N248" s="3" t="s">
        <v>156</v>
      </c>
      <c r="O248" s="3" t="s">
        <v>21</v>
      </c>
      <c r="P248" t="str">
        <f t="shared" si="3"/>
        <v>450011860420</v>
      </c>
      <c r="Q248" s="9" cm="1">
        <f t="array" ref="Q248:S248">VLOOKUP(P248,Hoja1!C:F,{2,3,4},FALSE)</f>
        <v>46173</v>
      </c>
      <c r="R248" t="str">
        <v>C07</v>
      </c>
      <c r="S248" t="str">
        <v>1000012671 STYLUS S.A</v>
      </c>
    </row>
    <row r="249" spans="1:19" x14ac:dyDescent="0.3">
      <c r="A249" s="2" t="s">
        <v>14</v>
      </c>
      <c r="B249" s="3" t="s">
        <v>14</v>
      </c>
      <c r="C249" s="3" t="s">
        <v>188</v>
      </c>
      <c r="D249" s="3" t="s">
        <v>14</v>
      </c>
      <c r="E249" s="3" t="s">
        <v>107</v>
      </c>
      <c r="F249" s="4">
        <v>46111</v>
      </c>
      <c r="G249" s="3" t="s">
        <v>44</v>
      </c>
      <c r="H249" s="6">
        <v>-9382380</v>
      </c>
      <c r="I249" s="3" t="s">
        <v>17</v>
      </c>
      <c r="J249" s="3" t="s">
        <v>14</v>
      </c>
      <c r="K249" s="3" t="s">
        <v>14</v>
      </c>
      <c r="L249" s="3" t="s">
        <v>121</v>
      </c>
      <c r="M249" s="4">
        <v>46111</v>
      </c>
      <c r="N249" s="3" t="s">
        <v>152</v>
      </c>
      <c r="O249" s="3" t="s">
        <v>34</v>
      </c>
      <c r="P249" t="str">
        <f t="shared" si="3"/>
        <v>450012003810</v>
      </c>
      <c r="Q249" s="9" cm="1">
        <f t="array" ref="Q249:S249">VLOOKUP(P249,Hoja1!C:F,{2,3,4},FALSE)</f>
        <v>46203</v>
      </c>
      <c r="R249" t="str">
        <v>C21</v>
      </c>
      <c r="S249" t="str">
        <v>1000000634 RAIZEN ARGENTINA S.A.U.</v>
      </c>
    </row>
    <row r="250" spans="1:19" x14ac:dyDescent="0.3">
      <c r="A250" s="2" t="s">
        <v>14</v>
      </c>
      <c r="B250" s="3" t="s">
        <v>14</v>
      </c>
      <c r="C250" s="3" t="s">
        <v>188</v>
      </c>
      <c r="D250" s="3" t="s">
        <v>14</v>
      </c>
      <c r="E250" s="3" t="s">
        <v>107</v>
      </c>
      <c r="F250" s="4">
        <v>46111</v>
      </c>
      <c r="G250" s="3" t="s">
        <v>44</v>
      </c>
      <c r="H250" s="6">
        <v>-1069320</v>
      </c>
      <c r="I250" s="3" t="s">
        <v>17</v>
      </c>
      <c r="J250" s="3" t="s">
        <v>14</v>
      </c>
      <c r="K250" s="3" t="s">
        <v>14</v>
      </c>
      <c r="L250" s="3" t="s">
        <v>121</v>
      </c>
      <c r="M250" s="4">
        <v>46111</v>
      </c>
      <c r="N250" s="3" t="s">
        <v>152</v>
      </c>
      <c r="O250" s="3" t="s">
        <v>34</v>
      </c>
      <c r="P250" t="str">
        <f t="shared" si="3"/>
        <v>450012003810</v>
      </c>
      <c r="Q250" s="9" cm="1">
        <f t="array" ref="Q250:S250">VLOOKUP(P250,Hoja1!C:F,{2,3,4},FALSE)</f>
        <v>46203</v>
      </c>
      <c r="R250" t="str">
        <v>C21</v>
      </c>
      <c r="S250" t="str">
        <v>1000000634 RAIZEN ARGENTINA S.A.U.</v>
      </c>
    </row>
    <row r="251" spans="1:19" x14ac:dyDescent="0.3">
      <c r="A251" s="2" t="s">
        <v>14</v>
      </c>
      <c r="B251" s="3" t="s">
        <v>14</v>
      </c>
      <c r="C251" s="3" t="s">
        <v>189</v>
      </c>
      <c r="D251" s="3" t="s">
        <v>14</v>
      </c>
      <c r="E251" s="3" t="s">
        <v>107</v>
      </c>
      <c r="F251" s="4">
        <v>46114</v>
      </c>
      <c r="G251" s="3" t="s">
        <v>44</v>
      </c>
      <c r="H251" s="6">
        <v>-9382380</v>
      </c>
      <c r="I251" s="3" t="s">
        <v>17</v>
      </c>
      <c r="J251" s="3" t="s">
        <v>14</v>
      </c>
      <c r="K251" s="3" t="s">
        <v>14</v>
      </c>
      <c r="L251" s="3" t="s">
        <v>121</v>
      </c>
      <c r="M251" s="4">
        <v>46114</v>
      </c>
      <c r="N251" s="3" t="s">
        <v>152</v>
      </c>
      <c r="O251" s="3" t="s">
        <v>34</v>
      </c>
      <c r="P251" t="str">
        <f t="shared" si="3"/>
        <v>450012003810</v>
      </c>
      <c r="Q251" s="9" cm="1">
        <f t="array" ref="Q251:S251">VLOOKUP(P251,Hoja1!C:F,{2,3,4},FALSE)</f>
        <v>46203</v>
      </c>
      <c r="R251" t="str">
        <v>C21</v>
      </c>
      <c r="S251" t="str">
        <v>1000000634 RAIZEN ARGENTINA S.A.U.</v>
      </c>
    </row>
    <row r="252" spans="1:19" x14ac:dyDescent="0.3">
      <c r="A252" s="2" t="s">
        <v>14</v>
      </c>
      <c r="B252" s="3" t="s">
        <v>14</v>
      </c>
      <c r="C252" s="3" t="s">
        <v>189</v>
      </c>
      <c r="D252" s="3" t="s">
        <v>14</v>
      </c>
      <c r="E252" s="3" t="s">
        <v>107</v>
      </c>
      <c r="F252" s="4">
        <v>46114</v>
      </c>
      <c r="G252" s="3" t="s">
        <v>44</v>
      </c>
      <c r="H252" s="6">
        <v>-1069320</v>
      </c>
      <c r="I252" s="3" t="s">
        <v>17</v>
      </c>
      <c r="J252" s="3" t="s">
        <v>14</v>
      </c>
      <c r="K252" s="3" t="s">
        <v>14</v>
      </c>
      <c r="L252" s="3" t="s">
        <v>121</v>
      </c>
      <c r="M252" s="4">
        <v>46114</v>
      </c>
      <c r="N252" s="3" t="s">
        <v>152</v>
      </c>
      <c r="O252" s="3" t="s">
        <v>34</v>
      </c>
      <c r="P252" t="str">
        <f t="shared" si="3"/>
        <v>450012003810</v>
      </c>
      <c r="Q252" s="9" cm="1">
        <f t="array" ref="Q252:S252">VLOOKUP(P252,Hoja1!C:F,{2,3,4},FALSE)</f>
        <v>46203</v>
      </c>
      <c r="R252" t="str">
        <v>C21</v>
      </c>
      <c r="S252" t="str">
        <v>1000000634 RAIZEN ARGENTINA S.A.U.</v>
      </c>
    </row>
    <row r="253" spans="1:19" x14ac:dyDescent="0.3">
      <c r="A253" s="2" t="s">
        <v>14</v>
      </c>
      <c r="B253" s="3" t="s">
        <v>14</v>
      </c>
      <c r="C253" s="3" t="s">
        <v>190</v>
      </c>
      <c r="D253" s="3" t="s">
        <v>14</v>
      </c>
      <c r="E253" s="3" t="s">
        <v>107</v>
      </c>
      <c r="F253" s="4">
        <v>46120</v>
      </c>
      <c r="G253" s="3" t="s">
        <v>44</v>
      </c>
      <c r="H253" s="6">
        <v>-536160</v>
      </c>
      <c r="I253" s="3" t="s">
        <v>17</v>
      </c>
      <c r="J253" s="3" t="s">
        <v>14</v>
      </c>
      <c r="K253" s="3" t="s">
        <v>14</v>
      </c>
      <c r="L253" s="3" t="s">
        <v>108</v>
      </c>
      <c r="M253" s="4">
        <v>46120</v>
      </c>
      <c r="N253" s="3" t="s">
        <v>180</v>
      </c>
      <c r="O253" s="3" t="s">
        <v>34</v>
      </c>
      <c r="P253" t="str">
        <f t="shared" si="3"/>
        <v>450011911710</v>
      </c>
      <c r="Q253" s="9" cm="1">
        <f t="array" ref="Q253:S253">VLOOKUP(P253,Hoja1!C:F,{2,3,4},FALSE)</f>
        <v>46245</v>
      </c>
      <c r="R253" t="str">
        <v>C21</v>
      </c>
      <c r="S253" t="str">
        <v>1000001020 COMBUSTIBLES BARCELO S.R.L.</v>
      </c>
    </row>
    <row r="254" spans="1:19" x14ac:dyDescent="0.3">
      <c r="A254" s="2" t="s">
        <v>14</v>
      </c>
      <c r="B254" s="3" t="s">
        <v>14</v>
      </c>
      <c r="C254" s="3" t="s">
        <v>190</v>
      </c>
      <c r="D254" s="3" t="s">
        <v>14</v>
      </c>
      <c r="E254" s="3" t="s">
        <v>107</v>
      </c>
      <c r="F254" s="4">
        <v>46120</v>
      </c>
      <c r="G254" s="3" t="s">
        <v>44</v>
      </c>
      <c r="H254" s="6">
        <v>-61104</v>
      </c>
      <c r="I254" s="3" t="s">
        <v>17</v>
      </c>
      <c r="J254" s="3" t="s">
        <v>14</v>
      </c>
      <c r="K254" s="3" t="s">
        <v>14</v>
      </c>
      <c r="L254" s="3" t="s">
        <v>108</v>
      </c>
      <c r="M254" s="4">
        <v>46120</v>
      </c>
      <c r="N254" s="3" t="s">
        <v>180</v>
      </c>
      <c r="O254" s="3" t="s">
        <v>34</v>
      </c>
      <c r="P254" t="str">
        <f t="shared" si="3"/>
        <v>450011911710</v>
      </c>
      <c r="Q254" s="9" cm="1">
        <f t="array" ref="Q254:S254">VLOOKUP(P254,Hoja1!C:F,{2,3,4},FALSE)</f>
        <v>46245</v>
      </c>
      <c r="R254" t="str">
        <v>C21</v>
      </c>
      <c r="S254" t="str">
        <v>1000001020 COMBUSTIBLES BARCELO S.R.L.</v>
      </c>
    </row>
    <row r="255" spans="1:19" x14ac:dyDescent="0.3">
      <c r="A255" s="2" t="s">
        <v>14</v>
      </c>
      <c r="B255" s="3" t="s">
        <v>14</v>
      </c>
      <c r="C255" s="3" t="s">
        <v>191</v>
      </c>
      <c r="D255" s="3" t="s">
        <v>14</v>
      </c>
      <c r="E255" s="3" t="s">
        <v>107</v>
      </c>
      <c r="F255" s="4">
        <v>46120</v>
      </c>
      <c r="G255" s="3" t="s">
        <v>44</v>
      </c>
      <c r="H255" s="6">
        <v>-4439.43</v>
      </c>
      <c r="I255" s="3" t="s">
        <v>17</v>
      </c>
      <c r="J255" s="3" t="s">
        <v>14</v>
      </c>
      <c r="K255" s="3" t="s">
        <v>14</v>
      </c>
      <c r="L255" s="3" t="s">
        <v>163</v>
      </c>
      <c r="M255" s="4">
        <v>46121</v>
      </c>
      <c r="N255" s="3" t="s">
        <v>192</v>
      </c>
      <c r="O255" s="3" t="s">
        <v>193</v>
      </c>
      <c r="P255" t="str">
        <f t="shared" si="3"/>
        <v>4500122735110</v>
      </c>
      <c r="Q255" s="9" cm="1">
        <f t="array" ref="Q255:S255">VLOOKUP(P255,Hoja1!C:F,{2,3,4},FALSE)</f>
        <v>46108</v>
      </c>
      <c r="R255" t="str">
        <v>C03</v>
      </c>
      <c r="S255" t="str">
        <v>1000000062 FINNING ARGENTINA S.A.</v>
      </c>
    </row>
    <row r="256" spans="1:19" x14ac:dyDescent="0.3">
      <c r="A256" s="2" t="s">
        <v>14</v>
      </c>
      <c r="B256" s="3" t="s">
        <v>14</v>
      </c>
      <c r="C256" s="3" t="s">
        <v>194</v>
      </c>
      <c r="D256" s="3" t="s">
        <v>14</v>
      </c>
      <c r="E256" s="3" t="s">
        <v>107</v>
      </c>
      <c r="F256" s="4">
        <v>46121</v>
      </c>
      <c r="G256" s="3" t="s">
        <v>44</v>
      </c>
      <c r="H256" s="6">
        <v>-726075</v>
      </c>
      <c r="I256" s="3" t="s">
        <v>17</v>
      </c>
      <c r="J256" s="3" t="s">
        <v>14</v>
      </c>
      <c r="K256" s="3" t="s">
        <v>14</v>
      </c>
      <c r="L256" s="3" t="s">
        <v>159</v>
      </c>
      <c r="M256" s="4">
        <v>46121</v>
      </c>
      <c r="N256" s="3" t="s">
        <v>195</v>
      </c>
      <c r="O256" s="3" t="s">
        <v>22</v>
      </c>
      <c r="P256" t="str">
        <f t="shared" si="3"/>
        <v>450012444930</v>
      </c>
      <c r="Q256" s="9" cm="1">
        <f t="array" ref="Q256:S256">VLOOKUP(P256,Hoja1!C:F,{2,3,4},FALSE)</f>
        <v>46127</v>
      </c>
      <c r="R256" t="str">
        <v>EFO</v>
      </c>
      <c r="S256" t="str">
        <v>1000010438 TURBOS T&amp;T S.R.L</v>
      </c>
    </row>
    <row r="257" spans="1:19" x14ac:dyDescent="0.3">
      <c r="A257" s="2" t="s">
        <v>14</v>
      </c>
      <c r="B257" s="3" t="s">
        <v>14</v>
      </c>
      <c r="C257" s="3" t="s">
        <v>196</v>
      </c>
      <c r="D257" s="3" t="s">
        <v>14</v>
      </c>
      <c r="E257" s="3" t="s">
        <v>107</v>
      </c>
      <c r="F257" s="4">
        <v>46121</v>
      </c>
      <c r="G257" s="3" t="s">
        <v>44</v>
      </c>
      <c r="H257" s="6">
        <v>-9382380</v>
      </c>
      <c r="I257" s="3" t="s">
        <v>17</v>
      </c>
      <c r="J257" s="3" t="s">
        <v>14</v>
      </c>
      <c r="K257" s="3" t="s">
        <v>14</v>
      </c>
      <c r="L257" s="3" t="s">
        <v>121</v>
      </c>
      <c r="M257" s="4">
        <v>46121</v>
      </c>
      <c r="N257" s="3" t="s">
        <v>152</v>
      </c>
      <c r="O257" s="3" t="s">
        <v>34</v>
      </c>
      <c r="P257" t="str">
        <f t="shared" si="3"/>
        <v>450012003810</v>
      </c>
      <c r="Q257" s="9" cm="1">
        <f t="array" ref="Q257:S257">VLOOKUP(P257,Hoja1!C:F,{2,3,4},FALSE)</f>
        <v>46203</v>
      </c>
      <c r="R257" t="str">
        <v>C21</v>
      </c>
      <c r="S257" t="str">
        <v>1000000634 RAIZEN ARGENTINA S.A.U.</v>
      </c>
    </row>
    <row r="258" spans="1:19" x14ac:dyDescent="0.3">
      <c r="A258" s="2" t="s">
        <v>14</v>
      </c>
      <c r="B258" s="3" t="s">
        <v>14</v>
      </c>
      <c r="C258" s="3" t="s">
        <v>196</v>
      </c>
      <c r="D258" s="3" t="s">
        <v>14</v>
      </c>
      <c r="E258" s="3" t="s">
        <v>107</v>
      </c>
      <c r="F258" s="4">
        <v>46121</v>
      </c>
      <c r="G258" s="3" t="s">
        <v>44</v>
      </c>
      <c r="H258" s="6">
        <v>-1069320</v>
      </c>
      <c r="I258" s="3" t="s">
        <v>17</v>
      </c>
      <c r="J258" s="3" t="s">
        <v>14</v>
      </c>
      <c r="K258" s="3" t="s">
        <v>14</v>
      </c>
      <c r="L258" s="3" t="s">
        <v>121</v>
      </c>
      <c r="M258" s="4">
        <v>46121</v>
      </c>
      <c r="N258" s="3" t="s">
        <v>152</v>
      </c>
      <c r="O258" s="3" t="s">
        <v>34</v>
      </c>
      <c r="P258" t="str">
        <f t="shared" si="3"/>
        <v>450012003810</v>
      </c>
      <c r="Q258" s="9" cm="1">
        <f t="array" ref="Q258:S258">VLOOKUP(P258,Hoja1!C:F,{2,3,4},FALSE)</f>
        <v>46203</v>
      </c>
      <c r="R258" t="str">
        <v>C21</v>
      </c>
      <c r="S258" t="str">
        <v>1000000634 RAIZEN ARGENTINA S.A.U.</v>
      </c>
    </row>
    <row r="259" spans="1:19" x14ac:dyDescent="0.3">
      <c r="A259" s="2" t="s">
        <v>14</v>
      </c>
      <c r="B259" s="3" t="s">
        <v>14</v>
      </c>
      <c r="C259" s="3" t="s">
        <v>197</v>
      </c>
      <c r="D259" s="3" t="s">
        <v>14</v>
      </c>
      <c r="E259" s="3" t="s">
        <v>107</v>
      </c>
      <c r="F259" s="4">
        <v>46121</v>
      </c>
      <c r="G259" s="3" t="s">
        <v>44</v>
      </c>
      <c r="H259" s="6">
        <v>-223.4</v>
      </c>
      <c r="I259" s="3" t="s">
        <v>17</v>
      </c>
      <c r="J259" s="3" t="s">
        <v>14</v>
      </c>
      <c r="K259" s="3" t="s">
        <v>14</v>
      </c>
      <c r="L259" s="3" t="s">
        <v>108</v>
      </c>
      <c r="M259" s="4">
        <v>46121</v>
      </c>
      <c r="N259" s="3" t="s">
        <v>198</v>
      </c>
      <c r="O259" s="3" t="s">
        <v>34</v>
      </c>
      <c r="P259" t="str">
        <f t="shared" ref="P259:P322" si="4">_xlfn.CONCAT(N259:O259)</f>
        <v>450012461310</v>
      </c>
      <c r="Q259" s="9" cm="1">
        <f t="array" ref="Q259:S259">VLOOKUP(P259,Hoja1!C:F,{2,3,4},FALSE)</f>
        <v>46184</v>
      </c>
      <c r="R259" t="str">
        <v>C21</v>
      </c>
      <c r="S259" t="str">
        <v>1000001020 COMBUSTIBLES BARCELO S.R.L.</v>
      </c>
    </row>
    <row r="260" spans="1:19" x14ac:dyDescent="0.3">
      <c r="A260" s="2" t="s">
        <v>14</v>
      </c>
      <c r="B260" s="3" t="s">
        <v>14</v>
      </c>
      <c r="C260" s="3" t="s">
        <v>197</v>
      </c>
      <c r="D260" s="3" t="s">
        <v>14</v>
      </c>
      <c r="E260" s="3" t="s">
        <v>107</v>
      </c>
      <c r="F260" s="4">
        <v>46121</v>
      </c>
      <c r="G260" s="3" t="s">
        <v>44</v>
      </c>
      <c r="H260" s="6">
        <v>-25.46</v>
      </c>
      <c r="I260" s="3" t="s">
        <v>17</v>
      </c>
      <c r="J260" s="3" t="s">
        <v>14</v>
      </c>
      <c r="K260" s="3" t="s">
        <v>14</v>
      </c>
      <c r="L260" s="3" t="s">
        <v>108</v>
      </c>
      <c r="M260" s="4">
        <v>46121</v>
      </c>
      <c r="N260" s="3" t="s">
        <v>198</v>
      </c>
      <c r="O260" s="3" t="s">
        <v>34</v>
      </c>
      <c r="P260" t="str">
        <f t="shared" si="4"/>
        <v>450012461310</v>
      </c>
      <c r="Q260" s="9" cm="1">
        <f t="array" ref="Q260:S260">VLOOKUP(P260,Hoja1!C:F,{2,3,4},FALSE)</f>
        <v>46184</v>
      </c>
      <c r="R260" t="str">
        <v>C21</v>
      </c>
      <c r="S260" t="str">
        <v>1000001020 COMBUSTIBLES BARCELO S.R.L.</v>
      </c>
    </row>
    <row r="261" spans="1:19" x14ac:dyDescent="0.3">
      <c r="A261" s="2" t="s">
        <v>14</v>
      </c>
      <c r="B261" s="3" t="s">
        <v>14</v>
      </c>
      <c r="C261" s="3" t="s">
        <v>199</v>
      </c>
      <c r="D261" s="3" t="s">
        <v>14</v>
      </c>
      <c r="E261" s="3" t="s">
        <v>107</v>
      </c>
      <c r="F261" s="4">
        <v>46122</v>
      </c>
      <c r="G261" s="3" t="s">
        <v>44</v>
      </c>
      <c r="H261" s="6">
        <v>-9382380</v>
      </c>
      <c r="I261" s="3" t="s">
        <v>17</v>
      </c>
      <c r="J261" s="3" t="s">
        <v>14</v>
      </c>
      <c r="K261" s="3" t="s">
        <v>14</v>
      </c>
      <c r="L261" s="3" t="s">
        <v>121</v>
      </c>
      <c r="M261" s="4">
        <v>46122</v>
      </c>
      <c r="N261" s="3" t="s">
        <v>152</v>
      </c>
      <c r="O261" s="3" t="s">
        <v>34</v>
      </c>
      <c r="P261" t="str">
        <f t="shared" si="4"/>
        <v>450012003810</v>
      </c>
      <c r="Q261" s="9" cm="1">
        <f t="array" ref="Q261:S261">VLOOKUP(P261,Hoja1!C:F,{2,3,4},FALSE)</f>
        <v>46203</v>
      </c>
      <c r="R261" t="str">
        <v>C21</v>
      </c>
      <c r="S261" t="str">
        <v>1000000634 RAIZEN ARGENTINA S.A.U.</v>
      </c>
    </row>
    <row r="262" spans="1:19" x14ac:dyDescent="0.3">
      <c r="A262" s="2" t="s">
        <v>14</v>
      </c>
      <c r="B262" s="3" t="s">
        <v>14</v>
      </c>
      <c r="C262" s="3" t="s">
        <v>199</v>
      </c>
      <c r="D262" s="3" t="s">
        <v>14</v>
      </c>
      <c r="E262" s="3" t="s">
        <v>107</v>
      </c>
      <c r="F262" s="4">
        <v>46122</v>
      </c>
      <c r="G262" s="3" t="s">
        <v>44</v>
      </c>
      <c r="H262" s="6">
        <v>-1069320</v>
      </c>
      <c r="I262" s="3" t="s">
        <v>17</v>
      </c>
      <c r="J262" s="3" t="s">
        <v>14</v>
      </c>
      <c r="K262" s="3" t="s">
        <v>14</v>
      </c>
      <c r="L262" s="3" t="s">
        <v>121</v>
      </c>
      <c r="M262" s="4">
        <v>46122</v>
      </c>
      <c r="N262" s="3" t="s">
        <v>152</v>
      </c>
      <c r="O262" s="3" t="s">
        <v>34</v>
      </c>
      <c r="P262" t="str">
        <f t="shared" si="4"/>
        <v>450012003810</v>
      </c>
      <c r="Q262" s="9" cm="1">
        <f t="array" ref="Q262:S262">VLOOKUP(P262,Hoja1!C:F,{2,3,4},FALSE)</f>
        <v>46203</v>
      </c>
      <c r="R262" t="str">
        <v>C21</v>
      </c>
      <c r="S262" t="str">
        <v>1000000634 RAIZEN ARGENTINA S.A.U.</v>
      </c>
    </row>
    <row r="263" spans="1:19" x14ac:dyDescent="0.3">
      <c r="A263" s="2" t="s">
        <v>14</v>
      </c>
      <c r="B263" s="3" t="s">
        <v>14</v>
      </c>
      <c r="C263" s="3" t="s">
        <v>200</v>
      </c>
      <c r="D263" s="3" t="s">
        <v>14</v>
      </c>
      <c r="E263" s="3" t="s">
        <v>107</v>
      </c>
      <c r="F263" s="4">
        <v>46127</v>
      </c>
      <c r="G263" s="3" t="s">
        <v>44</v>
      </c>
      <c r="H263" s="6">
        <v>-9382380</v>
      </c>
      <c r="I263" s="3" t="s">
        <v>17</v>
      </c>
      <c r="J263" s="3" t="s">
        <v>14</v>
      </c>
      <c r="K263" s="3" t="s">
        <v>14</v>
      </c>
      <c r="L263" s="3" t="s">
        <v>121</v>
      </c>
      <c r="M263" s="4">
        <v>46127</v>
      </c>
      <c r="N263" s="3" t="s">
        <v>152</v>
      </c>
      <c r="O263" s="3" t="s">
        <v>34</v>
      </c>
      <c r="P263" t="str">
        <f t="shared" si="4"/>
        <v>450012003810</v>
      </c>
      <c r="Q263" s="9" cm="1">
        <f t="array" ref="Q263:S263">VLOOKUP(P263,Hoja1!C:F,{2,3,4},FALSE)</f>
        <v>46203</v>
      </c>
      <c r="R263" t="str">
        <v>C21</v>
      </c>
      <c r="S263" t="str">
        <v>1000000634 RAIZEN ARGENTINA S.A.U.</v>
      </c>
    </row>
    <row r="264" spans="1:19" x14ac:dyDescent="0.3">
      <c r="A264" s="2" t="s">
        <v>14</v>
      </c>
      <c r="B264" s="3" t="s">
        <v>14</v>
      </c>
      <c r="C264" s="3" t="s">
        <v>200</v>
      </c>
      <c r="D264" s="3" t="s">
        <v>14</v>
      </c>
      <c r="E264" s="3" t="s">
        <v>107</v>
      </c>
      <c r="F264" s="4">
        <v>46127</v>
      </c>
      <c r="G264" s="3" t="s">
        <v>44</v>
      </c>
      <c r="H264" s="6">
        <v>-1069320</v>
      </c>
      <c r="I264" s="3" t="s">
        <v>17</v>
      </c>
      <c r="J264" s="3" t="s">
        <v>14</v>
      </c>
      <c r="K264" s="3" t="s">
        <v>14</v>
      </c>
      <c r="L264" s="3" t="s">
        <v>121</v>
      </c>
      <c r="M264" s="4">
        <v>46127</v>
      </c>
      <c r="N264" s="3" t="s">
        <v>152</v>
      </c>
      <c r="O264" s="3" t="s">
        <v>34</v>
      </c>
      <c r="P264" t="str">
        <f t="shared" si="4"/>
        <v>450012003810</v>
      </c>
      <c r="Q264" s="9" cm="1">
        <f t="array" ref="Q264:S264">VLOOKUP(P264,Hoja1!C:F,{2,3,4},FALSE)</f>
        <v>46203</v>
      </c>
      <c r="R264" t="str">
        <v>C21</v>
      </c>
      <c r="S264" t="str">
        <v>1000000634 RAIZEN ARGENTINA S.A.U.</v>
      </c>
    </row>
    <row r="265" spans="1:19" x14ac:dyDescent="0.3">
      <c r="A265" s="2" t="s">
        <v>14</v>
      </c>
      <c r="B265" s="3" t="s">
        <v>14</v>
      </c>
      <c r="C265" s="3" t="s">
        <v>201</v>
      </c>
      <c r="D265" s="3" t="s">
        <v>14</v>
      </c>
      <c r="E265" s="3" t="s">
        <v>107</v>
      </c>
      <c r="F265" s="4">
        <v>46127</v>
      </c>
      <c r="G265" s="3" t="s">
        <v>44</v>
      </c>
      <c r="H265" s="6">
        <v>-558500</v>
      </c>
      <c r="I265" s="3" t="s">
        <v>17</v>
      </c>
      <c r="J265" s="3" t="s">
        <v>14</v>
      </c>
      <c r="K265" s="3" t="s">
        <v>14</v>
      </c>
      <c r="L265" s="3" t="s">
        <v>108</v>
      </c>
      <c r="M265" s="4">
        <v>46127</v>
      </c>
      <c r="N265" s="3" t="s">
        <v>180</v>
      </c>
      <c r="O265" s="3" t="s">
        <v>34</v>
      </c>
      <c r="P265" t="str">
        <f t="shared" si="4"/>
        <v>450011911710</v>
      </c>
      <c r="Q265" s="9" cm="1">
        <f t="array" ref="Q265:S265">VLOOKUP(P265,Hoja1!C:F,{2,3,4},FALSE)</f>
        <v>46245</v>
      </c>
      <c r="R265" t="str">
        <v>C21</v>
      </c>
      <c r="S265" t="str">
        <v>1000001020 COMBUSTIBLES BARCELO S.R.L.</v>
      </c>
    </row>
    <row r="266" spans="1:19" x14ac:dyDescent="0.3">
      <c r="A266" s="2" t="s">
        <v>14</v>
      </c>
      <c r="B266" s="3" t="s">
        <v>14</v>
      </c>
      <c r="C266" s="3" t="s">
        <v>201</v>
      </c>
      <c r="D266" s="3" t="s">
        <v>14</v>
      </c>
      <c r="E266" s="3" t="s">
        <v>107</v>
      </c>
      <c r="F266" s="4">
        <v>46127</v>
      </c>
      <c r="G266" s="3" t="s">
        <v>44</v>
      </c>
      <c r="H266" s="6">
        <v>-63650</v>
      </c>
      <c r="I266" s="3" t="s">
        <v>17</v>
      </c>
      <c r="J266" s="3" t="s">
        <v>14</v>
      </c>
      <c r="K266" s="3" t="s">
        <v>14</v>
      </c>
      <c r="L266" s="3" t="s">
        <v>108</v>
      </c>
      <c r="M266" s="4">
        <v>46127</v>
      </c>
      <c r="N266" s="3" t="s">
        <v>180</v>
      </c>
      <c r="O266" s="3" t="s">
        <v>34</v>
      </c>
      <c r="P266" t="str">
        <f t="shared" si="4"/>
        <v>450011911710</v>
      </c>
      <c r="Q266" s="9" cm="1">
        <f t="array" ref="Q266:S266">VLOOKUP(P266,Hoja1!C:F,{2,3,4},FALSE)</f>
        <v>46245</v>
      </c>
      <c r="R266" t="str">
        <v>C21</v>
      </c>
      <c r="S266" t="str">
        <v>1000001020 COMBUSTIBLES BARCELO S.R.L.</v>
      </c>
    </row>
    <row r="267" spans="1:19" x14ac:dyDescent="0.3">
      <c r="A267" s="2" t="s">
        <v>14</v>
      </c>
      <c r="B267" s="3" t="s">
        <v>14</v>
      </c>
      <c r="C267" s="3" t="s">
        <v>202</v>
      </c>
      <c r="D267" s="3" t="s">
        <v>36</v>
      </c>
      <c r="E267" s="3" t="s">
        <v>107</v>
      </c>
      <c r="F267" s="4">
        <v>46123</v>
      </c>
      <c r="G267" s="3" t="s">
        <v>16</v>
      </c>
      <c r="H267" s="5">
        <v>750000</v>
      </c>
      <c r="I267" s="3" t="s">
        <v>17</v>
      </c>
      <c r="J267" s="3" t="s">
        <v>14</v>
      </c>
      <c r="K267" s="3" t="s">
        <v>14</v>
      </c>
      <c r="L267" s="3" t="s">
        <v>38</v>
      </c>
      <c r="M267" s="4">
        <v>46123</v>
      </c>
      <c r="N267" s="3" t="s">
        <v>39</v>
      </c>
      <c r="O267" s="3" t="s">
        <v>34</v>
      </c>
      <c r="P267" t="str">
        <f t="shared" si="4"/>
        <v>450011873510</v>
      </c>
      <c r="Q267" s="9" cm="1">
        <f t="array" ref="Q267:S267">VLOOKUP(P267,Hoja1!C:F,{2,3,4},FALSE)</f>
        <v>46386</v>
      </c>
      <c r="R267" t="str">
        <v>C25</v>
      </c>
      <c r="S267" t="str">
        <v>1000012227 LOPEZ RIOS FACUNDO GABRIE</v>
      </c>
    </row>
    <row r="268" spans="1:19" x14ac:dyDescent="0.3">
      <c r="A268" s="2" t="s">
        <v>14</v>
      </c>
      <c r="B268" s="3" t="s">
        <v>14</v>
      </c>
      <c r="C268" s="3" t="s">
        <v>202</v>
      </c>
      <c r="D268" s="3" t="s">
        <v>36</v>
      </c>
      <c r="E268" s="3" t="s">
        <v>107</v>
      </c>
      <c r="F268" s="4">
        <v>46123</v>
      </c>
      <c r="G268" s="3" t="s">
        <v>16</v>
      </c>
      <c r="H268" s="5">
        <v>600000</v>
      </c>
      <c r="I268" s="3" t="s">
        <v>17</v>
      </c>
      <c r="J268" s="3" t="s">
        <v>14</v>
      </c>
      <c r="K268" s="3" t="s">
        <v>14</v>
      </c>
      <c r="L268" s="3" t="s">
        <v>38</v>
      </c>
      <c r="M268" s="4">
        <v>46123</v>
      </c>
      <c r="N268" s="3" t="s">
        <v>39</v>
      </c>
      <c r="O268" s="3" t="s">
        <v>22</v>
      </c>
      <c r="P268" t="str">
        <f t="shared" si="4"/>
        <v>450011873530</v>
      </c>
      <c r="Q268" s="9" cm="1">
        <f t="array" ref="Q268:S268">VLOOKUP(P268,Hoja1!C:F,{2,3,4},FALSE)</f>
        <v>46386</v>
      </c>
      <c r="R268" t="str">
        <v>C25</v>
      </c>
      <c r="S268" t="str">
        <v>1000012227 LOPEZ RIOS FACUNDO GABRIE</v>
      </c>
    </row>
    <row r="269" spans="1:19" x14ac:dyDescent="0.3">
      <c r="A269" s="2" t="s">
        <v>14</v>
      </c>
      <c r="B269" s="3" t="s">
        <v>14</v>
      </c>
      <c r="C269" s="3" t="s">
        <v>202</v>
      </c>
      <c r="D269" s="3" t="s">
        <v>36</v>
      </c>
      <c r="E269" s="3" t="s">
        <v>107</v>
      </c>
      <c r="F269" s="4">
        <v>46123</v>
      </c>
      <c r="G269" s="3" t="s">
        <v>16</v>
      </c>
      <c r="H269" s="5">
        <v>300000</v>
      </c>
      <c r="I269" s="3" t="s">
        <v>17</v>
      </c>
      <c r="J269" s="3" t="s">
        <v>14</v>
      </c>
      <c r="K269" s="3" t="s">
        <v>14</v>
      </c>
      <c r="L269" s="3" t="s">
        <v>38</v>
      </c>
      <c r="M269" s="4">
        <v>46123</v>
      </c>
      <c r="N269" s="3" t="s">
        <v>39</v>
      </c>
      <c r="O269" s="3" t="s">
        <v>23</v>
      </c>
      <c r="P269" t="str">
        <f t="shared" si="4"/>
        <v>450011873550</v>
      </c>
      <c r="Q269" s="9" cm="1">
        <f t="array" ref="Q269:S269">VLOOKUP(P269,Hoja1!C:F,{2,3,4},FALSE)</f>
        <v>46386</v>
      </c>
      <c r="R269" t="str">
        <v>C25</v>
      </c>
      <c r="S269" t="str">
        <v>1000012227 LOPEZ RIOS FACUNDO GABRIE</v>
      </c>
    </row>
    <row r="270" spans="1:19" x14ac:dyDescent="0.3">
      <c r="A270" s="2" t="s">
        <v>14</v>
      </c>
      <c r="B270" s="3" t="s">
        <v>14</v>
      </c>
      <c r="C270" s="3" t="s">
        <v>202</v>
      </c>
      <c r="D270" s="3" t="s">
        <v>36</v>
      </c>
      <c r="E270" s="3" t="s">
        <v>107</v>
      </c>
      <c r="F270" s="4">
        <v>46123</v>
      </c>
      <c r="G270" s="3" t="s">
        <v>16</v>
      </c>
      <c r="H270" s="5">
        <v>1125000</v>
      </c>
      <c r="I270" s="3" t="s">
        <v>17</v>
      </c>
      <c r="J270" s="3" t="s">
        <v>14</v>
      </c>
      <c r="K270" s="3" t="s">
        <v>14</v>
      </c>
      <c r="L270" s="3" t="s">
        <v>38</v>
      </c>
      <c r="M270" s="4">
        <v>46123</v>
      </c>
      <c r="N270" s="3" t="s">
        <v>39</v>
      </c>
      <c r="O270" s="3" t="s">
        <v>24</v>
      </c>
      <c r="P270" t="str">
        <f t="shared" si="4"/>
        <v>450011873560</v>
      </c>
      <c r="Q270" s="9" cm="1">
        <f t="array" ref="Q270:S270">VLOOKUP(P270,Hoja1!C:F,{2,3,4},FALSE)</f>
        <v>46386</v>
      </c>
      <c r="R270" t="str">
        <v>C25</v>
      </c>
      <c r="S270" t="str">
        <v>1000012227 LOPEZ RIOS FACUNDO GABRIE</v>
      </c>
    </row>
    <row r="271" spans="1:19" x14ac:dyDescent="0.3">
      <c r="A271" s="2" t="s">
        <v>14</v>
      </c>
      <c r="B271" s="3" t="s">
        <v>14</v>
      </c>
      <c r="C271" s="3" t="s">
        <v>203</v>
      </c>
      <c r="D271" s="3" t="s">
        <v>14</v>
      </c>
      <c r="E271" s="3" t="s">
        <v>107</v>
      </c>
      <c r="F271" s="4">
        <v>46126</v>
      </c>
      <c r="G271" s="3" t="s">
        <v>44</v>
      </c>
      <c r="H271" s="6">
        <v>-583321.79</v>
      </c>
      <c r="I271" s="3" t="s">
        <v>17</v>
      </c>
      <c r="J271" s="3" t="s">
        <v>14</v>
      </c>
      <c r="K271" s="3" t="s">
        <v>14</v>
      </c>
      <c r="L271" s="3" t="s">
        <v>126</v>
      </c>
      <c r="M271" s="4">
        <v>46128</v>
      </c>
      <c r="N271" s="3" t="s">
        <v>204</v>
      </c>
      <c r="O271" s="3" t="s">
        <v>34</v>
      </c>
      <c r="P271" t="str">
        <f t="shared" si="4"/>
        <v>450012480110</v>
      </c>
      <c r="Q271" s="9" cm="1">
        <f t="array" ref="Q271:S271">VLOOKUP(P271,Hoja1!C:F,{2,3,4},FALSE)</f>
        <v>46136</v>
      </c>
      <c r="R271" t="str">
        <v>C03</v>
      </c>
      <c r="S271" t="str">
        <v>1000002106 REMOLQUES OMBU SA</v>
      </c>
    </row>
    <row r="272" spans="1:19" x14ac:dyDescent="0.3">
      <c r="A272" s="2" t="s">
        <v>14</v>
      </c>
      <c r="B272" s="3" t="s">
        <v>14</v>
      </c>
      <c r="C272" s="3" t="s">
        <v>203</v>
      </c>
      <c r="D272" s="3" t="s">
        <v>14</v>
      </c>
      <c r="E272" s="3" t="s">
        <v>107</v>
      </c>
      <c r="F272" s="4">
        <v>46126</v>
      </c>
      <c r="G272" s="3" t="s">
        <v>44</v>
      </c>
      <c r="H272" s="6">
        <v>-583321.79</v>
      </c>
      <c r="I272" s="3" t="s">
        <v>17</v>
      </c>
      <c r="J272" s="3" t="s">
        <v>14</v>
      </c>
      <c r="K272" s="3" t="s">
        <v>14</v>
      </c>
      <c r="L272" s="3" t="s">
        <v>126</v>
      </c>
      <c r="M272" s="4">
        <v>46128</v>
      </c>
      <c r="N272" s="3" t="s">
        <v>204</v>
      </c>
      <c r="O272" s="3" t="s">
        <v>21</v>
      </c>
      <c r="P272" t="str">
        <f t="shared" si="4"/>
        <v>450012480120</v>
      </c>
      <c r="Q272" s="9" cm="1">
        <f t="array" ref="Q272:S272">VLOOKUP(P272,Hoja1!C:F,{2,3,4},FALSE)</f>
        <v>46136</v>
      </c>
      <c r="R272" t="str">
        <v>C03</v>
      </c>
      <c r="S272" t="str">
        <v>1000002106 REMOLQUES OMBU SA</v>
      </c>
    </row>
    <row r="273" spans="1:19" x14ac:dyDescent="0.3">
      <c r="A273" s="2" t="s">
        <v>14</v>
      </c>
      <c r="B273" s="3" t="s">
        <v>14</v>
      </c>
      <c r="C273" s="3" t="s">
        <v>205</v>
      </c>
      <c r="D273" s="3" t="s">
        <v>14</v>
      </c>
      <c r="E273" s="3" t="s">
        <v>107</v>
      </c>
      <c r="F273" s="4">
        <v>46128</v>
      </c>
      <c r="G273" s="3" t="s">
        <v>44</v>
      </c>
      <c r="H273" s="6">
        <v>-223.4</v>
      </c>
      <c r="I273" s="3" t="s">
        <v>17</v>
      </c>
      <c r="J273" s="3" t="s">
        <v>14</v>
      </c>
      <c r="K273" s="3" t="s">
        <v>14</v>
      </c>
      <c r="L273" s="3" t="s">
        <v>108</v>
      </c>
      <c r="M273" s="4">
        <v>46128</v>
      </c>
      <c r="N273" s="3" t="s">
        <v>206</v>
      </c>
      <c r="O273" s="3" t="s">
        <v>34</v>
      </c>
      <c r="P273" t="str">
        <f t="shared" si="4"/>
        <v>450012528210</v>
      </c>
      <c r="Q273" s="9" cm="1">
        <f t="array" ref="Q273:S273">VLOOKUP(P273,Hoja1!C:F,{2,3,4},FALSE)</f>
        <v>46184</v>
      </c>
      <c r="R273" t="str">
        <v>C21</v>
      </c>
      <c r="S273" t="str">
        <v>1000001020 COMBUSTIBLES BARCELO S.R.L.</v>
      </c>
    </row>
    <row r="274" spans="1:19" x14ac:dyDescent="0.3">
      <c r="A274" s="2" t="s">
        <v>14</v>
      </c>
      <c r="B274" s="3" t="s">
        <v>14</v>
      </c>
      <c r="C274" s="3" t="s">
        <v>205</v>
      </c>
      <c r="D274" s="3" t="s">
        <v>14</v>
      </c>
      <c r="E274" s="3" t="s">
        <v>107</v>
      </c>
      <c r="F274" s="4">
        <v>46128</v>
      </c>
      <c r="G274" s="3" t="s">
        <v>44</v>
      </c>
      <c r="H274" s="6">
        <v>-25.46</v>
      </c>
      <c r="I274" s="3" t="s">
        <v>17</v>
      </c>
      <c r="J274" s="3" t="s">
        <v>14</v>
      </c>
      <c r="K274" s="3" t="s">
        <v>14</v>
      </c>
      <c r="L274" s="3" t="s">
        <v>108</v>
      </c>
      <c r="M274" s="4">
        <v>46128</v>
      </c>
      <c r="N274" s="3" t="s">
        <v>206</v>
      </c>
      <c r="O274" s="3" t="s">
        <v>34</v>
      </c>
      <c r="P274" t="str">
        <f t="shared" si="4"/>
        <v>450012528210</v>
      </c>
      <c r="Q274" s="9" cm="1">
        <f t="array" ref="Q274:S274">VLOOKUP(P274,Hoja1!C:F,{2,3,4},FALSE)</f>
        <v>46184</v>
      </c>
      <c r="R274" t="str">
        <v>C21</v>
      </c>
      <c r="S274" t="str">
        <v>1000001020 COMBUSTIBLES BARCELO S.R.L.</v>
      </c>
    </row>
    <row r="275" spans="1:19" x14ac:dyDescent="0.3">
      <c r="A275" s="2" t="s">
        <v>14</v>
      </c>
      <c r="B275" s="3" t="s">
        <v>14</v>
      </c>
      <c r="C275" s="3" t="s">
        <v>207</v>
      </c>
      <c r="D275" s="3" t="s">
        <v>14</v>
      </c>
      <c r="E275" s="3" t="s">
        <v>107</v>
      </c>
      <c r="F275" s="4">
        <v>46130</v>
      </c>
      <c r="G275" s="3" t="s">
        <v>44</v>
      </c>
      <c r="H275" s="6">
        <v>-9382380</v>
      </c>
      <c r="I275" s="3" t="s">
        <v>17</v>
      </c>
      <c r="J275" s="3" t="s">
        <v>14</v>
      </c>
      <c r="K275" s="3" t="s">
        <v>14</v>
      </c>
      <c r="L275" s="3" t="s">
        <v>121</v>
      </c>
      <c r="M275" s="4">
        <v>46130</v>
      </c>
      <c r="N275" s="3" t="s">
        <v>152</v>
      </c>
      <c r="O275" s="3" t="s">
        <v>34</v>
      </c>
      <c r="P275" t="str">
        <f t="shared" si="4"/>
        <v>450012003810</v>
      </c>
      <c r="Q275" s="9" cm="1">
        <f t="array" ref="Q275:S275">VLOOKUP(P275,Hoja1!C:F,{2,3,4},FALSE)</f>
        <v>46203</v>
      </c>
      <c r="R275" t="str">
        <v>C21</v>
      </c>
      <c r="S275" t="str">
        <v>1000000634 RAIZEN ARGENTINA S.A.U.</v>
      </c>
    </row>
    <row r="276" spans="1:19" x14ac:dyDescent="0.3">
      <c r="A276" s="2" t="s">
        <v>14</v>
      </c>
      <c r="B276" s="3" t="s">
        <v>14</v>
      </c>
      <c r="C276" s="3" t="s">
        <v>207</v>
      </c>
      <c r="D276" s="3" t="s">
        <v>14</v>
      </c>
      <c r="E276" s="3" t="s">
        <v>107</v>
      </c>
      <c r="F276" s="4">
        <v>46130</v>
      </c>
      <c r="G276" s="3" t="s">
        <v>44</v>
      </c>
      <c r="H276" s="6">
        <v>-1069320</v>
      </c>
      <c r="I276" s="3" t="s">
        <v>17</v>
      </c>
      <c r="J276" s="3" t="s">
        <v>14</v>
      </c>
      <c r="K276" s="3" t="s">
        <v>14</v>
      </c>
      <c r="L276" s="3" t="s">
        <v>121</v>
      </c>
      <c r="M276" s="4">
        <v>46130</v>
      </c>
      <c r="N276" s="3" t="s">
        <v>152</v>
      </c>
      <c r="O276" s="3" t="s">
        <v>34</v>
      </c>
      <c r="P276" t="str">
        <f t="shared" si="4"/>
        <v>450012003810</v>
      </c>
      <c r="Q276" s="9" cm="1">
        <f t="array" ref="Q276:S276">VLOOKUP(P276,Hoja1!C:F,{2,3,4},FALSE)</f>
        <v>46203</v>
      </c>
      <c r="R276" t="str">
        <v>C21</v>
      </c>
      <c r="S276" t="str">
        <v>1000000634 RAIZEN ARGENTINA S.A.U.</v>
      </c>
    </row>
    <row r="277" spans="1:19" x14ac:dyDescent="0.3">
      <c r="A277" s="2" t="s">
        <v>14</v>
      </c>
      <c r="B277" s="3" t="s">
        <v>14</v>
      </c>
      <c r="C277" s="3" t="s">
        <v>208</v>
      </c>
      <c r="D277" s="3" t="s">
        <v>14</v>
      </c>
      <c r="E277" s="3" t="s">
        <v>107</v>
      </c>
      <c r="F277" s="4">
        <v>46130</v>
      </c>
      <c r="G277" s="3" t="s">
        <v>44</v>
      </c>
      <c r="H277" s="6">
        <v>-9382380</v>
      </c>
      <c r="I277" s="3" t="s">
        <v>17</v>
      </c>
      <c r="J277" s="3" t="s">
        <v>14</v>
      </c>
      <c r="K277" s="3" t="s">
        <v>14</v>
      </c>
      <c r="L277" s="3" t="s">
        <v>121</v>
      </c>
      <c r="M277" s="4">
        <v>46130</v>
      </c>
      <c r="N277" s="3" t="s">
        <v>152</v>
      </c>
      <c r="O277" s="3" t="s">
        <v>34</v>
      </c>
      <c r="P277" t="str">
        <f t="shared" si="4"/>
        <v>450012003810</v>
      </c>
      <c r="Q277" s="9" cm="1">
        <f t="array" ref="Q277:S277">VLOOKUP(P277,Hoja1!C:F,{2,3,4},FALSE)</f>
        <v>46203</v>
      </c>
      <c r="R277" t="str">
        <v>C21</v>
      </c>
      <c r="S277" t="str">
        <v>1000000634 RAIZEN ARGENTINA S.A.U.</v>
      </c>
    </row>
    <row r="278" spans="1:19" x14ac:dyDescent="0.3">
      <c r="A278" s="2" t="s">
        <v>14</v>
      </c>
      <c r="B278" s="3" t="s">
        <v>14</v>
      </c>
      <c r="C278" s="3" t="s">
        <v>208</v>
      </c>
      <c r="D278" s="3" t="s">
        <v>14</v>
      </c>
      <c r="E278" s="3" t="s">
        <v>107</v>
      </c>
      <c r="F278" s="4">
        <v>46130</v>
      </c>
      <c r="G278" s="3" t="s">
        <v>44</v>
      </c>
      <c r="H278" s="6">
        <v>-1069320</v>
      </c>
      <c r="I278" s="3" t="s">
        <v>17</v>
      </c>
      <c r="J278" s="3" t="s">
        <v>14</v>
      </c>
      <c r="K278" s="3" t="s">
        <v>14</v>
      </c>
      <c r="L278" s="3" t="s">
        <v>121</v>
      </c>
      <c r="M278" s="4">
        <v>46130</v>
      </c>
      <c r="N278" s="3" t="s">
        <v>152</v>
      </c>
      <c r="O278" s="3" t="s">
        <v>34</v>
      </c>
      <c r="P278" t="str">
        <f t="shared" si="4"/>
        <v>450012003810</v>
      </c>
      <c r="Q278" s="9" cm="1">
        <f t="array" ref="Q278:S278">VLOOKUP(P278,Hoja1!C:F,{2,3,4},FALSE)</f>
        <v>46203</v>
      </c>
      <c r="R278" t="str">
        <v>C21</v>
      </c>
      <c r="S278" t="str">
        <v>1000000634 RAIZEN ARGENTINA S.A.U.</v>
      </c>
    </row>
    <row r="279" spans="1:19" x14ac:dyDescent="0.3">
      <c r="A279" s="2" t="s">
        <v>14</v>
      </c>
      <c r="B279" s="3" t="s">
        <v>14</v>
      </c>
      <c r="C279" s="3" t="s">
        <v>209</v>
      </c>
      <c r="D279" s="3" t="s">
        <v>14</v>
      </c>
      <c r="E279" s="3" t="s">
        <v>107</v>
      </c>
      <c r="F279" s="4">
        <v>46135</v>
      </c>
      <c r="G279" s="3" t="s">
        <v>44</v>
      </c>
      <c r="H279" s="6">
        <v>-9382380</v>
      </c>
      <c r="I279" s="3" t="s">
        <v>17</v>
      </c>
      <c r="J279" s="3" t="s">
        <v>14</v>
      </c>
      <c r="K279" s="3" t="s">
        <v>14</v>
      </c>
      <c r="L279" s="3" t="s">
        <v>121</v>
      </c>
      <c r="M279" s="4">
        <v>46135</v>
      </c>
      <c r="N279" s="3" t="s">
        <v>152</v>
      </c>
      <c r="O279" s="3" t="s">
        <v>34</v>
      </c>
      <c r="P279" t="str">
        <f t="shared" si="4"/>
        <v>450012003810</v>
      </c>
      <c r="Q279" s="9" cm="1">
        <f t="array" ref="Q279:S279">VLOOKUP(P279,Hoja1!C:F,{2,3,4},FALSE)</f>
        <v>46203</v>
      </c>
      <c r="R279" t="str">
        <v>C21</v>
      </c>
      <c r="S279" t="str">
        <v>1000000634 RAIZEN ARGENTINA S.A.U.</v>
      </c>
    </row>
    <row r="280" spans="1:19" x14ac:dyDescent="0.3">
      <c r="A280" s="2" t="s">
        <v>14</v>
      </c>
      <c r="B280" s="3" t="s">
        <v>14</v>
      </c>
      <c r="C280" s="3" t="s">
        <v>209</v>
      </c>
      <c r="D280" s="3" t="s">
        <v>14</v>
      </c>
      <c r="E280" s="3" t="s">
        <v>107</v>
      </c>
      <c r="F280" s="4">
        <v>46135</v>
      </c>
      <c r="G280" s="3" t="s">
        <v>44</v>
      </c>
      <c r="H280" s="6">
        <v>-1069320</v>
      </c>
      <c r="I280" s="3" t="s">
        <v>17</v>
      </c>
      <c r="J280" s="3" t="s">
        <v>14</v>
      </c>
      <c r="K280" s="3" t="s">
        <v>14</v>
      </c>
      <c r="L280" s="3" t="s">
        <v>121</v>
      </c>
      <c r="M280" s="4">
        <v>46135</v>
      </c>
      <c r="N280" s="3" t="s">
        <v>152</v>
      </c>
      <c r="O280" s="3" t="s">
        <v>34</v>
      </c>
      <c r="P280" t="str">
        <f t="shared" si="4"/>
        <v>450012003810</v>
      </c>
      <c r="Q280" s="9" cm="1">
        <f t="array" ref="Q280:S280">VLOOKUP(P280,Hoja1!C:F,{2,3,4},FALSE)</f>
        <v>46203</v>
      </c>
      <c r="R280" t="str">
        <v>C21</v>
      </c>
      <c r="S280" t="str">
        <v>1000000634 RAIZEN ARGENTINA S.A.U.</v>
      </c>
    </row>
    <row r="281" spans="1:19" x14ac:dyDescent="0.3">
      <c r="A281" s="2" t="s">
        <v>14</v>
      </c>
      <c r="B281" s="3" t="s">
        <v>14</v>
      </c>
      <c r="C281" s="3" t="s">
        <v>210</v>
      </c>
      <c r="D281" s="3" t="s">
        <v>56</v>
      </c>
      <c r="E281" s="3" t="s">
        <v>107</v>
      </c>
      <c r="F281" s="4">
        <v>46139</v>
      </c>
      <c r="G281" s="3" t="s">
        <v>44</v>
      </c>
      <c r="H281" s="6">
        <v>-4031890</v>
      </c>
      <c r="I281" s="3" t="s">
        <v>17</v>
      </c>
      <c r="J281" s="3" t="s">
        <v>14</v>
      </c>
      <c r="K281" s="3" t="s">
        <v>14</v>
      </c>
      <c r="L281" s="3" t="s">
        <v>211</v>
      </c>
      <c r="M281" s="4">
        <v>46139</v>
      </c>
      <c r="N281" s="3" t="s">
        <v>212</v>
      </c>
      <c r="O281" s="3" t="s">
        <v>34</v>
      </c>
      <c r="P281" t="str">
        <f t="shared" si="4"/>
        <v>450012420610</v>
      </c>
      <c r="Q281" s="9" cm="1">
        <f t="array" ref="Q281:S281">VLOOKUP(P281,Hoja1!C:F,{2,3,4},FALSE)</f>
        <v>46308</v>
      </c>
      <c r="R281" t="str">
        <v>C21</v>
      </c>
      <c r="S281" t="str">
        <v>1000002248 BIOENDESA SA</v>
      </c>
    </row>
    <row r="282" spans="1:19" x14ac:dyDescent="0.3">
      <c r="A282" s="2" t="s">
        <v>14</v>
      </c>
      <c r="B282" s="3" t="s">
        <v>14</v>
      </c>
      <c r="C282" s="3" t="s">
        <v>210</v>
      </c>
      <c r="D282" s="3" t="s">
        <v>56</v>
      </c>
      <c r="E282" s="3" t="s">
        <v>107</v>
      </c>
      <c r="F282" s="4">
        <v>46139</v>
      </c>
      <c r="G282" s="3" t="s">
        <v>44</v>
      </c>
      <c r="H282" s="6">
        <v>-459510</v>
      </c>
      <c r="I282" s="3" t="s">
        <v>17</v>
      </c>
      <c r="J282" s="3" t="s">
        <v>14</v>
      </c>
      <c r="K282" s="3" t="s">
        <v>14</v>
      </c>
      <c r="L282" s="3" t="s">
        <v>211</v>
      </c>
      <c r="M282" s="4">
        <v>46139</v>
      </c>
      <c r="N282" s="3" t="s">
        <v>212</v>
      </c>
      <c r="O282" s="3" t="s">
        <v>34</v>
      </c>
      <c r="P282" t="str">
        <f t="shared" si="4"/>
        <v>450012420610</v>
      </c>
      <c r="Q282" s="9" cm="1">
        <f t="array" ref="Q282:S282">VLOOKUP(P282,Hoja1!C:F,{2,3,4},FALSE)</f>
        <v>46308</v>
      </c>
      <c r="R282" t="str">
        <v>C21</v>
      </c>
      <c r="S282" t="str">
        <v>1000002248 BIOENDESA SA</v>
      </c>
    </row>
    <row r="283" spans="1:19" x14ac:dyDescent="0.3">
      <c r="A283" s="2" t="s">
        <v>14</v>
      </c>
      <c r="B283" s="3" t="s">
        <v>14</v>
      </c>
      <c r="C283" s="3" t="s">
        <v>213</v>
      </c>
      <c r="D283" s="3" t="s">
        <v>56</v>
      </c>
      <c r="E283" s="3" t="s">
        <v>107</v>
      </c>
      <c r="F283" s="4">
        <v>46140</v>
      </c>
      <c r="G283" s="3" t="s">
        <v>44</v>
      </c>
      <c r="H283" s="6">
        <v>-1852633.86</v>
      </c>
      <c r="I283" s="3" t="s">
        <v>17</v>
      </c>
      <c r="J283" s="3" t="s">
        <v>14</v>
      </c>
      <c r="K283" s="3" t="s">
        <v>14</v>
      </c>
      <c r="L283" s="3" t="s">
        <v>121</v>
      </c>
      <c r="M283" s="4">
        <v>46140</v>
      </c>
      <c r="N283" s="3" t="s">
        <v>214</v>
      </c>
      <c r="O283" s="3" t="s">
        <v>34</v>
      </c>
      <c r="P283" t="str">
        <f t="shared" si="4"/>
        <v>450012592610</v>
      </c>
      <c r="Q283" s="9" cm="1">
        <f t="array" ref="Q283:S283">VLOOKUP(P283,Hoja1!C:F,{2,3,4},FALSE)</f>
        <v>46203</v>
      </c>
      <c r="R283" t="str">
        <v>C21</v>
      </c>
      <c r="S283" t="str">
        <v>1000000634 RAIZEN ARGENTINA S.A.U.</v>
      </c>
    </row>
    <row r="284" spans="1:19" x14ac:dyDescent="0.3">
      <c r="A284" s="2" t="s">
        <v>14</v>
      </c>
      <c r="B284" s="3" t="s">
        <v>14</v>
      </c>
      <c r="C284" s="3" t="s">
        <v>213</v>
      </c>
      <c r="D284" s="3" t="s">
        <v>56</v>
      </c>
      <c r="E284" s="3" t="s">
        <v>107</v>
      </c>
      <c r="F284" s="4">
        <v>46140</v>
      </c>
      <c r="G284" s="3" t="s">
        <v>44</v>
      </c>
      <c r="H284" s="6">
        <v>-207189.67</v>
      </c>
      <c r="I284" s="3" t="s">
        <v>17</v>
      </c>
      <c r="J284" s="3" t="s">
        <v>14</v>
      </c>
      <c r="K284" s="3" t="s">
        <v>14</v>
      </c>
      <c r="L284" s="3" t="s">
        <v>121</v>
      </c>
      <c r="M284" s="4">
        <v>46140</v>
      </c>
      <c r="N284" s="3" t="s">
        <v>214</v>
      </c>
      <c r="O284" s="3" t="s">
        <v>34</v>
      </c>
      <c r="P284" t="str">
        <f t="shared" si="4"/>
        <v>450012592610</v>
      </c>
      <c r="Q284" s="9" cm="1">
        <f t="array" ref="Q284:S284">VLOOKUP(P284,Hoja1!C:F,{2,3,4},FALSE)</f>
        <v>46203</v>
      </c>
      <c r="R284" t="str">
        <v>C21</v>
      </c>
      <c r="S284" t="str">
        <v>1000000634 RAIZEN ARGENTINA S.A.U.</v>
      </c>
    </row>
    <row r="285" spans="1:19" x14ac:dyDescent="0.3">
      <c r="A285" s="2" t="s">
        <v>14</v>
      </c>
      <c r="B285" s="3" t="s">
        <v>14</v>
      </c>
      <c r="C285" s="3" t="s">
        <v>213</v>
      </c>
      <c r="D285" s="3" t="s">
        <v>56</v>
      </c>
      <c r="E285" s="3" t="s">
        <v>107</v>
      </c>
      <c r="F285" s="4">
        <v>46140</v>
      </c>
      <c r="G285" s="3" t="s">
        <v>44</v>
      </c>
      <c r="H285" s="6">
        <v>-1852633.86</v>
      </c>
      <c r="I285" s="3" t="s">
        <v>17</v>
      </c>
      <c r="J285" s="3" t="s">
        <v>14</v>
      </c>
      <c r="K285" s="3" t="s">
        <v>14</v>
      </c>
      <c r="L285" s="3" t="s">
        <v>121</v>
      </c>
      <c r="M285" s="4">
        <v>46140</v>
      </c>
      <c r="N285" s="3" t="s">
        <v>214</v>
      </c>
      <c r="O285" s="3" t="s">
        <v>21</v>
      </c>
      <c r="P285" t="str">
        <f t="shared" si="4"/>
        <v>450012592620</v>
      </c>
      <c r="Q285" s="9" cm="1">
        <f t="array" ref="Q285:S285">VLOOKUP(P285,Hoja1!C:F,{2,3,4},FALSE)</f>
        <v>46203</v>
      </c>
      <c r="R285" t="str">
        <v>C21</v>
      </c>
      <c r="S285" t="str">
        <v>1000000634 RAIZEN ARGENTINA S.A.U.</v>
      </c>
    </row>
    <row r="286" spans="1:19" x14ac:dyDescent="0.3">
      <c r="A286" s="2" t="s">
        <v>14</v>
      </c>
      <c r="B286" s="3" t="s">
        <v>14</v>
      </c>
      <c r="C286" s="3" t="s">
        <v>213</v>
      </c>
      <c r="D286" s="3" t="s">
        <v>56</v>
      </c>
      <c r="E286" s="3" t="s">
        <v>107</v>
      </c>
      <c r="F286" s="4">
        <v>46140</v>
      </c>
      <c r="G286" s="3" t="s">
        <v>44</v>
      </c>
      <c r="H286" s="6">
        <v>-207189.67</v>
      </c>
      <c r="I286" s="3" t="s">
        <v>17</v>
      </c>
      <c r="J286" s="3" t="s">
        <v>14</v>
      </c>
      <c r="K286" s="3" t="s">
        <v>14</v>
      </c>
      <c r="L286" s="3" t="s">
        <v>121</v>
      </c>
      <c r="M286" s="4">
        <v>46140</v>
      </c>
      <c r="N286" s="3" t="s">
        <v>214</v>
      </c>
      <c r="O286" s="3" t="s">
        <v>21</v>
      </c>
      <c r="P286" t="str">
        <f t="shared" si="4"/>
        <v>450012592620</v>
      </c>
      <c r="Q286" s="9" cm="1">
        <f t="array" ref="Q286:S286">VLOOKUP(P286,Hoja1!C:F,{2,3,4},FALSE)</f>
        <v>46203</v>
      </c>
      <c r="R286" t="str">
        <v>C21</v>
      </c>
      <c r="S286" t="str">
        <v>1000000634 RAIZEN ARGENTINA S.A.U.</v>
      </c>
    </row>
    <row r="287" spans="1:19" x14ac:dyDescent="0.3">
      <c r="A287" s="2" t="s">
        <v>14</v>
      </c>
      <c r="B287" s="3" t="s">
        <v>14</v>
      </c>
      <c r="C287" s="3" t="s">
        <v>213</v>
      </c>
      <c r="D287" s="3" t="s">
        <v>56</v>
      </c>
      <c r="E287" s="3" t="s">
        <v>107</v>
      </c>
      <c r="F287" s="4">
        <v>46140</v>
      </c>
      <c r="G287" s="3" t="s">
        <v>44</v>
      </c>
      <c r="H287" s="6">
        <v>-1852633.86</v>
      </c>
      <c r="I287" s="3" t="s">
        <v>17</v>
      </c>
      <c r="J287" s="3" t="s">
        <v>14</v>
      </c>
      <c r="K287" s="3" t="s">
        <v>14</v>
      </c>
      <c r="L287" s="3" t="s">
        <v>121</v>
      </c>
      <c r="M287" s="4">
        <v>46140</v>
      </c>
      <c r="N287" s="3" t="s">
        <v>214</v>
      </c>
      <c r="O287" s="3" t="s">
        <v>22</v>
      </c>
      <c r="P287" t="str">
        <f t="shared" si="4"/>
        <v>450012592630</v>
      </c>
      <c r="Q287" s="9" cm="1">
        <f t="array" ref="Q287:S287">VLOOKUP(P287,Hoja1!C:F,{2,3,4},FALSE)</f>
        <v>46203</v>
      </c>
      <c r="R287" t="str">
        <v>C21</v>
      </c>
      <c r="S287" t="str">
        <v>1000000634 RAIZEN ARGENTINA S.A.U.</v>
      </c>
    </row>
    <row r="288" spans="1:19" x14ac:dyDescent="0.3">
      <c r="A288" s="2" t="s">
        <v>14</v>
      </c>
      <c r="B288" s="3" t="s">
        <v>14</v>
      </c>
      <c r="C288" s="3" t="s">
        <v>213</v>
      </c>
      <c r="D288" s="3" t="s">
        <v>56</v>
      </c>
      <c r="E288" s="3" t="s">
        <v>107</v>
      </c>
      <c r="F288" s="4">
        <v>46140</v>
      </c>
      <c r="G288" s="3" t="s">
        <v>44</v>
      </c>
      <c r="H288" s="6">
        <v>-207189.67</v>
      </c>
      <c r="I288" s="3" t="s">
        <v>17</v>
      </c>
      <c r="J288" s="3" t="s">
        <v>14</v>
      </c>
      <c r="K288" s="3" t="s">
        <v>14</v>
      </c>
      <c r="L288" s="3" t="s">
        <v>121</v>
      </c>
      <c r="M288" s="4">
        <v>46140</v>
      </c>
      <c r="N288" s="3" t="s">
        <v>214</v>
      </c>
      <c r="O288" s="3" t="s">
        <v>22</v>
      </c>
      <c r="P288" t="str">
        <f t="shared" si="4"/>
        <v>450012592630</v>
      </c>
      <c r="Q288" s="9" cm="1">
        <f t="array" ref="Q288:S288">VLOOKUP(P288,Hoja1!C:F,{2,3,4},FALSE)</f>
        <v>46203</v>
      </c>
      <c r="R288" t="str">
        <v>C21</v>
      </c>
      <c r="S288" t="str">
        <v>1000000634 RAIZEN ARGENTINA S.A.U.</v>
      </c>
    </row>
    <row r="289" spans="1:19" x14ac:dyDescent="0.3">
      <c r="A289" s="2" t="s">
        <v>14</v>
      </c>
      <c r="B289" s="3" t="s">
        <v>14</v>
      </c>
      <c r="C289" s="3" t="s">
        <v>215</v>
      </c>
      <c r="D289" s="3" t="s">
        <v>14</v>
      </c>
      <c r="E289" s="3" t="s">
        <v>107</v>
      </c>
      <c r="F289" s="4">
        <v>46140</v>
      </c>
      <c r="G289" s="3" t="s">
        <v>44</v>
      </c>
      <c r="H289" s="6">
        <v>-21838</v>
      </c>
      <c r="I289" s="3" t="s">
        <v>17</v>
      </c>
      <c r="J289" s="3" t="s">
        <v>14</v>
      </c>
      <c r="K289" s="3" t="s">
        <v>14</v>
      </c>
      <c r="L289" s="3" t="s">
        <v>216</v>
      </c>
      <c r="M289" s="4">
        <v>46140</v>
      </c>
      <c r="N289" s="3" t="s">
        <v>217</v>
      </c>
      <c r="O289" s="3" t="s">
        <v>21</v>
      </c>
      <c r="P289" t="str">
        <f t="shared" si="4"/>
        <v>450012471020</v>
      </c>
      <c r="Q289" s="9" cm="1">
        <f t="array" ref="Q289:S289">VLOOKUP(P289,Hoja1!C:F,{2,3,4},FALSE)</f>
        <v>46136</v>
      </c>
      <c r="R289" t="str">
        <v>C28</v>
      </c>
      <c r="S289" t="str">
        <v>1000007102 PROTEC S.R.L.</v>
      </c>
    </row>
    <row r="290" spans="1:19" x14ac:dyDescent="0.3">
      <c r="A290" s="2" t="s">
        <v>14</v>
      </c>
      <c r="B290" s="3" t="s">
        <v>14</v>
      </c>
      <c r="C290" s="3" t="s">
        <v>218</v>
      </c>
      <c r="D290" s="3" t="s">
        <v>14</v>
      </c>
      <c r="E290" s="3" t="s">
        <v>107</v>
      </c>
      <c r="F290" s="4">
        <v>46140</v>
      </c>
      <c r="G290" s="3" t="s">
        <v>44</v>
      </c>
      <c r="H290" s="6">
        <v>-281807.88</v>
      </c>
      <c r="I290" s="3" t="s">
        <v>17</v>
      </c>
      <c r="J290" s="3" t="s">
        <v>14</v>
      </c>
      <c r="K290" s="3" t="s">
        <v>14</v>
      </c>
      <c r="L290" s="3" t="s">
        <v>163</v>
      </c>
      <c r="M290" s="4">
        <v>46140</v>
      </c>
      <c r="N290" s="3" t="s">
        <v>219</v>
      </c>
      <c r="O290" s="3" t="s">
        <v>34</v>
      </c>
      <c r="P290" t="str">
        <f t="shared" si="4"/>
        <v>450012446410</v>
      </c>
      <c r="Q290" s="9" cm="1">
        <f t="array" ref="Q290:S290">VLOOKUP(P290,Hoja1!C:F,{2,3,4},FALSE)</f>
        <v>46129</v>
      </c>
      <c r="R290" t="str">
        <v>C03</v>
      </c>
      <c r="S290" t="str">
        <v>1000000062 FINNING ARGENTINA S.A.</v>
      </c>
    </row>
    <row r="291" spans="1:19" x14ac:dyDescent="0.3">
      <c r="A291" s="2" t="s">
        <v>14</v>
      </c>
      <c r="B291" s="3" t="s">
        <v>14</v>
      </c>
      <c r="C291" s="3" t="s">
        <v>220</v>
      </c>
      <c r="D291" s="3" t="s">
        <v>14</v>
      </c>
      <c r="E291" s="3" t="s">
        <v>107</v>
      </c>
      <c r="F291" s="4">
        <v>46139</v>
      </c>
      <c r="G291" s="3" t="s">
        <v>44</v>
      </c>
      <c r="H291" s="6">
        <v>-92848</v>
      </c>
      <c r="I291" s="3" t="s">
        <v>17</v>
      </c>
      <c r="J291" s="3" t="s">
        <v>14</v>
      </c>
      <c r="K291" s="3" t="s">
        <v>14</v>
      </c>
      <c r="L291" s="3" t="s">
        <v>163</v>
      </c>
      <c r="M291" s="4">
        <v>46141</v>
      </c>
      <c r="N291" s="3" t="s">
        <v>192</v>
      </c>
      <c r="O291" s="3" t="s">
        <v>221</v>
      </c>
      <c r="P291" t="str">
        <f t="shared" si="4"/>
        <v>4500122735130</v>
      </c>
      <c r="Q291" s="9" cm="1">
        <f t="array" ref="Q291:S291">VLOOKUP(P291,Hoja1!C:F,{2,3,4},FALSE)</f>
        <v>46147</v>
      </c>
      <c r="R291" t="str">
        <v>C03</v>
      </c>
      <c r="S291" t="str">
        <v>1000000062 FINNING ARGENTINA S.A.</v>
      </c>
    </row>
    <row r="292" spans="1:19" x14ac:dyDescent="0.3">
      <c r="A292" s="2" t="s">
        <v>14</v>
      </c>
      <c r="B292" s="3" t="s">
        <v>14</v>
      </c>
      <c r="C292" s="3" t="s">
        <v>222</v>
      </c>
      <c r="D292" s="3" t="s">
        <v>14</v>
      </c>
      <c r="E292" s="3" t="s">
        <v>107</v>
      </c>
      <c r="F292" s="4">
        <v>46141</v>
      </c>
      <c r="G292" s="3" t="s">
        <v>44</v>
      </c>
      <c r="H292" s="6">
        <v>-9382380</v>
      </c>
      <c r="I292" s="3" t="s">
        <v>17</v>
      </c>
      <c r="J292" s="3" t="s">
        <v>14</v>
      </c>
      <c r="K292" s="3" t="s">
        <v>14</v>
      </c>
      <c r="L292" s="3" t="s">
        <v>121</v>
      </c>
      <c r="M292" s="4">
        <v>46141</v>
      </c>
      <c r="N292" s="3" t="s">
        <v>152</v>
      </c>
      <c r="O292" s="3" t="s">
        <v>34</v>
      </c>
      <c r="P292" t="str">
        <f t="shared" si="4"/>
        <v>450012003810</v>
      </c>
      <c r="Q292" s="9" cm="1">
        <f t="array" ref="Q292:S292">VLOOKUP(P292,Hoja1!C:F,{2,3,4},FALSE)</f>
        <v>46203</v>
      </c>
      <c r="R292" t="str">
        <v>C21</v>
      </c>
      <c r="S292" t="str">
        <v>1000000634 RAIZEN ARGENTINA S.A.U.</v>
      </c>
    </row>
    <row r="293" spans="1:19" x14ac:dyDescent="0.3">
      <c r="A293" s="2" t="s">
        <v>14</v>
      </c>
      <c r="B293" s="3" t="s">
        <v>14</v>
      </c>
      <c r="C293" s="3" t="s">
        <v>222</v>
      </c>
      <c r="D293" s="3" t="s">
        <v>14</v>
      </c>
      <c r="E293" s="3" t="s">
        <v>107</v>
      </c>
      <c r="F293" s="4">
        <v>46141</v>
      </c>
      <c r="G293" s="3" t="s">
        <v>44</v>
      </c>
      <c r="H293" s="6">
        <v>-1069320</v>
      </c>
      <c r="I293" s="3" t="s">
        <v>17</v>
      </c>
      <c r="J293" s="3" t="s">
        <v>14</v>
      </c>
      <c r="K293" s="3" t="s">
        <v>14</v>
      </c>
      <c r="L293" s="3" t="s">
        <v>121</v>
      </c>
      <c r="M293" s="4">
        <v>46141</v>
      </c>
      <c r="N293" s="3" t="s">
        <v>152</v>
      </c>
      <c r="O293" s="3" t="s">
        <v>34</v>
      </c>
      <c r="P293" t="str">
        <f t="shared" si="4"/>
        <v>450012003810</v>
      </c>
      <c r="Q293" s="9" cm="1">
        <f t="array" ref="Q293:S293">VLOOKUP(P293,Hoja1!C:F,{2,3,4},FALSE)</f>
        <v>46203</v>
      </c>
      <c r="R293" t="str">
        <v>C21</v>
      </c>
      <c r="S293" t="str">
        <v>1000000634 RAIZEN ARGENTINA S.A.U.</v>
      </c>
    </row>
    <row r="294" spans="1:19" x14ac:dyDescent="0.3">
      <c r="A294" s="2" t="s">
        <v>14</v>
      </c>
      <c r="B294" s="3" t="s">
        <v>14</v>
      </c>
      <c r="C294" s="3" t="s">
        <v>223</v>
      </c>
      <c r="D294" s="3" t="s">
        <v>14</v>
      </c>
      <c r="E294" s="3" t="s">
        <v>107</v>
      </c>
      <c r="F294" s="4">
        <v>46141</v>
      </c>
      <c r="G294" s="3" t="s">
        <v>44</v>
      </c>
      <c r="H294" s="6">
        <v>-9605770</v>
      </c>
      <c r="I294" s="3" t="s">
        <v>17</v>
      </c>
      <c r="J294" s="3" t="s">
        <v>14</v>
      </c>
      <c r="K294" s="3" t="s">
        <v>14</v>
      </c>
      <c r="L294" s="3" t="s">
        <v>121</v>
      </c>
      <c r="M294" s="4">
        <v>46141</v>
      </c>
      <c r="N294" s="3" t="s">
        <v>152</v>
      </c>
      <c r="O294" s="3" t="s">
        <v>34</v>
      </c>
      <c r="P294" t="str">
        <f t="shared" si="4"/>
        <v>450012003810</v>
      </c>
      <c r="Q294" s="9" cm="1">
        <f t="array" ref="Q294:S294">VLOOKUP(P294,Hoja1!C:F,{2,3,4},FALSE)</f>
        <v>46203</v>
      </c>
      <c r="R294" t="str">
        <v>C21</v>
      </c>
      <c r="S294" t="str">
        <v>1000000634 RAIZEN ARGENTINA S.A.U.</v>
      </c>
    </row>
    <row r="295" spans="1:19" x14ac:dyDescent="0.3">
      <c r="A295" s="2" t="s">
        <v>14</v>
      </c>
      <c r="B295" s="3" t="s">
        <v>14</v>
      </c>
      <c r="C295" s="3" t="s">
        <v>223</v>
      </c>
      <c r="D295" s="3" t="s">
        <v>14</v>
      </c>
      <c r="E295" s="3" t="s">
        <v>107</v>
      </c>
      <c r="F295" s="4">
        <v>46141</v>
      </c>
      <c r="G295" s="3" t="s">
        <v>44</v>
      </c>
      <c r="H295" s="6">
        <v>-1094780</v>
      </c>
      <c r="I295" s="3" t="s">
        <v>17</v>
      </c>
      <c r="J295" s="3" t="s">
        <v>14</v>
      </c>
      <c r="K295" s="3" t="s">
        <v>14</v>
      </c>
      <c r="L295" s="3" t="s">
        <v>121</v>
      </c>
      <c r="M295" s="4">
        <v>46141</v>
      </c>
      <c r="N295" s="3" t="s">
        <v>152</v>
      </c>
      <c r="O295" s="3" t="s">
        <v>34</v>
      </c>
      <c r="P295" t="str">
        <f t="shared" si="4"/>
        <v>450012003810</v>
      </c>
      <c r="Q295" s="9" cm="1">
        <f t="array" ref="Q295:S295">VLOOKUP(P295,Hoja1!C:F,{2,3,4},FALSE)</f>
        <v>46203</v>
      </c>
      <c r="R295" t="str">
        <v>C21</v>
      </c>
      <c r="S295" t="str">
        <v>1000000634 RAIZEN ARGENTINA S.A.U.</v>
      </c>
    </row>
    <row r="296" spans="1:19" x14ac:dyDescent="0.3">
      <c r="A296" s="2" t="s">
        <v>14</v>
      </c>
      <c r="B296" s="3" t="s">
        <v>14</v>
      </c>
      <c r="C296" s="3" t="s">
        <v>224</v>
      </c>
      <c r="D296" s="3" t="s">
        <v>14</v>
      </c>
      <c r="E296" s="3" t="s">
        <v>107</v>
      </c>
      <c r="F296" s="4">
        <v>46141</v>
      </c>
      <c r="G296" s="3" t="s">
        <v>44</v>
      </c>
      <c r="H296" s="6">
        <v>-335100</v>
      </c>
      <c r="I296" s="3" t="s">
        <v>17</v>
      </c>
      <c r="J296" s="3" t="s">
        <v>14</v>
      </c>
      <c r="K296" s="3" t="s">
        <v>14</v>
      </c>
      <c r="L296" s="3" t="s">
        <v>108</v>
      </c>
      <c r="M296" s="4">
        <v>46141</v>
      </c>
      <c r="N296" s="3" t="s">
        <v>180</v>
      </c>
      <c r="O296" s="3" t="s">
        <v>34</v>
      </c>
      <c r="P296" t="str">
        <f t="shared" si="4"/>
        <v>450011911710</v>
      </c>
      <c r="Q296" s="9" cm="1">
        <f t="array" ref="Q296:S296">VLOOKUP(P296,Hoja1!C:F,{2,3,4},FALSE)</f>
        <v>46245</v>
      </c>
      <c r="R296" t="str">
        <v>C21</v>
      </c>
      <c r="S296" t="str">
        <v>1000001020 COMBUSTIBLES BARCELO S.R.L.</v>
      </c>
    </row>
    <row r="297" spans="1:19" x14ac:dyDescent="0.3">
      <c r="A297" s="2" t="s">
        <v>14</v>
      </c>
      <c r="B297" s="3" t="s">
        <v>14</v>
      </c>
      <c r="C297" s="3" t="s">
        <v>224</v>
      </c>
      <c r="D297" s="3" t="s">
        <v>14</v>
      </c>
      <c r="E297" s="3" t="s">
        <v>107</v>
      </c>
      <c r="F297" s="4">
        <v>46141</v>
      </c>
      <c r="G297" s="3" t="s">
        <v>44</v>
      </c>
      <c r="H297" s="6">
        <v>-38190</v>
      </c>
      <c r="I297" s="3" t="s">
        <v>17</v>
      </c>
      <c r="J297" s="3" t="s">
        <v>14</v>
      </c>
      <c r="K297" s="3" t="s">
        <v>14</v>
      </c>
      <c r="L297" s="3" t="s">
        <v>108</v>
      </c>
      <c r="M297" s="4">
        <v>46141</v>
      </c>
      <c r="N297" s="3" t="s">
        <v>180</v>
      </c>
      <c r="O297" s="3" t="s">
        <v>34</v>
      </c>
      <c r="P297" t="str">
        <f t="shared" si="4"/>
        <v>450011911710</v>
      </c>
      <c r="Q297" s="9" cm="1">
        <f t="array" ref="Q297:S297">VLOOKUP(P297,Hoja1!C:F,{2,3,4},FALSE)</f>
        <v>46245</v>
      </c>
      <c r="R297" t="str">
        <v>C21</v>
      </c>
      <c r="S297" t="str">
        <v>1000001020 COMBUSTIBLES BARCELO S.R.L.</v>
      </c>
    </row>
    <row r="298" spans="1:19" x14ac:dyDescent="0.3">
      <c r="A298" s="2" t="s">
        <v>14</v>
      </c>
      <c r="B298" s="3" t="s">
        <v>14</v>
      </c>
      <c r="C298" s="3" t="s">
        <v>225</v>
      </c>
      <c r="D298" s="3" t="s">
        <v>56</v>
      </c>
      <c r="E298" s="3" t="s">
        <v>107</v>
      </c>
      <c r="F298" s="4">
        <v>46142</v>
      </c>
      <c r="G298" s="3" t="s">
        <v>44</v>
      </c>
      <c r="H298" s="6">
        <v>-1591038</v>
      </c>
      <c r="I298" s="3" t="s">
        <v>17</v>
      </c>
      <c r="J298" s="3" t="s">
        <v>14</v>
      </c>
      <c r="K298" s="3" t="s">
        <v>14</v>
      </c>
      <c r="L298" s="3" t="s">
        <v>121</v>
      </c>
      <c r="M298" s="4">
        <v>46142</v>
      </c>
      <c r="N298" s="3" t="s">
        <v>226</v>
      </c>
      <c r="O298" s="3" t="s">
        <v>21</v>
      </c>
      <c r="P298" t="str">
        <f t="shared" si="4"/>
        <v>450012650820</v>
      </c>
      <c r="Q298" s="9" cm="1">
        <f t="array" ref="Q298:S298">VLOOKUP(P298,Hoja1!C:F,{2,3,4},FALSE)</f>
        <v>46203</v>
      </c>
      <c r="R298" t="str">
        <v>C21</v>
      </c>
      <c r="S298" t="str">
        <v>1000000634 RAIZEN ARGENTINA S.A.U.</v>
      </c>
    </row>
    <row r="299" spans="1:19" x14ac:dyDescent="0.3">
      <c r="A299" s="2" t="s">
        <v>14</v>
      </c>
      <c r="B299" s="3" t="s">
        <v>14</v>
      </c>
      <c r="C299" s="3" t="s">
        <v>225</v>
      </c>
      <c r="D299" s="3" t="s">
        <v>56</v>
      </c>
      <c r="E299" s="3" t="s">
        <v>107</v>
      </c>
      <c r="F299" s="4">
        <v>46142</v>
      </c>
      <c r="G299" s="3" t="s">
        <v>44</v>
      </c>
      <c r="H299" s="6">
        <v>-181465.2</v>
      </c>
      <c r="I299" s="3" t="s">
        <v>17</v>
      </c>
      <c r="J299" s="3" t="s">
        <v>14</v>
      </c>
      <c r="K299" s="3" t="s">
        <v>14</v>
      </c>
      <c r="L299" s="3" t="s">
        <v>121</v>
      </c>
      <c r="M299" s="4">
        <v>46142</v>
      </c>
      <c r="N299" s="3" t="s">
        <v>226</v>
      </c>
      <c r="O299" s="3" t="s">
        <v>21</v>
      </c>
      <c r="P299" t="str">
        <f t="shared" si="4"/>
        <v>450012650820</v>
      </c>
      <c r="Q299" s="9" cm="1">
        <f t="array" ref="Q299:S299">VLOOKUP(P299,Hoja1!C:F,{2,3,4},FALSE)</f>
        <v>46203</v>
      </c>
      <c r="R299" t="str">
        <v>C21</v>
      </c>
      <c r="S299" t="str">
        <v>1000000634 RAIZEN ARGENTINA S.A.U.</v>
      </c>
    </row>
    <row r="300" spans="1:19" x14ac:dyDescent="0.3">
      <c r="A300" s="2" t="s">
        <v>14</v>
      </c>
      <c r="B300" s="3" t="s">
        <v>14</v>
      </c>
      <c r="C300" s="3" t="s">
        <v>227</v>
      </c>
      <c r="D300" s="3" t="s">
        <v>14</v>
      </c>
      <c r="E300" s="3" t="s">
        <v>107</v>
      </c>
      <c r="F300" s="4">
        <v>46140</v>
      </c>
      <c r="G300" s="3" t="s">
        <v>44</v>
      </c>
      <c r="H300" s="6">
        <v>-585216.80000000005</v>
      </c>
      <c r="I300" s="3" t="s">
        <v>17</v>
      </c>
      <c r="J300" s="3" t="s">
        <v>14</v>
      </c>
      <c r="K300" s="3" t="s">
        <v>14</v>
      </c>
      <c r="L300" s="3" t="s">
        <v>228</v>
      </c>
      <c r="M300" s="4">
        <v>46142</v>
      </c>
      <c r="N300" s="3" t="s">
        <v>229</v>
      </c>
      <c r="O300" s="3" t="s">
        <v>34</v>
      </c>
      <c r="P300" t="str">
        <f t="shared" si="4"/>
        <v>450012623010</v>
      </c>
      <c r="Q300" s="9" cm="1">
        <f t="array" ref="Q300:S300">VLOOKUP(P300,Hoja1!C:F,{2,3,4},FALSE)</f>
        <v>46153</v>
      </c>
      <c r="R300" t="str">
        <v>C29</v>
      </c>
      <c r="S300" t="str">
        <v>1000000488 BETA S.A.</v>
      </c>
    </row>
    <row r="301" spans="1:19" x14ac:dyDescent="0.3">
      <c r="A301" s="2" t="s">
        <v>14</v>
      </c>
      <c r="B301" s="3" t="s">
        <v>14</v>
      </c>
      <c r="C301" s="3" t="s">
        <v>230</v>
      </c>
      <c r="D301" s="3" t="s">
        <v>14</v>
      </c>
      <c r="E301" s="3" t="s">
        <v>107</v>
      </c>
      <c r="F301" s="4">
        <v>46147</v>
      </c>
      <c r="G301" s="3" t="s">
        <v>44</v>
      </c>
      <c r="H301" s="6">
        <v>-9382380</v>
      </c>
      <c r="I301" s="3" t="s">
        <v>17</v>
      </c>
      <c r="J301" s="3" t="s">
        <v>14</v>
      </c>
      <c r="K301" s="3" t="s">
        <v>14</v>
      </c>
      <c r="L301" s="3" t="s">
        <v>121</v>
      </c>
      <c r="M301" s="4">
        <v>46147</v>
      </c>
      <c r="N301" s="3" t="s">
        <v>152</v>
      </c>
      <c r="O301" s="3" t="s">
        <v>34</v>
      </c>
      <c r="P301" t="str">
        <f t="shared" si="4"/>
        <v>450012003810</v>
      </c>
      <c r="Q301" s="9" cm="1">
        <f t="array" ref="Q301:S301">VLOOKUP(P301,Hoja1!C:F,{2,3,4},FALSE)</f>
        <v>46203</v>
      </c>
      <c r="R301" t="str">
        <v>C21</v>
      </c>
      <c r="S301" t="str">
        <v>1000000634 RAIZEN ARGENTINA S.A.U.</v>
      </c>
    </row>
    <row r="302" spans="1:19" x14ac:dyDescent="0.3">
      <c r="A302" s="2" t="s">
        <v>14</v>
      </c>
      <c r="B302" s="3" t="s">
        <v>14</v>
      </c>
      <c r="C302" s="3" t="s">
        <v>230</v>
      </c>
      <c r="D302" s="3" t="s">
        <v>14</v>
      </c>
      <c r="E302" s="3" t="s">
        <v>107</v>
      </c>
      <c r="F302" s="4">
        <v>46147</v>
      </c>
      <c r="G302" s="3" t="s">
        <v>44</v>
      </c>
      <c r="H302" s="6">
        <v>-1069320</v>
      </c>
      <c r="I302" s="3" t="s">
        <v>17</v>
      </c>
      <c r="J302" s="3" t="s">
        <v>14</v>
      </c>
      <c r="K302" s="3" t="s">
        <v>14</v>
      </c>
      <c r="L302" s="3" t="s">
        <v>121</v>
      </c>
      <c r="M302" s="4">
        <v>46147</v>
      </c>
      <c r="N302" s="3" t="s">
        <v>152</v>
      </c>
      <c r="O302" s="3" t="s">
        <v>34</v>
      </c>
      <c r="P302" t="str">
        <f t="shared" si="4"/>
        <v>450012003810</v>
      </c>
      <c r="Q302" s="9" cm="1">
        <f t="array" ref="Q302:S302">VLOOKUP(P302,Hoja1!C:F,{2,3,4},FALSE)</f>
        <v>46203</v>
      </c>
      <c r="R302" t="str">
        <v>C21</v>
      </c>
      <c r="S302" t="str">
        <v>1000000634 RAIZEN ARGENTINA S.A.U.</v>
      </c>
    </row>
    <row r="303" spans="1:19" x14ac:dyDescent="0.3">
      <c r="A303" s="2" t="s">
        <v>14</v>
      </c>
      <c r="B303" s="3" t="s">
        <v>14</v>
      </c>
      <c r="C303" s="3" t="s">
        <v>231</v>
      </c>
      <c r="D303" s="3" t="s">
        <v>56</v>
      </c>
      <c r="E303" s="3" t="s">
        <v>107</v>
      </c>
      <c r="F303" s="4">
        <v>46149</v>
      </c>
      <c r="G303" s="3" t="s">
        <v>44</v>
      </c>
      <c r="H303" s="6">
        <v>-1591038</v>
      </c>
      <c r="I303" s="3" t="s">
        <v>17</v>
      </c>
      <c r="J303" s="3" t="s">
        <v>14</v>
      </c>
      <c r="K303" s="3" t="s">
        <v>14</v>
      </c>
      <c r="L303" s="3" t="s">
        <v>121</v>
      </c>
      <c r="M303" s="4">
        <v>46149</v>
      </c>
      <c r="N303" s="3" t="s">
        <v>232</v>
      </c>
      <c r="O303" s="3" t="s">
        <v>34</v>
      </c>
      <c r="P303" t="str">
        <f t="shared" si="4"/>
        <v>450012679210</v>
      </c>
      <c r="Q303" s="9" cm="1">
        <f t="array" ref="Q303:S303">VLOOKUP(P303,Hoja1!C:F,{2,3,4},FALSE)</f>
        <v>46203</v>
      </c>
      <c r="R303" t="str">
        <v>C21</v>
      </c>
      <c r="S303" t="str">
        <v>1000000634 RAIZEN ARGENTINA S.A.U.</v>
      </c>
    </row>
    <row r="304" spans="1:19" x14ac:dyDescent="0.3">
      <c r="A304" s="2" t="s">
        <v>14</v>
      </c>
      <c r="B304" s="3" t="s">
        <v>14</v>
      </c>
      <c r="C304" s="3" t="s">
        <v>231</v>
      </c>
      <c r="D304" s="3" t="s">
        <v>56</v>
      </c>
      <c r="E304" s="3" t="s">
        <v>107</v>
      </c>
      <c r="F304" s="4">
        <v>46149</v>
      </c>
      <c r="G304" s="3" t="s">
        <v>44</v>
      </c>
      <c r="H304" s="6">
        <v>-181465.2</v>
      </c>
      <c r="I304" s="3" t="s">
        <v>17</v>
      </c>
      <c r="J304" s="3" t="s">
        <v>14</v>
      </c>
      <c r="K304" s="3" t="s">
        <v>14</v>
      </c>
      <c r="L304" s="3" t="s">
        <v>121</v>
      </c>
      <c r="M304" s="4">
        <v>46149</v>
      </c>
      <c r="N304" s="3" t="s">
        <v>232</v>
      </c>
      <c r="O304" s="3" t="s">
        <v>34</v>
      </c>
      <c r="P304" t="str">
        <f t="shared" si="4"/>
        <v>450012679210</v>
      </c>
      <c r="Q304" s="9" cm="1">
        <f t="array" ref="Q304:S304">VLOOKUP(P304,Hoja1!C:F,{2,3,4},FALSE)</f>
        <v>46203</v>
      </c>
      <c r="R304" t="str">
        <v>C21</v>
      </c>
      <c r="S304" t="str">
        <v>1000000634 RAIZEN ARGENTINA S.A.U.</v>
      </c>
    </row>
    <row r="305" spans="1:19" x14ac:dyDescent="0.3">
      <c r="A305" s="2" t="s">
        <v>14</v>
      </c>
      <c r="B305" s="3" t="s">
        <v>14</v>
      </c>
      <c r="C305" s="3" t="s">
        <v>233</v>
      </c>
      <c r="D305" s="3" t="s">
        <v>14</v>
      </c>
      <c r="E305" s="3" t="s">
        <v>107</v>
      </c>
      <c r="F305" s="4">
        <v>46149</v>
      </c>
      <c r="G305" s="3" t="s">
        <v>44</v>
      </c>
      <c r="H305" s="6">
        <v>-9382380</v>
      </c>
      <c r="I305" s="3" t="s">
        <v>17</v>
      </c>
      <c r="J305" s="3" t="s">
        <v>14</v>
      </c>
      <c r="K305" s="3" t="s">
        <v>14</v>
      </c>
      <c r="L305" s="3" t="s">
        <v>121</v>
      </c>
      <c r="M305" s="4">
        <v>46149</v>
      </c>
      <c r="N305" s="3" t="s">
        <v>152</v>
      </c>
      <c r="O305" s="3" t="s">
        <v>34</v>
      </c>
      <c r="P305" t="str">
        <f t="shared" si="4"/>
        <v>450012003810</v>
      </c>
      <c r="Q305" s="9" cm="1">
        <f t="array" ref="Q305:S305">VLOOKUP(P305,Hoja1!C:F,{2,3,4},FALSE)</f>
        <v>46203</v>
      </c>
      <c r="R305" t="str">
        <v>C21</v>
      </c>
      <c r="S305" t="str">
        <v>1000000634 RAIZEN ARGENTINA S.A.U.</v>
      </c>
    </row>
    <row r="306" spans="1:19" x14ac:dyDescent="0.3">
      <c r="A306" s="2" t="s">
        <v>14</v>
      </c>
      <c r="B306" s="3" t="s">
        <v>14</v>
      </c>
      <c r="C306" s="3" t="s">
        <v>233</v>
      </c>
      <c r="D306" s="3" t="s">
        <v>14</v>
      </c>
      <c r="E306" s="3" t="s">
        <v>107</v>
      </c>
      <c r="F306" s="4">
        <v>46149</v>
      </c>
      <c r="G306" s="3" t="s">
        <v>44</v>
      </c>
      <c r="H306" s="6">
        <v>-1069320</v>
      </c>
      <c r="I306" s="3" t="s">
        <v>17</v>
      </c>
      <c r="J306" s="3" t="s">
        <v>14</v>
      </c>
      <c r="K306" s="3" t="s">
        <v>14</v>
      </c>
      <c r="L306" s="3" t="s">
        <v>121</v>
      </c>
      <c r="M306" s="4">
        <v>46149</v>
      </c>
      <c r="N306" s="3" t="s">
        <v>152</v>
      </c>
      <c r="O306" s="3" t="s">
        <v>34</v>
      </c>
      <c r="P306" t="str">
        <f t="shared" si="4"/>
        <v>450012003810</v>
      </c>
      <c r="Q306" s="9" cm="1">
        <f t="array" ref="Q306:S306">VLOOKUP(P306,Hoja1!C:F,{2,3,4},FALSE)</f>
        <v>46203</v>
      </c>
      <c r="R306" t="str">
        <v>C21</v>
      </c>
      <c r="S306" t="str">
        <v>1000000634 RAIZEN ARGENTINA S.A.U.</v>
      </c>
    </row>
    <row r="307" spans="1:19" x14ac:dyDescent="0.3">
      <c r="A307" s="2" t="s">
        <v>14</v>
      </c>
      <c r="B307" s="3" t="s">
        <v>14</v>
      </c>
      <c r="C307" s="3" t="s">
        <v>234</v>
      </c>
      <c r="D307" s="3" t="s">
        <v>14</v>
      </c>
      <c r="E307" s="3" t="s">
        <v>107</v>
      </c>
      <c r="F307" s="4">
        <v>46149</v>
      </c>
      <c r="G307" s="3" t="s">
        <v>44</v>
      </c>
      <c r="H307" s="6">
        <v>-558500</v>
      </c>
      <c r="I307" s="3" t="s">
        <v>17</v>
      </c>
      <c r="J307" s="3" t="s">
        <v>14</v>
      </c>
      <c r="K307" s="3" t="s">
        <v>14</v>
      </c>
      <c r="L307" s="3" t="s">
        <v>108</v>
      </c>
      <c r="M307" s="4">
        <v>46149</v>
      </c>
      <c r="N307" s="3" t="s">
        <v>180</v>
      </c>
      <c r="O307" s="3" t="s">
        <v>34</v>
      </c>
      <c r="P307" t="str">
        <f t="shared" si="4"/>
        <v>450011911710</v>
      </c>
      <c r="Q307" s="9" cm="1">
        <f t="array" ref="Q307:S307">VLOOKUP(P307,Hoja1!C:F,{2,3,4},FALSE)</f>
        <v>46245</v>
      </c>
      <c r="R307" t="str">
        <v>C21</v>
      </c>
      <c r="S307" t="str">
        <v>1000001020 COMBUSTIBLES BARCELO S.R.L.</v>
      </c>
    </row>
    <row r="308" spans="1:19" x14ac:dyDescent="0.3">
      <c r="A308" s="2" t="s">
        <v>14</v>
      </c>
      <c r="B308" s="3" t="s">
        <v>14</v>
      </c>
      <c r="C308" s="3" t="s">
        <v>234</v>
      </c>
      <c r="D308" s="3" t="s">
        <v>14</v>
      </c>
      <c r="E308" s="3" t="s">
        <v>107</v>
      </c>
      <c r="F308" s="4">
        <v>46149</v>
      </c>
      <c r="G308" s="3" t="s">
        <v>44</v>
      </c>
      <c r="H308" s="6">
        <v>-63650</v>
      </c>
      <c r="I308" s="3" t="s">
        <v>17</v>
      </c>
      <c r="J308" s="3" t="s">
        <v>14</v>
      </c>
      <c r="K308" s="3" t="s">
        <v>14</v>
      </c>
      <c r="L308" s="3" t="s">
        <v>108</v>
      </c>
      <c r="M308" s="4">
        <v>46149</v>
      </c>
      <c r="N308" s="3" t="s">
        <v>180</v>
      </c>
      <c r="O308" s="3" t="s">
        <v>34</v>
      </c>
      <c r="P308" t="str">
        <f t="shared" si="4"/>
        <v>450011911710</v>
      </c>
      <c r="Q308" s="9" cm="1">
        <f t="array" ref="Q308:S308">VLOOKUP(P308,Hoja1!C:F,{2,3,4},FALSE)</f>
        <v>46245</v>
      </c>
      <c r="R308" t="str">
        <v>C21</v>
      </c>
      <c r="S308" t="str">
        <v>1000001020 COMBUSTIBLES BARCELO S.R.L.</v>
      </c>
    </row>
    <row r="309" spans="1:19" x14ac:dyDescent="0.3">
      <c r="A309" s="2" t="s">
        <v>14</v>
      </c>
      <c r="B309" s="3" t="s">
        <v>14</v>
      </c>
      <c r="C309" s="3" t="s">
        <v>235</v>
      </c>
      <c r="D309" s="3" t="s">
        <v>14</v>
      </c>
      <c r="E309" s="3" t="s">
        <v>107</v>
      </c>
      <c r="F309" s="4">
        <v>46151</v>
      </c>
      <c r="G309" s="3" t="s">
        <v>44</v>
      </c>
      <c r="H309" s="6">
        <v>-9382380</v>
      </c>
      <c r="I309" s="3" t="s">
        <v>17</v>
      </c>
      <c r="J309" s="3" t="s">
        <v>14</v>
      </c>
      <c r="K309" s="3" t="s">
        <v>14</v>
      </c>
      <c r="L309" s="3" t="s">
        <v>121</v>
      </c>
      <c r="M309" s="4">
        <v>46153</v>
      </c>
      <c r="N309" s="3" t="s">
        <v>152</v>
      </c>
      <c r="O309" s="3" t="s">
        <v>34</v>
      </c>
      <c r="P309" t="str">
        <f t="shared" si="4"/>
        <v>450012003810</v>
      </c>
      <c r="Q309" s="9" cm="1">
        <f t="array" ref="Q309:S309">VLOOKUP(P309,Hoja1!C:F,{2,3,4},FALSE)</f>
        <v>46203</v>
      </c>
      <c r="R309" t="str">
        <v>C21</v>
      </c>
      <c r="S309" t="str">
        <v>1000000634 RAIZEN ARGENTINA S.A.U.</v>
      </c>
    </row>
    <row r="310" spans="1:19" x14ac:dyDescent="0.3">
      <c r="A310" s="2" t="s">
        <v>14</v>
      </c>
      <c r="B310" s="3" t="s">
        <v>14</v>
      </c>
      <c r="C310" s="3" t="s">
        <v>235</v>
      </c>
      <c r="D310" s="3" t="s">
        <v>14</v>
      </c>
      <c r="E310" s="3" t="s">
        <v>107</v>
      </c>
      <c r="F310" s="4">
        <v>46151</v>
      </c>
      <c r="G310" s="3" t="s">
        <v>44</v>
      </c>
      <c r="H310" s="6">
        <v>-1069320</v>
      </c>
      <c r="I310" s="3" t="s">
        <v>17</v>
      </c>
      <c r="J310" s="3" t="s">
        <v>14</v>
      </c>
      <c r="K310" s="3" t="s">
        <v>14</v>
      </c>
      <c r="L310" s="3" t="s">
        <v>121</v>
      </c>
      <c r="M310" s="4">
        <v>46153</v>
      </c>
      <c r="N310" s="3" t="s">
        <v>152</v>
      </c>
      <c r="O310" s="3" t="s">
        <v>34</v>
      </c>
      <c r="P310" t="str">
        <f t="shared" si="4"/>
        <v>450012003810</v>
      </c>
      <c r="Q310" s="9" cm="1">
        <f t="array" ref="Q310:S310">VLOOKUP(P310,Hoja1!C:F,{2,3,4},FALSE)</f>
        <v>46203</v>
      </c>
      <c r="R310" t="str">
        <v>C21</v>
      </c>
      <c r="S310" t="str">
        <v>1000000634 RAIZEN ARGENTINA S.A.U.</v>
      </c>
    </row>
    <row r="311" spans="1:19" x14ac:dyDescent="0.3">
      <c r="A311" s="2" t="s">
        <v>14</v>
      </c>
      <c r="B311" s="3" t="s">
        <v>14</v>
      </c>
      <c r="C311" s="3" t="s">
        <v>236</v>
      </c>
      <c r="D311" s="3" t="s">
        <v>56</v>
      </c>
      <c r="E311" s="3" t="s">
        <v>107</v>
      </c>
      <c r="F311" s="4">
        <v>46153</v>
      </c>
      <c r="G311" s="3" t="s">
        <v>44</v>
      </c>
      <c r="H311" s="6">
        <v>-1591038</v>
      </c>
      <c r="I311" s="3" t="s">
        <v>17</v>
      </c>
      <c r="J311" s="3" t="s">
        <v>14</v>
      </c>
      <c r="K311" s="3" t="s">
        <v>14</v>
      </c>
      <c r="L311" s="3" t="s">
        <v>121</v>
      </c>
      <c r="M311" s="4">
        <v>46153</v>
      </c>
      <c r="N311" s="3" t="s">
        <v>237</v>
      </c>
      <c r="O311" s="3" t="s">
        <v>34</v>
      </c>
      <c r="P311" t="str">
        <f t="shared" si="4"/>
        <v>450012701210</v>
      </c>
      <c r="Q311" s="9" cm="1">
        <f t="array" ref="Q311:S311">VLOOKUP(P311,Hoja1!C:F,{2,3,4},FALSE)</f>
        <v>46203</v>
      </c>
      <c r="R311" t="str">
        <v>C21</v>
      </c>
      <c r="S311" t="str">
        <v>1000000634 RAIZEN ARGENTINA S.A.U.</v>
      </c>
    </row>
    <row r="312" spans="1:19" x14ac:dyDescent="0.3">
      <c r="A312" s="2" t="s">
        <v>14</v>
      </c>
      <c r="B312" s="3" t="s">
        <v>14</v>
      </c>
      <c r="C312" s="3" t="s">
        <v>236</v>
      </c>
      <c r="D312" s="3" t="s">
        <v>56</v>
      </c>
      <c r="E312" s="3" t="s">
        <v>107</v>
      </c>
      <c r="F312" s="4">
        <v>46153</v>
      </c>
      <c r="G312" s="3" t="s">
        <v>44</v>
      </c>
      <c r="H312" s="6">
        <v>-181465.2</v>
      </c>
      <c r="I312" s="3" t="s">
        <v>17</v>
      </c>
      <c r="J312" s="3" t="s">
        <v>14</v>
      </c>
      <c r="K312" s="3" t="s">
        <v>14</v>
      </c>
      <c r="L312" s="3" t="s">
        <v>121</v>
      </c>
      <c r="M312" s="4">
        <v>46153</v>
      </c>
      <c r="N312" s="3" t="s">
        <v>237</v>
      </c>
      <c r="O312" s="3" t="s">
        <v>34</v>
      </c>
      <c r="P312" t="str">
        <f t="shared" si="4"/>
        <v>450012701210</v>
      </c>
      <c r="Q312" s="9" cm="1">
        <f t="array" ref="Q312:S312">VLOOKUP(P312,Hoja1!C:F,{2,3,4},FALSE)</f>
        <v>46203</v>
      </c>
      <c r="R312" t="str">
        <v>C21</v>
      </c>
      <c r="S312" t="str">
        <v>1000000634 RAIZEN ARGENTINA S.A.U.</v>
      </c>
    </row>
    <row r="313" spans="1:19" x14ac:dyDescent="0.3">
      <c r="A313" s="2" t="s">
        <v>14</v>
      </c>
      <c r="B313" s="3" t="s">
        <v>14</v>
      </c>
      <c r="C313" s="3" t="s">
        <v>238</v>
      </c>
      <c r="D313" s="3" t="s">
        <v>14</v>
      </c>
      <c r="E313" s="3" t="s">
        <v>107</v>
      </c>
      <c r="F313" s="4">
        <v>46146</v>
      </c>
      <c r="G313" s="3" t="s">
        <v>44</v>
      </c>
      <c r="H313" s="6">
        <v>-4031890</v>
      </c>
      <c r="I313" s="3" t="s">
        <v>17</v>
      </c>
      <c r="J313" s="3" t="s">
        <v>14</v>
      </c>
      <c r="K313" s="3" t="s">
        <v>14</v>
      </c>
      <c r="L313" s="3" t="s">
        <v>211</v>
      </c>
      <c r="M313" s="4">
        <v>46154</v>
      </c>
      <c r="N313" s="3" t="s">
        <v>239</v>
      </c>
      <c r="O313" s="3" t="s">
        <v>34</v>
      </c>
      <c r="P313" t="str">
        <f t="shared" si="4"/>
        <v>450012716010</v>
      </c>
      <c r="Q313" s="9" cm="1">
        <f t="array" ref="Q313:S313">VLOOKUP(P313,Hoja1!C:F,{2,3,4},FALSE)</f>
        <v>46170</v>
      </c>
      <c r="R313" t="str">
        <v>C21</v>
      </c>
      <c r="S313" t="str">
        <v>1000002248 BIOENDESA SA</v>
      </c>
    </row>
    <row r="314" spans="1:19" x14ac:dyDescent="0.3">
      <c r="A314" s="2" t="s">
        <v>14</v>
      </c>
      <c r="B314" s="3" t="s">
        <v>14</v>
      </c>
      <c r="C314" s="3" t="s">
        <v>238</v>
      </c>
      <c r="D314" s="3" t="s">
        <v>14</v>
      </c>
      <c r="E314" s="3" t="s">
        <v>107</v>
      </c>
      <c r="F314" s="4">
        <v>46146</v>
      </c>
      <c r="G314" s="3" t="s">
        <v>44</v>
      </c>
      <c r="H314" s="6">
        <v>-459510</v>
      </c>
      <c r="I314" s="3" t="s">
        <v>17</v>
      </c>
      <c r="J314" s="3" t="s">
        <v>14</v>
      </c>
      <c r="K314" s="3" t="s">
        <v>14</v>
      </c>
      <c r="L314" s="3" t="s">
        <v>211</v>
      </c>
      <c r="M314" s="4">
        <v>46154</v>
      </c>
      <c r="N314" s="3" t="s">
        <v>239</v>
      </c>
      <c r="O314" s="3" t="s">
        <v>34</v>
      </c>
      <c r="P314" t="str">
        <f t="shared" si="4"/>
        <v>450012716010</v>
      </c>
      <c r="Q314" s="9" cm="1">
        <f t="array" ref="Q314:S314">VLOOKUP(P314,Hoja1!C:F,{2,3,4},FALSE)</f>
        <v>46170</v>
      </c>
      <c r="R314" t="str">
        <v>C21</v>
      </c>
      <c r="S314" t="str">
        <v>1000002248 BIOENDESA SA</v>
      </c>
    </row>
    <row r="315" spans="1:19" x14ac:dyDescent="0.3">
      <c r="A315" s="2" t="s">
        <v>14</v>
      </c>
      <c r="B315" s="3" t="s">
        <v>14</v>
      </c>
      <c r="C315" s="3" t="s">
        <v>240</v>
      </c>
      <c r="D315" s="3" t="s">
        <v>14</v>
      </c>
      <c r="E315" s="3" t="s">
        <v>107</v>
      </c>
      <c r="F315" s="4">
        <v>46150</v>
      </c>
      <c r="G315" s="3" t="s">
        <v>44</v>
      </c>
      <c r="H315" s="6">
        <v>-4031890</v>
      </c>
      <c r="I315" s="3" t="s">
        <v>17</v>
      </c>
      <c r="J315" s="3" t="s">
        <v>14</v>
      </c>
      <c r="K315" s="3" t="s">
        <v>14</v>
      </c>
      <c r="L315" s="3" t="s">
        <v>211</v>
      </c>
      <c r="M315" s="4">
        <v>46154</v>
      </c>
      <c r="N315" s="3" t="s">
        <v>239</v>
      </c>
      <c r="O315" s="3" t="s">
        <v>34</v>
      </c>
      <c r="P315" t="str">
        <f t="shared" si="4"/>
        <v>450012716010</v>
      </c>
      <c r="Q315" s="9" cm="1">
        <f t="array" ref="Q315:S315">VLOOKUP(P315,Hoja1!C:F,{2,3,4},FALSE)</f>
        <v>46170</v>
      </c>
      <c r="R315" t="str">
        <v>C21</v>
      </c>
      <c r="S315" t="str">
        <v>1000002248 BIOENDESA SA</v>
      </c>
    </row>
    <row r="316" spans="1:19" x14ac:dyDescent="0.3">
      <c r="A316" s="2" t="s">
        <v>14</v>
      </c>
      <c r="B316" s="3" t="s">
        <v>14</v>
      </c>
      <c r="C316" s="3" t="s">
        <v>240</v>
      </c>
      <c r="D316" s="3" t="s">
        <v>14</v>
      </c>
      <c r="E316" s="3" t="s">
        <v>107</v>
      </c>
      <c r="F316" s="4">
        <v>46150</v>
      </c>
      <c r="G316" s="3" t="s">
        <v>44</v>
      </c>
      <c r="H316" s="6">
        <v>-459510</v>
      </c>
      <c r="I316" s="3" t="s">
        <v>17</v>
      </c>
      <c r="J316" s="3" t="s">
        <v>14</v>
      </c>
      <c r="K316" s="3" t="s">
        <v>14</v>
      </c>
      <c r="L316" s="3" t="s">
        <v>211</v>
      </c>
      <c r="M316" s="4">
        <v>46154</v>
      </c>
      <c r="N316" s="3" t="s">
        <v>239</v>
      </c>
      <c r="O316" s="3" t="s">
        <v>34</v>
      </c>
      <c r="P316" t="str">
        <f t="shared" si="4"/>
        <v>450012716010</v>
      </c>
      <c r="Q316" s="9" cm="1">
        <f t="array" ref="Q316:S316">VLOOKUP(P316,Hoja1!C:F,{2,3,4},FALSE)</f>
        <v>46170</v>
      </c>
      <c r="R316" t="str">
        <v>C21</v>
      </c>
      <c r="S316" t="str">
        <v>1000002248 BIOENDESA SA</v>
      </c>
    </row>
    <row r="317" spans="1:19" x14ac:dyDescent="0.3">
      <c r="A317" s="2" t="s">
        <v>14</v>
      </c>
      <c r="B317" s="3" t="s">
        <v>14</v>
      </c>
      <c r="C317" s="3" t="s">
        <v>241</v>
      </c>
      <c r="D317" s="3" t="s">
        <v>56</v>
      </c>
      <c r="E317" s="3" t="s">
        <v>107</v>
      </c>
      <c r="F317" s="4">
        <v>46154</v>
      </c>
      <c r="G317" s="3" t="s">
        <v>44</v>
      </c>
      <c r="H317" s="6">
        <v>-1591038</v>
      </c>
      <c r="I317" s="3" t="s">
        <v>17</v>
      </c>
      <c r="J317" s="3" t="s">
        <v>14</v>
      </c>
      <c r="K317" s="3" t="s">
        <v>14</v>
      </c>
      <c r="L317" s="3" t="s">
        <v>121</v>
      </c>
      <c r="M317" s="4">
        <v>46154</v>
      </c>
      <c r="N317" s="3" t="s">
        <v>242</v>
      </c>
      <c r="O317" s="3" t="s">
        <v>34</v>
      </c>
      <c r="P317" t="str">
        <f t="shared" si="4"/>
        <v>450012728310</v>
      </c>
      <c r="Q317" s="9" cm="1">
        <f t="array" ref="Q317:S317">VLOOKUP(P317,Hoja1!C:F,{2,3,4},FALSE)</f>
        <v>46203</v>
      </c>
      <c r="R317" t="str">
        <v>C21</v>
      </c>
      <c r="S317" t="str">
        <v>1000000634 RAIZEN ARGENTINA S.A.U.</v>
      </c>
    </row>
    <row r="318" spans="1:19" x14ac:dyDescent="0.3">
      <c r="A318" s="2" t="s">
        <v>14</v>
      </c>
      <c r="B318" s="3" t="s">
        <v>14</v>
      </c>
      <c r="C318" s="3" t="s">
        <v>241</v>
      </c>
      <c r="D318" s="3" t="s">
        <v>56</v>
      </c>
      <c r="E318" s="3" t="s">
        <v>107</v>
      </c>
      <c r="F318" s="4">
        <v>46154</v>
      </c>
      <c r="G318" s="3" t="s">
        <v>44</v>
      </c>
      <c r="H318" s="6">
        <v>-181465.2</v>
      </c>
      <c r="I318" s="3" t="s">
        <v>17</v>
      </c>
      <c r="J318" s="3" t="s">
        <v>14</v>
      </c>
      <c r="K318" s="3" t="s">
        <v>14</v>
      </c>
      <c r="L318" s="3" t="s">
        <v>121</v>
      </c>
      <c r="M318" s="4">
        <v>46154</v>
      </c>
      <c r="N318" s="3" t="s">
        <v>242</v>
      </c>
      <c r="O318" s="3" t="s">
        <v>34</v>
      </c>
      <c r="P318" t="str">
        <f t="shared" si="4"/>
        <v>450012728310</v>
      </c>
      <c r="Q318" s="9" cm="1">
        <f t="array" ref="Q318:S318">VLOOKUP(P318,Hoja1!C:F,{2,3,4},FALSE)</f>
        <v>46203</v>
      </c>
      <c r="R318" t="str">
        <v>C21</v>
      </c>
      <c r="S318" t="str">
        <v>1000000634 RAIZEN ARGENTINA S.A.U.</v>
      </c>
    </row>
    <row r="319" spans="1:19" x14ac:dyDescent="0.3">
      <c r="A319" s="2" t="s">
        <v>14</v>
      </c>
      <c r="B319" s="3" t="s">
        <v>14</v>
      </c>
      <c r="C319" s="3" t="s">
        <v>243</v>
      </c>
      <c r="D319" s="3" t="s">
        <v>14</v>
      </c>
      <c r="E319" s="3" t="s">
        <v>107</v>
      </c>
      <c r="F319" s="4">
        <v>46155</v>
      </c>
      <c r="G319" s="3" t="s">
        <v>44</v>
      </c>
      <c r="H319" s="6">
        <v>-223.4</v>
      </c>
      <c r="I319" s="3" t="s">
        <v>17</v>
      </c>
      <c r="J319" s="3" t="s">
        <v>14</v>
      </c>
      <c r="K319" s="3" t="s">
        <v>14</v>
      </c>
      <c r="L319" s="3" t="s">
        <v>108</v>
      </c>
      <c r="M319" s="4">
        <v>46155</v>
      </c>
      <c r="N319" s="3" t="s">
        <v>244</v>
      </c>
      <c r="O319" s="3" t="s">
        <v>34</v>
      </c>
      <c r="P319" t="str">
        <f t="shared" si="4"/>
        <v>450012757110</v>
      </c>
      <c r="Q319" s="9" cm="1">
        <f t="array" ref="Q319:S319">VLOOKUP(P319,Hoja1!C:F,{2,3,4},FALSE)</f>
        <v>46184</v>
      </c>
      <c r="R319" t="str">
        <v>C21</v>
      </c>
      <c r="S319" t="str">
        <v>1000001020 COMBUSTIBLES BARCELO S.R.L.</v>
      </c>
    </row>
    <row r="320" spans="1:19" x14ac:dyDescent="0.3">
      <c r="A320" s="2" t="s">
        <v>14</v>
      </c>
      <c r="B320" s="3" t="s">
        <v>14</v>
      </c>
      <c r="C320" s="3" t="s">
        <v>243</v>
      </c>
      <c r="D320" s="3" t="s">
        <v>14</v>
      </c>
      <c r="E320" s="3" t="s">
        <v>107</v>
      </c>
      <c r="F320" s="4">
        <v>46155</v>
      </c>
      <c r="G320" s="3" t="s">
        <v>44</v>
      </c>
      <c r="H320" s="6">
        <v>-25.46</v>
      </c>
      <c r="I320" s="3" t="s">
        <v>17</v>
      </c>
      <c r="J320" s="3" t="s">
        <v>14</v>
      </c>
      <c r="K320" s="3" t="s">
        <v>14</v>
      </c>
      <c r="L320" s="3" t="s">
        <v>108</v>
      </c>
      <c r="M320" s="4">
        <v>46155</v>
      </c>
      <c r="N320" s="3" t="s">
        <v>244</v>
      </c>
      <c r="O320" s="3" t="s">
        <v>34</v>
      </c>
      <c r="P320" t="str">
        <f t="shared" si="4"/>
        <v>450012757110</v>
      </c>
      <c r="Q320" s="9" cm="1">
        <f t="array" ref="Q320:S320">VLOOKUP(P320,Hoja1!C:F,{2,3,4},FALSE)</f>
        <v>46184</v>
      </c>
      <c r="R320" t="str">
        <v>C21</v>
      </c>
      <c r="S320" t="str">
        <v>1000001020 COMBUSTIBLES BARCELO S.R.L.</v>
      </c>
    </row>
    <row r="321" spans="1:19" x14ac:dyDescent="0.3">
      <c r="A321" s="2" t="s">
        <v>14</v>
      </c>
      <c r="B321" s="3" t="s">
        <v>14</v>
      </c>
      <c r="C321" s="3" t="s">
        <v>245</v>
      </c>
      <c r="D321" s="3" t="s">
        <v>14</v>
      </c>
      <c r="E321" s="3" t="s">
        <v>107</v>
      </c>
      <c r="F321" s="4">
        <v>46155</v>
      </c>
      <c r="G321" s="3" t="s">
        <v>44</v>
      </c>
      <c r="H321" s="6">
        <v>-9382380</v>
      </c>
      <c r="I321" s="3" t="s">
        <v>17</v>
      </c>
      <c r="J321" s="3" t="s">
        <v>14</v>
      </c>
      <c r="K321" s="3" t="s">
        <v>14</v>
      </c>
      <c r="L321" s="3" t="s">
        <v>121</v>
      </c>
      <c r="M321" s="4">
        <v>46158</v>
      </c>
      <c r="N321" s="3" t="s">
        <v>152</v>
      </c>
      <c r="O321" s="3" t="s">
        <v>34</v>
      </c>
      <c r="P321" t="str">
        <f t="shared" si="4"/>
        <v>450012003810</v>
      </c>
      <c r="Q321" s="9" cm="1">
        <f t="array" ref="Q321:S321">VLOOKUP(P321,Hoja1!C:F,{2,3,4},FALSE)</f>
        <v>46203</v>
      </c>
      <c r="R321" t="str">
        <v>C21</v>
      </c>
      <c r="S321" t="str">
        <v>1000000634 RAIZEN ARGENTINA S.A.U.</v>
      </c>
    </row>
    <row r="322" spans="1:19" x14ac:dyDescent="0.3">
      <c r="A322" s="2" t="s">
        <v>14</v>
      </c>
      <c r="B322" s="3" t="s">
        <v>14</v>
      </c>
      <c r="C322" s="3" t="s">
        <v>245</v>
      </c>
      <c r="D322" s="3" t="s">
        <v>14</v>
      </c>
      <c r="E322" s="3" t="s">
        <v>107</v>
      </c>
      <c r="F322" s="4">
        <v>46155</v>
      </c>
      <c r="G322" s="3" t="s">
        <v>44</v>
      </c>
      <c r="H322" s="6">
        <v>-1069320</v>
      </c>
      <c r="I322" s="3" t="s">
        <v>17</v>
      </c>
      <c r="J322" s="3" t="s">
        <v>14</v>
      </c>
      <c r="K322" s="3" t="s">
        <v>14</v>
      </c>
      <c r="L322" s="3" t="s">
        <v>121</v>
      </c>
      <c r="M322" s="4">
        <v>46158</v>
      </c>
      <c r="N322" s="3" t="s">
        <v>152</v>
      </c>
      <c r="O322" s="3" t="s">
        <v>34</v>
      </c>
      <c r="P322" t="str">
        <f t="shared" si="4"/>
        <v>450012003810</v>
      </c>
      <c r="Q322" s="9" cm="1">
        <f t="array" ref="Q322:S322">VLOOKUP(P322,Hoja1!C:F,{2,3,4},FALSE)</f>
        <v>46203</v>
      </c>
      <c r="R322" t="str">
        <v>C21</v>
      </c>
      <c r="S322" t="str">
        <v>1000000634 RAIZEN ARGENTINA S.A.U.</v>
      </c>
    </row>
    <row r="323" spans="1:19" x14ac:dyDescent="0.3">
      <c r="A323" s="2" t="s">
        <v>14</v>
      </c>
      <c r="B323" s="3" t="s">
        <v>14</v>
      </c>
      <c r="C323" s="3" t="s">
        <v>246</v>
      </c>
      <c r="D323" s="3" t="s">
        <v>14</v>
      </c>
      <c r="E323" s="3" t="s">
        <v>107</v>
      </c>
      <c r="F323" s="4">
        <v>46157</v>
      </c>
      <c r="G323" s="3" t="s">
        <v>44</v>
      </c>
      <c r="H323" s="6">
        <v>-9382380</v>
      </c>
      <c r="I323" s="3" t="s">
        <v>17</v>
      </c>
      <c r="J323" s="3" t="s">
        <v>14</v>
      </c>
      <c r="K323" s="3" t="s">
        <v>14</v>
      </c>
      <c r="L323" s="3" t="s">
        <v>121</v>
      </c>
      <c r="M323" s="4">
        <v>46158</v>
      </c>
      <c r="N323" s="3" t="s">
        <v>152</v>
      </c>
      <c r="O323" s="3" t="s">
        <v>34</v>
      </c>
      <c r="P323" t="str">
        <f t="shared" ref="P323:P386" si="5">_xlfn.CONCAT(N323:O323)</f>
        <v>450012003810</v>
      </c>
      <c r="Q323" s="9" cm="1">
        <f t="array" ref="Q323:S323">VLOOKUP(P323,Hoja1!C:F,{2,3,4},FALSE)</f>
        <v>46203</v>
      </c>
      <c r="R323" t="str">
        <v>C21</v>
      </c>
      <c r="S323" t="str">
        <v>1000000634 RAIZEN ARGENTINA S.A.U.</v>
      </c>
    </row>
    <row r="324" spans="1:19" x14ac:dyDescent="0.3">
      <c r="A324" s="2" t="s">
        <v>14</v>
      </c>
      <c r="B324" s="3" t="s">
        <v>14</v>
      </c>
      <c r="C324" s="3" t="s">
        <v>246</v>
      </c>
      <c r="D324" s="3" t="s">
        <v>14</v>
      </c>
      <c r="E324" s="3" t="s">
        <v>107</v>
      </c>
      <c r="F324" s="4">
        <v>46157</v>
      </c>
      <c r="G324" s="3" t="s">
        <v>44</v>
      </c>
      <c r="H324" s="6">
        <v>-1069320</v>
      </c>
      <c r="I324" s="3" t="s">
        <v>17</v>
      </c>
      <c r="J324" s="3" t="s">
        <v>14</v>
      </c>
      <c r="K324" s="3" t="s">
        <v>14</v>
      </c>
      <c r="L324" s="3" t="s">
        <v>121</v>
      </c>
      <c r="M324" s="4">
        <v>46158</v>
      </c>
      <c r="N324" s="3" t="s">
        <v>152</v>
      </c>
      <c r="O324" s="3" t="s">
        <v>34</v>
      </c>
      <c r="P324" t="str">
        <f t="shared" si="5"/>
        <v>450012003810</v>
      </c>
      <c r="Q324" s="9" cm="1">
        <f t="array" ref="Q324:S324">VLOOKUP(P324,Hoja1!C:F,{2,3,4},FALSE)</f>
        <v>46203</v>
      </c>
      <c r="R324" t="str">
        <v>C21</v>
      </c>
      <c r="S324" t="str">
        <v>1000000634 RAIZEN ARGENTINA S.A.U.</v>
      </c>
    </row>
    <row r="325" spans="1:19" x14ac:dyDescent="0.3">
      <c r="A325" s="2" t="s">
        <v>14</v>
      </c>
      <c r="B325" s="3" t="s">
        <v>14</v>
      </c>
      <c r="C325" s="3" t="s">
        <v>247</v>
      </c>
      <c r="D325" s="3" t="s">
        <v>14</v>
      </c>
      <c r="E325" s="3" t="s">
        <v>107</v>
      </c>
      <c r="F325" s="4">
        <v>46158</v>
      </c>
      <c r="G325" s="3" t="s">
        <v>44</v>
      </c>
      <c r="H325" s="6">
        <v>-9382380</v>
      </c>
      <c r="I325" s="3" t="s">
        <v>17</v>
      </c>
      <c r="J325" s="3" t="s">
        <v>14</v>
      </c>
      <c r="K325" s="3" t="s">
        <v>14</v>
      </c>
      <c r="L325" s="3" t="s">
        <v>121</v>
      </c>
      <c r="M325" s="4">
        <v>46160</v>
      </c>
      <c r="N325" s="3" t="s">
        <v>152</v>
      </c>
      <c r="O325" s="3" t="s">
        <v>34</v>
      </c>
      <c r="P325" t="str">
        <f t="shared" si="5"/>
        <v>450012003810</v>
      </c>
      <c r="Q325" s="9" cm="1">
        <f t="array" ref="Q325:S325">VLOOKUP(P325,Hoja1!C:F,{2,3,4},FALSE)</f>
        <v>46203</v>
      </c>
      <c r="R325" t="str">
        <v>C21</v>
      </c>
      <c r="S325" t="str">
        <v>1000000634 RAIZEN ARGENTINA S.A.U.</v>
      </c>
    </row>
    <row r="326" spans="1:19" x14ac:dyDescent="0.3">
      <c r="A326" s="2" t="s">
        <v>14</v>
      </c>
      <c r="B326" s="3" t="s">
        <v>14</v>
      </c>
      <c r="C326" s="3" t="s">
        <v>247</v>
      </c>
      <c r="D326" s="3" t="s">
        <v>14</v>
      </c>
      <c r="E326" s="3" t="s">
        <v>107</v>
      </c>
      <c r="F326" s="4">
        <v>46158</v>
      </c>
      <c r="G326" s="3" t="s">
        <v>44</v>
      </c>
      <c r="H326" s="6">
        <v>-1069320</v>
      </c>
      <c r="I326" s="3" t="s">
        <v>17</v>
      </c>
      <c r="J326" s="3" t="s">
        <v>14</v>
      </c>
      <c r="K326" s="3" t="s">
        <v>14</v>
      </c>
      <c r="L326" s="3" t="s">
        <v>121</v>
      </c>
      <c r="M326" s="4">
        <v>46160</v>
      </c>
      <c r="N326" s="3" t="s">
        <v>152</v>
      </c>
      <c r="O326" s="3" t="s">
        <v>34</v>
      </c>
      <c r="P326" t="str">
        <f t="shared" si="5"/>
        <v>450012003810</v>
      </c>
      <c r="Q326" s="9" cm="1">
        <f t="array" ref="Q326:S326">VLOOKUP(P326,Hoja1!C:F,{2,3,4},FALSE)</f>
        <v>46203</v>
      </c>
      <c r="R326" t="str">
        <v>C21</v>
      </c>
      <c r="S326" t="str">
        <v>1000000634 RAIZEN ARGENTINA S.A.U.</v>
      </c>
    </row>
    <row r="327" spans="1:19" x14ac:dyDescent="0.3">
      <c r="A327" s="2" t="s">
        <v>14</v>
      </c>
      <c r="B327" s="3" t="s">
        <v>14</v>
      </c>
      <c r="C327" s="3" t="s">
        <v>248</v>
      </c>
      <c r="D327" s="3" t="s">
        <v>14</v>
      </c>
      <c r="E327" s="3" t="s">
        <v>107</v>
      </c>
      <c r="F327" s="4">
        <v>46160</v>
      </c>
      <c r="G327" s="3" t="s">
        <v>44</v>
      </c>
      <c r="H327" s="6">
        <v>-4031890</v>
      </c>
      <c r="I327" s="3" t="s">
        <v>17</v>
      </c>
      <c r="J327" s="3" t="s">
        <v>14</v>
      </c>
      <c r="K327" s="3" t="s">
        <v>14</v>
      </c>
      <c r="L327" s="3" t="s">
        <v>211</v>
      </c>
      <c r="M327" s="4">
        <v>46160</v>
      </c>
      <c r="N327" s="3" t="s">
        <v>239</v>
      </c>
      <c r="O327" s="3" t="s">
        <v>34</v>
      </c>
      <c r="P327" t="str">
        <f t="shared" si="5"/>
        <v>450012716010</v>
      </c>
      <c r="Q327" s="9" cm="1">
        <f t="array" ref="Q327:S327">VLOOKUP(P327,Hoja1!C:F,{2,3,4},FALSE)</f>
        <v>46170</v>
      </c>
      <c r="R327" t="str">
        <v>C21</v>
      </c>
      <c r="S327" t="str">
        <v>1000002248 BIOENDESA SA</v>
      </c>
    </row>
    <row r="328" spans="1:19" x14ac:dyDescent="0.3">
      <c r="A328" s="2" t="s">
        <v>14</v>
      </c>
      <c r="B328" s="3" t="s">
        <v>14</v>
      </c>
      <c r="C328" s="3" t="s">
        <v>248</v>
      </c>
      <c r="D328" s="3" t="s">
        <v>14</v>
      </c>
      <c r="E328" s="3" t="s">
        <v>107</v>
      </c>
      <c r="F328" s="4">
        <v>46160</v>
      </c>
      <c r="G328" s="3" t="s">
        <v>44</v>
      </c>
      <c r="H328" s="6">
        <v>-459510</v>
      </c>
      <c r="I328" s="3" t="s">
        <v>17</v>
      </c>
      <c r="J328" s="3" t="s">
        <v>14</v>
      </c>
      <c r="K328" s="3" t="s">
        <v>14</v>
      </c>
      <c r="L328" s="3" t="s">
        <v>211</v>
      </c>
      <c r="M328" s="4">
        <v>46160</v>
      </c>
      <c r="N328" s="3" t="s">
        <v>239</v>
      </c>
      <c r="O328" s="3" t="s">
        <v>34</v>
      </c>
      <c r="P328" t="str">
        <f t="shared" si="5"/>
        <v>450012716010</v>
      </c>
      <c r="Q328" s="9" cm="1">
        <f t="array" ref="Q328:S328">VLOOKUP(P328,Hoja1!C:F,{2,3,4},FALSE)</f>
        <v>46170</v>
      </c>
      <c r="R328" t="str">
        <v>C21</v>
      </c>
      <c r="S328" t="str">
        <v>1000002248 BIOENDESA SA</v>
      </c>
    </row>
    <row r="329" spans="1:19" x14ac:dyDescent="0.3">
      <c r="A329" s="2" t="s">
        <v>14</v>
      </c>
      <c r="B329" s="3" t="s">
        <v>14</v>
      </c>
      <c r="C329" s="3" t="s">
        <v>249</v>
      </c>
      <c r="D329" s="3" t="s">
        <v>56</v>
      </c>
      <c r="E329" s="3" t="s">
        <v>107</v>
      </c>
      <c r="F329" s="4">
        <v>46161</v>
      </c>
      <c r="G329" s="3" t="s">
        <v>44</v>
      </c>
      <c r="H329" s="6">
        <v>-1759774.38</v>
      </c>
      <c r="I329" s="3" t="s">
        <v>17</v>
      </c>
      <c r="J329" s="3" t="s">
        <v>14</v>
      </c>
      <c r="K329" s="3" t="s">
        <v>14</v>
      </c>
      <c r="L329" s="3" t="s">
        <v>57</v>
      </c>
      <c r="M329" s="4">
        <v>46161</v>
      </c>
      <c r="N329" s="3" t="s">
        <v>58</v>
      </c>
      <c r="O329" s="3" t="s">
        <v>34</v>
      </c>
      <c r="P329" t="str">
        <f t="shared" si="5"/>
        <v>450012122710</v>
      </c>
      <c r="Q329" s="9" cm="1">
        <f t="array" ref="Q329:S329">VLOOKUP(P329,Hoja1!C:F,{2,3,4},FALSE)</f>
        <v>46264</v>
      </c>
      <c r="R329" t="str">
        <v>C25</v>
      </c>
      <c r="S329" t="str">
        <v>1000010957 GANGAS REYES MARCELO DAVID</v>
      </c>
    </row>
    <row r="330" spans="1:19" x14ac:dyDescent="0.3">
      <c r="A330" s="2" t="s">
        <v>14</v>
      </c>
      <c r="B330" s="3" t="s">
        <v>14</v>
      </c>
      <c r="C330" s="3" t="s">
        <v>250</v>
      </c>
      <c r="D330" s="3" t="s">
        <v>56</v>
      </c>
      <c r="E330" s="3" t="s">
        <v>107</v>
      </c>
      <c r="F330" s="4">
        <v>46161</v>
      </c>
      <c r="G330" s="3" t="s">
        <v>44</v>
      </c>
      <c r="H330" s="6">
        <v>-1591038</v>
      </c>
      <c r="I330" s="3" t="s">
        <v>17</v>
      </c>
      <c r="J330" s="3" t="s">
        <v>14</v>
      </c>
      <c r="K330" s="3" t="s">
        <v>14</v>
      </c>
      <c r="L330" s="3" t="s">
        <v>121</v>
      </c>
      <c r="M330" s="4">
        <v>46161</v>
      </c>
      <c r="N330" s="3" t="s">
        <v>251</v>
      </c>
      <c r="O330" s="3" t="s">
        <v>34</v>
      </c>
      <c r="P330" t="str">
        <f t="shared" si="5"/>
        <v>450012790310</v>
      </c>
      <c r="Q330" s="9" cm="1">
        <f t="array" ref="Q330:S330">VLOOKUP(P330,Hoja1!C:F,{2,3,4},FALSE)</f>
        <v>46203</v>
      </c>
      <c r="R330" t="str">
        <v>C21</v>
      </c>
      <c r="S330" t="str">
        <v>1000000634 RAIZEN ARGENTINA S.A.U.</v>
      </c>
    </row>
    <row r="331" spans="1:19" x14ac:dyDescent="0.3">
      <c r="A331" s="2" t="s">
        <v>14</v>
      </c>
      <c r="B331" s="3" t="s">
        <v>14</v>
      </c>
      <c r="C331" s="3" t="s">
        <v>250</v>
      </c>
      <c r="D331" s="3" t="s">
        <v>56</v>
      </c>
      <c r="E331" s="3" t="s">
        <v>107</v>
      </c>
      <c r="F331" s="4">
        <v>46161</v>
      </c>
      <c r="G331" s="3" t="s">
        <v>44</v>
      </c>
      <c r="H331" s="6">
        <v>-181465.2</v>
      </c>
      <c r="I331" s="3" t="s">
        <v>17</v>
      </c>
      <c r="J331" s="3" t="s">
        <v>14</v>
      </c>
      <c r="K331" s="3" t="s">
        <v>14</v>
      </c>
      <c r="L331" s="3" t="s">
        <v>121</v>
      </c>
      <c r="M331" s="4">
        <v>46161</v>
      </c>
      <c r="N331" s="3" t="s">
        <v>251</v>
      </c>
      <c r="O331" s="3" t="s">
        <v>34</v>
      </c>
      <c r="P331" t="str">
        <f t="shared" si="5"/>
        <v>450012790310</v>
      </c>
      <c r="Q331" s="9" cm="1">
        <f t="array" ref="Q331:S331">VLOOKUP(P331,Hoja1!C:F,{2,3,4},FALSE)</f>
        <v>46203</v>
      </c>
      <c r="R331" t="str">
        <v>C21</v>
      </c>
      <c r="S331" t="str">
        <v>1000000634 RAIZEN ARGENTINA S.A.U.</v>
      </c>
    </row>
    <row r="332" spans="1:19" x14ac:dyDescent="0.3">
      <c r="A332" s="2" t="s">
        <v>14</v>
      </c>
      <c r="B332" s="3" t="s">
        <v>14</v>
      </c>
      <c r="C332" s="3" t="s">
        <v>250</v>
      </c>
      <c r="D332" s="3" t="s">
        <v>56</v>
      </c>
      <c r="E332" s="3" t="s">
        <v>107</v>
      </c>
      <c r="F332" s="4">
        <v>46161</v>
      </c>
      <c r="G332" s="3" t="s">
        <v>44</v>
      </c>
      <c r="H332" s="6">
        <v>-1591038</v>
      </c>
      <c r="I332" s="3" t="s">
        <v>17</v>
      </c>
      <c r="J332" s="3" t="s">
        <v>14</v>
      </c>
      <c r="K332" s="3" t="s">
        <v>14</v>
      </c>
      <c r="L332" s="3" t="s">
        <v>121</v>
      </c>
      <c r="M332" s="4">
        <v>46161</v>
      </c>
      <c r="N332" s="3" t="s">
        <v>251</v>
      </c>
      <c r="O332" s="3" t="s">
        <v>21</v>
      </c>
      <c r="P332" t="str">
        <f t="shared" si="5"/>
        <v>450012790320</v>
      </c>
      <c r="Q332" s="9" cm="1">
        <f t="array" ref="Q332:S332">VLOOKUP(P332,Hoja1!C:F,{2,3,4},FALSE)</f>
        <v>46203</v>
      </c>
      <c r="R332" t="str">
        <v>C21</v>
      </c>
      <c r="S332" t="str">
        <v>1000000634 RAIZEN ARGENTINA S.A.U.</v>
      </c>
    </row>
    <row r="333" spans="1:19" x14ac:dyDescent="0.3">
      <c r="A333" s="2" t="s">
        <v>14</v>
      </c>
      <c r="B333" s="3" t="s">
        <v>14</v>
      </c>
      <c r="C333" s="3" t="s">
        <v>250</v>
      </c>
      <c r="D333" s="3" t="s">
        <v>56</v>
      </c>
      <c r="E333" s="3" t="s">
        <v>107</v>
      </c>
      <c r="F333" s="4">
        <v>46161</v>
      </c>
      <c r="G333" s="3" t="s">
        <v>44</v>
      </c>
      <c r="H333" s="6">
        <v>-181465.2</v>
      </c>
      <c r="I333" s="3" t="s">
        <v>17</v>
      </c>
      <c r="J333" s="3" t="s">
        <v>14</v>
      </c>
      <c r="K333" s="3" t="s">
        <v>14</v>
      </c>
      <c r="L333" s="3" t="s">
        <v>121</v>
      </c>
      <c r="M333" s="4">
        <v>46161</v>
      </c>
      <c r="N333" s="3" t="s">
        <v>251</v>
      </c>
      <c r="O333" s="3" t="s">
        <v>21</v>
      </c>
      <c r="P333" t="str">
        <f t="shared" si="5"/>
        <v>450012790320</v>
      </c>
      <c r="Q333" s="9" cm="1">
        <f t="array" ref="Q333:S333">VLOOKUP(P333,Hoja1!C:F,{2,3,4},FALSE)</f>
        <v>46203</v>
      </c>
      <c r="R333" t="str">
        <v>C21</v>
      </c>
      <c r="S333" t="str">
        <v>1000000634 RAIZEN ARGENTINA S.A.U.</v>
      </c>
    </row>
    <row r="334" spans="1:19" x14ac:dyDescent="0.3">
      <c r="A334" s="2" t="s">
        <v>14</v>
      </c>
      <c r="B334" s="3" t="s">
        <v>14</v>
      </c>
      <c r="C334" s="3" t="s">
        <v>250</v>
      </c>
      <c r="D334" s="3" t="s">
        <v>56</v>
      </c>
      <c r="E334" s="3" t="s">
        <v>107</v>
      </c>
      <c r="F334" s="4">
        <v>46161</v>
      </c>
      <c r="G334" s="3" t="s">
        <v>44</v>
      </c>
      <c r="H334" s="6">
        <v>-1591038</v>
      </c>
      <c r="I334" s="3" t="s">
        <v>17</v>
      </c>
      <c r="J334" s="3" t="s">
        <v>14</v>
      </c>
      <c r="K334" s="3" t="s">
        <v>14</v>
      </c>
      <c r="L334" s="3" t="s">
        <v>121</v>
      </c>
      <c r="M334" s="4">
        <v>46161</v>
      </c>
      <c r="N334" s="3" t="s">
        <v>251</v>
      </c>
      <c r="O334" s="3" t="s">
        <v>22</v>
      </c>
      <c r="P334" t="str">
        <f t="shared" si="5"/>
        <v>450012790330</v>
      </c>
      <c r="Q334" s="9" cm="1">
        <f t="array" ref="Q334:S334">VLOOKUP(P334,Hoja1!C:F,{2,3,4},FALSE)</f>
        <v>46203</v>
      </c>
      <c r="R334" t="str">
        <v>C21</v>
      </c>
      <c r="S334" t="str">
        <v>1000000634 RAIZEN ARGENTINA S.A.U.</v>
      </c>
    </row>
    <row r="335" spans="1:19" x14ac:dyDescent="0.3">
      <c r="A335" s="2" t="s">
        <v>14</v>
      </c>
      <c r="B335" s="3" t="s">
        <v>14</v>
      </c>
      <c r="C335" s="3" t="s">
        <v>250</v>
      </c>
      <c r="D335" s="3" t="s">
        <v>56</v>
      </c>
      <c r="E335" s="3" t="s">
        <v>107</v>
      </c>
      <c r="F335" s="4">
        <v>46161</v>
      </c>
      <c r="G335" s="3" t="s">
        <v>44</v>
      </c>
      <c r="H335" s="6">
        <v>-181465.2</v>
      </c>
      <c r="I335" s="3" t="s">
        <v>17</v>
      </c>
      <c r="J335" s="3" t="s">
        <v>14</v>
      </c>
      <c r="K335" s="3" t="s">
        <v>14</v>
      </c>
      <c r="L335" s="3" t="s">
        <v>121</v>
      </c>
      <c r="M335" s="4">
        <v>46161</v>
      </c>
      <c r="N335" s="3" t="s">
        <v>251</v>
      </c>
      <c r="O335" s="3" t="s">
        <v>22</v>
      </c>
      <c r="P335" t="str">
        <f t="shared" si="5"/>
        <v>450012790330</v>
      </c>
      <c r="Q335" s="9" cm="1">
        <f t="array" ref="Q335:S335">VLOOKUP(P335,Hoja1!C:F,{2,3,4},FALSE)</f>
        <v>46203</v>
      </c>
      <c r="R335" t="str">
        <v>C21</v>
      </c>
      <c r="S335" t="str">
        <v>1000000634 RAIZEN ARGENTINA S.A.U.</v>
      </c>
    </row>
    <row r="336" spans="1:19" x14ac:dyDescent="0.3">
      <c r="A336" s="2" t="s">
        <v>14</v>
      </c>
      <c r="B336" s="3" t="s">
        <v>14</v>
      </c>
      <c r="C336" s="3" t="s">
        <v>252</v>
      </c>
      <c r="D336" s="3" t="s">
        <v>14</v>
      </c>
      <c r="E336" s="3" t="s">
        <v>107</v>
      </c>
      <c r="F336" s="4">
        <v>46162</v>
      </c>
      <c r="G336" s="3" t="s">
        <v>44</v>
      </c>
      <c r="H336" s="6">
        <v>-9382380</v>
      </c>
      <c r="I336" s="3" t="s">
        <v>17</v>
      </c>
      <c r="J336" s="3" t="s">
        <v>14</v>
      </c>
      <c r="K336" s="3" t="s">
        <v>14</v>
      </c>
      <c r="L336" s="3" t="s">
        <v>121</v>
      </c>
      <c r="M336" s="4">
        <v>46162</v>
      </c>
      <c r="N336" s="3" t="s">
        <v>152</v>
      </c>
      <c r="O336" s="3" t="s">
        <v>34</v>
      </c>
      <c r="P336" t="str">
        <f t="shared" si="5"/>
        <v>450012003810</v>
      </c>
      <c r="Q336" s="9" cm="1">
        <f t="array" ref="Q336:S336">VLOOKUP(P336,Hoja1!C:F,{2,3,4},FALSE)</f>
        <v>46203</v>
      </c>
      <c r="R336" t="str">
        <v>C21</v>
      </c>
      <c r="S336" t="str">
        <v>1000000634 RAIZEN ARGENTINA S.A.U.</v>
      </c>
    </row>
    <row r="337" spans="1:19" x14ac:dyDescent="0.3">
      <c r="A337" s="2" t="s">
        <v>14</v>
      </c>
      <c r="B337" s="3" t="s">
        <v>14</v>
      </c>
      <c r="C337" s="3" t="s">
        <v>252</v>
      </c>
      <c r="D337" s="3" t="s">
        <v>14</v>
      </c>
      <c r="E337" s="3" t="s">
        <v>107</v>
      </c>
      <c r="F337" s="4">
        <v>46162</v>
      </c>
      <c r="G337" s="3" t="s">
        <v>44</v>
      </c>
      <c r="H337" s="6">
        <v>-1069320</v>
      </c>
      <c r="I337" s="3" t="s">
        <v>17</v>
      </c>
      <c r="J337" s="3" t="s">
        <v>14</v>
      </c>
      <c r="K337" s="3" t="s">
        <v>14</v>
      </c>
      <c r="L337" s="3" t="s">
        <v>121</v>
      </c>
      <c r="M337" s="4">
        <v>46162</v>
      </c>
      <c r="N337" s="3" t="s">
        <v>152</v>
      </c>
      <c r="O337" s="3" t="s">
        <v>34</v>
      </c>
      <c r="P337" t="str">
        <f t="shared" si="5"/>
        <v>450012003810</v>
      </c>
      <c r="Q337" s="9" cm="1">
        <f t="array" ref="Q337:S337">VLOOKUP(P337,Hoja1!C:F,{2,3,4},FALSE)</f>
        <v>46203</v>
      </c>
      <c r="R337" t="str">
        <v>C21</v>
      </c>
      <c r="S337" t="str">
        <v>1000000634 RAIZEN ARGENTINA S.A.U.</v>
      </c>
    </row>
    <row r="338" spans="1:19" x14ac:dyDescent="0.3">
      <c r="A338" s="2" t="s">
        <v>14</v>
      </c>
      <c r="B338" s="3" t="s">
        <v>14</v>
      </c>
      <c r="C338" s="3" t="s">
        <v>253</v>
      </c>
      <c r="D338" s="3" t="s">
        <v>14</v>
      </c>
      <c r="E338" s="3" t="s">
        <v>107</v>
      </c>
      <c r="F338" s="4">
        <v>46163</v>
      </c>
      <c r="G338" s="3" t="s">
        <v>44</v>
      </c>
      <c r="H338" s="6">
        <v>-2345992</v>
      </c>
      <c r="I338" s="3" t="s">
        <v>17</v>
      </c>
      <c r="J338" s="3" t="s">
        <v>14</v>
      </c>
      <c r="K338" s="3" t="s">
        <v>14</v>
      </c>
      <c r="L338" s="3" t="s">
        <v>254</v>
      </c>
      <c r="M338" s="4">
        <v>46163</v>
      </c>
      <c r="N338" s="3" t="s">
        <v>255</v>
      </c>
      <c r="O338" s="3" t="s">
        <v>21</v>
      </c>
      <c r="P338" t="str">
        <f t="shared" si="5"/>
        <v>450012443320</v>
      </c>
      <c r="Q338" s="9" cm="1">
        <f t="array" ref="Q338:S338">VLOOKUP(P338,Hoja1!C:F,{2,3,4},FALSE)</f>
        <v>46149</v>
      </c>
      <c r="R338" t="str">
        <v>EFO</v>
      </c>
      <c r="S338" t="str">
        <v>1000009161 CABRAL LAUTARO MIGUEL</v>
      </c>
    </row>
    <row r="339" spans="1:19" x14ac:dyDescent="0.3">
      <c r="A339" s="2" t="s">
        <v>14</v>
      </c>
      <c r="B339" s="3" t="s">
        <v>14</v>
      </c>
      <c r="C339" s="3" t="s">
        <v>256</v>
      </c>
      <c r="D339" s="3" t="s">
        <v>14</v>
      </c>
      <c r="E339" s="3" t="s">
        <v>107</v>
      </c>
      <c r="F339" s="4">
        <v>46163</v>
      </c>
      <c r="G339" s="3" t="s">
        <v>44</v>
      </c>
      <c r="H339" s="6">
        <v>-1703.55</v>
      </c>
      <c r="I339" s="3" t="s">
        <v>17</v>
      </c>
      <c r="J339" s="3" t="s">
        <v>14</v>
      </c>
      <c r="K339" s="3" t="s">
        <v>14</v>
      </c>
      <c r="L339" s="3" t="s">
        <v>163</v>
      </c>
      <c r="M339" s="4">
        <v>46164</v>
      </c>
      <c r="N339" s="3" t="s">
        <v>257</v>
      </c>
      <c r="O339" s="3" t="s">
        <v>26</v>
      </c>
      <c r="P339" t="str">
        <f t="shared" si="5"/>
        <v>450012417940</v>
      </c>
      <c r="Q339" s="9" cm="1">
        <f t="array" ref="Q339:S339">VLOOKUP(P339,Hoja1!C:F,{2,3,4},FALSE)</f>
        <v>46145</v>
      </c>
      <c r="R339" t="str">
        <v>C03</v>
      </c>
      <c r="S339" t="str">
        <v>1000000062 FINNING ARGENTINA S.A.</v>
      </c>
    </row>
    <row r="340" spans="1:19" x14ac:dyDescent="0.3">
      <c r="A340" s="2" t="s">
        <v>14</v>
      </c>
      <c r="B340" s="3" t="s">
        <v>14</v>
      </c>
      <c r="C340" s="3" t="s">
        <v>258</v>
      </c>
      <c r="D340" s="3" t="s">
        <v>14</v>
      </c>
      <c r="E340" s="3" t="s">
        <v>107</v>
      </c>
      <c r="F340" s="4">
        <v>46165</v>
      </c>
      <c r="G340" s="3" t="s">
        <v>44</v>
      </c>
      <c r="H340" s="6">
        <v>-9382380</v>
      </c>
      <c r="I340" s="3" t="s">
        <v>17</v>
      </c>
      <c r="J340" s="3" t="s">
        <v>14</v>
      </c>
      <c r="K340" s="3" t="s">
        <v>14</v>
      </c>
      <c r="L340" s="3" t="s">
        <v>121</v>
      </c>
      <c r="M340" s="4">
        <v>46165</v>
      </c>
      <c r="N340" s="3" t="s">
        <v>152</v>
      </c>
      <c r="O340" s="3" t="s">
        <v>34</v>
      </c>
      <c r="P340" t="str">
        <f t="shared" si="5"/>
        <v>450012003810</v>
      </c>
      <c r="Q340" s="9" cm="1">
        <f t="array" ref="Q340:S340">VLOOKUP(P340,Hoja1!C:F,{2,3,4},FALSE)</f>
        <v>46203</v>
      </c>
      <c r="R340" t="str">
        <v>C21</v>
      </c>
      <c r="S340" t="str">
        <v>1000000634 RAIZEN ARGENTINA S.A.U.</v>
      </c>
    </row>
    <row r="341" spans="1:19" x14ac:dyDescent="0.3">
      <c r="A341" s="2" t="s">
        <v>14</v>
      </c>
      <c r="B341" s="3" t="s">
        <v>14</v>
      </c>
      <c r="C341" s="3" t="s">
        <v>258</v>
      </c>
      <c r="D341" s="3" t="s">
        <v>14</v>
      </c>
      <c r="E341" s="3" t="s">
        <v>107</v>
      </c>
      <c r="F341" s="4">
        <v>46165</v>
      </c>
      <c r="G341" s="3" t="s">
        <v>44</v>
      </c>
      <c r="H341" s="6">
        <v>-1069320</v>
      </c>
      <c r="I341" s="3" t="s">
        <v>17</v>
      </c>
      <c r="J341" s="3" t="s">
        <v>14</v>
      </c>
      <c r="K341" s="3" t="s">
        <v>14</v>
      </c>
      <c r="L341" s="3" t="s">
        <v>121</v>
      </c>
      <c r="M341" s="4">
        <v>46165</v>
      </c>
      <c r="N341" s="3" t="s">
        <v>152</v>
      </c>
      <c r="O341" s="3" t="s">
        <v>34</v>
      </c>
      <c r="P341" t="str">
        <f t="shared" si="5"/>
        <v>450012003810</v>
      </c>
      <c r="Q341" s="9" cm="1">
        <f t="array" ref="Q341:S341">VLOOKUP(P341,Hoja1!C:F,{2,3,4},FALSE)</f>
        <v>46203</v>
      </c>
      <c r="R341" t="str">
        <v>C21</v>
      </c>
      <c r="S341" t="str">
        <v>1000000634 RAIZEN ARGENTINA S.A.U.</v>
      </c>
    </row>
    <row r="342" spans="1:19" x14ac:dyDescent="0.3">
      <c r="A342" s="2" t="s">
        <v>14</v>
      </c>
      <c r="B342" s="3" t="s">
        <v>14</v>
      </c>
      <c r="C342" s="3" t="s">
        <v>259</v>
      </c>
      <c r="D342" s="3" t="s">
        <v>56</v>
      </c>
      <c r="E342" s="3" t="s">
        <v>107</v>
      </c>
      <c r="F342" s="4">
        <v>46168</v>
      </c>
      <c r="G342" s="3" t="s">
        <v>44</v>
      </c>
      <c r="H342" s="6">
        <v>-1591038</v>
      </c>
      <c r="I342" s="3" t="s">
        <v>17</v>
      </c>
      <c r="J342" s="3" t="s">
        <v>14</v>
      </c>
      <c r="K342" s="3" t="s">
        <v>14</v>
      </c>
      <c r="L342" s="3" t="s">
        <v>121</v>
      </c>
      <c r="M342" s="4">
        <v>46168</v>
      </c>
      <c r="N342" s="3" t="s">
        <v>260</v>
      </c>
      <c r="O342" s="3" t="s">
        <v>34</v>
      </c>
      <c r="P342" t="str">
        <f t="shared" si="5"/>
        <v>450012834510</v>
      </c>
      <c r="Q342" s="9" cm="1">
        <f t="array" ref="Q342:S342">VLOOKUP(P342,Hoja1!C:F,{2,3,4},FALSE)</f>
        <v>46203</v>
      </c>
      <c r="R342" t="str">
        <v>C21</v>
      </c>
      <c r="S342" t="str">
        <v>1000000634 RAIZEN ARGENTINA S.A.U.</v>
      </c>
    </row>
    <row r="343" spans="1:19" x14ac:dyDescent="0.3">
      <c r="A343" s="2" t="s">
        <v>14</v>
      </c>
      <c r="B343" s="3" t="s">
        <v>14</v>
      </c>
      <c r="C343" s="3" t="s">
        <v>259</v>
      </c>
      <c r="D343" s="3" t="s">
        <v>56</v>
      </c>
      <c r="E343" s="3" t="s">
        <v>107</v>
      </c>
      <c r="F343" s="4">
        <v>46168</v>
      </c>
      <c r="G343" s="3" t="s">
        <v>44</v>
      </c>
      <c r="H343" s="6">
        <v>-181465.2</v>
      </c>
      <c r="I343" s="3" t="s">
        <v>17</v>
      </c>
      <c r="J343" s="3" t="s">
        <v>14</v>
      </c>
      <c r="K343" s="3" t="s">
        <v>14</v>
      </c>
      <c r="L343" s="3" t="s">
        <v>121</v>
      </c>
      <c r="M343" s="4">
        <v>46168</v>
      </c>
      <c r="N343" s="3" t="s">
        <v>260</v>
      </c>
      <c r="O343" s="3" t="s">
        <v>34</v>
      </c>
      <c r="P343" t="str">
        <f t="shared" si="5"/>
        <v>450012834510</v>
      </c>
      <c r="Q343" s="9" cm="1">
        <f t="array" ref="Q343:S343">VLOOKUP(P343,Hoja1!C:F,{2,3,4},FALSE)</f>
        <v>46203</v>
      </c>
      <c r="R343" t="str">
        <v>C21</v>
      </c>
      <c r="S343" t="str">
        <v>1000000634 RAIZEN ARGENTINA S.A.U.</v>
      </c>
    </row>
    <row r="344" spans="1:19" x14ac:dyDescent="0.3">
      <c r="A344" s="2" t="s">
        <v>14</v>
      </c>
      <c r="B344" s="3" t="s">
        <v>14</v>
      </c>
      <c r="C344" s="3" t="s">
        <v>261</v>
      </c>
      <c r="D344" s="3" t="s">
        <v>14</v>
      </c>
      <c r="E344" s="3" t="s">
        <v>107</v>
      </c>
      <c r="F344" s="4">
        <v>46169</v>
      </c>
      <c r="G344" s="3" t="s">
        <v>44</v>
      </c>
      <c r="H344" s="6">
        <v>-446800</v>
      </c>
      <c r="I344" s="3" t="s">
        <v>17</v>
      </c>
      <c r="J344" s="3" t="s">
        <v>14</v>
      </c>
      <c r="K344" s="3" t="s">
        <v>14</v>
      </c>
      <c r="L344" s="3" t="s">
        <v>108</v>
      </c>
      <c r="M344" s="4">
        <v>46169</v>
      </c>
      <c r="N344" s="3" t="s">
        <v>180</v>
      </c>
      <c r="O344" s="3" t="s">
        <v>34</v>
      </c>
      <c r="P344" t="str">
        <f t="shared" si="5"/>
        <v>450011911710</v>
      </c>
      <c r="Q344" s="9" cm="1">
        <f t="array" ref="Q344:S344">VLOOKUP(P344,Hoja1!C:F,{2,3,4},FALSE)</f>
        <v>46245</v>
      </c>
      <c r="R344" t="str">
        <v>C21</v>
      </c>
      <c r="S344" t="str">
        <v>1000001020 COMBUSTIBLES BARCELO S.R.L.</v>
      </c>
    </row>
    <row r="345" spans="1:19" x14ac:dyDescent="0.3">
      <c r="A345" s="2" t="s">
        <v>14</v>
      </c>
      <c r="B345" s="3" t="s">
        <v>14</v>
      </c>
      <c r="C345" s="3" t="s">
        <v>261</v>
      </c>
      <c r="D345" s="3" t="s">
        <v>14</v>
      </c>
      <c r="E345" s="3" t="s">
        <v>107</v>
      </c>
      <c r="F345" s="4">
        <v>46169</v>
      </c>
      <c r="G345" s="3" t="s">
        <v>44</v>
      </c>
      <c r="H345" s="6">
        <v>-50920</v>
      </c>
      <c r="I345" s="3" t="s">
        <v>17</v>
      </c>
      <c r="J345" s="3" t="s">
        <v>14</v>
      </c>
      <c r="K345" s="3" t="s">
        <v>14</v>
      </c>
      <c r="L345" s="3" t="s">
        <v>108</v>
      </c>
      <c r="M345" s="4">
        <v>46169</v>
      </c>
      <c r="N345" s="3" t="s">
        <v>180</v>
      </c>
      <c r="O345" s="3" t="s">
        <v>34</v>
      </c>
      <c r="P345" t="str">
        <f t="shared" si="5"/>
        <v>450011911710</v>
      </c>
      <c r="Q345" s="9" cm="1">
        <f t="array" ref="Q345:S345">VLOOKUP(P345,Hoja1!C:F,{2,3,4},FALSE)</f>
        <v>46245</v>
      </c>
      <c r="R345" t="str">
        <v>C21</v>
      </c>
      <c r="S345" t="str">
        <v>1000001020 COMBUSTIBLES BARCELO S.R.L.</v>
      </c>
    </row>
    <row r="346" spans="1:19" x14ac:dyDescent="0.3">
      <c r="A346" s="2" t="s">
        <v>14</v>
      </c>
      <c r="B346" s="3" t="s">
        <v>14</v>
      </c>
      <c r="C346" s="3" t="s">
        <v>262</v>
      </c>
      <c r="D346" s="3" t="s">
        <v>14</v>
      </c>
      <c r="E346" s="3" t="s">
        <v>107</v>
      </c>
      <c r="F346" s="4">
        <v>46164</v>
      </c>
      <c r="G346" s="3" t="s">
        <v>44</v>
      </c>
      <c r="H346" s="6">
        <v>-363298.95</v>
      </c>
      <c r="I346" s="3" t="s">
        <v>17</v>
      </c>
      <c r="J346" s="3" t="s">
        <v>14</v>
      </c>
      <c r="K346" s="3" t="s">
        <v>14</v>
      </c>
      <c r="L346" s="3" t="s">
        <v>263</v>
      </c>
      <c r="M346" s="4">
        <v>46169</v>
      </c>
      <c r="N346" s="3" t="s">
        <v>264</v>
      </c>
      <c r="O346" s="3" t="s">
        <v>34</v>
      </c>
      <c r="P346" t="str">
        <f t="shared" si="5"/>
        <v>450012748610</v>
      </c>
      <c r="Q346" s="9" cm="1">
        <f t="array" ref="Q346:S346">VLOOKUP(P346,Hoja1!C:F,{2,3,4},FALSE)</f>
        <v>46172</v>
      </c>
      <c r="R346" t="str">
        <v>G05</v>
      </c>
      <c r="S346" t="str">
        <v>1000000907 SERVICIOS VIALES DE STA. FE SA</v>
      </c>
    </row>
    <row r="347" spans="1:19" x14ac:dyDescent="0.3">
      <c r="A347" s="2" t="s">
        <v>14</v>
      </c>
      <c r="B347" s="3" t="s">
        <v>14</v>
      </c>
      <c r="C347" s="3" t="s">
        <v>265</v>
      </c>
      <c r="D347" s="3" t="s">
        <v>56</v>
      </c>
      <c r="E347" s="3" t="s">
        <v>107</v>
      </c>
      <c r="F347" s="4">
        <v>46171</v>
      </c>
      <c r="G347" s="3" t="s">
        <v>44</v>
      </c>
      <c r="H347" s="6">
        <v>-3211360.8</v>
      </c>
      <c r="I347" s="3" t="s">
        <v>17</v>
      </c>
      <c r="J347" s="3" t="s">
        <v>14</v>
      </c>
      <c r="K347" s="3" t="s">
        <v>14</v>
      </c>
      <c r="L347" s="3" t="s">
        <v>121</v>
      </c>
      <c r="M347" s="4">
        <v>46171</v>
      </c>
      <c r="N347" s="3" t="s">
        <v>266</v>
      </c>
      <c r="O347" s="3" t="s">
        <v>34</v>
      </c>
      <c r="P347" t="str">
        <f t="shared" si="5"/>
        <v>450012883010</v>
      </c>
      <c r="Q347" s="9" cm="1">
        <f t="array" ref="Q347:S347">VLOOKUP(P347,Hoja1!C:F,{2,3,4},FALSE)</f>
        <v>46203</v>
      </c>
      <c r="R347" t="str">
        <v>C21</v>
      </c>
      <c r="S347" t="str">
        <v>1000000634 RAIZEN ARGENTINA S.A.U.</v>
      </c>
    </row>
    <row r="348" spans="1:19" x14ac:dyDescent="0.3">
      <c r="A348" s="2" t="s">
        <v>14</v>
      </c>
      <c r="B348" s="3" t="s">
        <v>14</v>
      </c>
      <c r="C348" s="3" t="s">
        <v>265</v>
      </c>
      <c r="D348" s="3" t="s">
        <v>56</v>
      </c>
      <c r="E348" s="3" t="s">
        <v>107</v>
      </c>
      <c r="F348" s="4">
        <v>46171</v>
      </c>
      <c r="G348" s="3" t="s">
        <v>44</v>
      </c>
      <c r="H348" s="6">
        <v>-361791.3</v>
      </c>
      <c r="I348" s="3" t="s">
        <v>17</v>
      </c>
      <c r="J348" s="3" t="s">
        <v>14</v>
      </c>
      <c r="K348" s="3" t="s">
        <v>14</v>
      </c>
      <c r="L348" s="3" t="s">
        <v>121</v>
      </c>
      <c r="M348" s="4">
        <v>46171</v>
      </c>
      <c r="N348" s="3" t="s">
        <v>266</v>
      </c>
      <c r="O348" s="3" t="s">
        <v>34</v>
      </c>
      <c r="P348" t="str">
        <f t="shared" si="5"/>
        <v>450012883010</v>
      </c>
      <c r="Q348" s="9" cm="1">
        <f t="array" ref="Q348:S348">VLOOKUP(P348,Hoja1!C:F,{2,3,4},FALSE)</f>
        <v>46203</v>
      </c>
      <c r="R348" t="str">
        <v>C21</v>
      </c>
      <c r="S348" t="str">
        <v>1000000634 RAIZEN ARGENTINA S.A.U.</v>
      </c>
    </row>
    <row r="349" spans="1:19" x14ac:dyDescent="0.3">
      <c r="A349" s="2" t="s">
        <v>14</v>
      </c>
      <c r="B349" s="3" t="s">
        <v>14</v>
      </c>
      <c r="C349" s="3" t="s">
        <v>267</v>
      </c>
      <c r="D349" s="3" t="s">
        <v>14</v>
      </c>
      <c r="E349" s="3" t="s">
        <v>107</v>
      </c>
      <c r="F349" s="4">
        <v>46171</v>
      </c>
      <c r="G349" s="3" t="s">
        <v>44</v>
      </c>
      <c r="H349" s="6">
        <v>-223.4</v>
      </c>
      <c r="I349" s="3" t="s">
        <v>17</v>
      </c>
      <c r="J349" s="3" t="s">
        <v>14</v>
      </c>
      <c r="K349" s="3" t="s">
        <v>14</v>
      </c>
      <c r="L349" s="3" t="s">
        <v>108</v>
      </c>
      <c r="M349" s="4">
        <v>46171</v>
      </c>
      <c r="N349" s="3" t="s">
        <v>268</v>
      </c>
      <c r="O349" s="3" t="s">
        <v>34</v>
      </c>
      <c r="P349" t="str">
        <f t="shared" si="5"/>
        <v>450012900510</v>
      </c>
      <c r="Q349" s="9" cm="1">
        <f t="array" ref="Q349:S349">VLOOKUP(P349,Hoja1!C:F,{2,3,4},FALSE)</f>
        <v>46184</v>
      </c>
      <c r="R349" t="str">
        <v>C21</v>
      </c>
      <c r="S349" t="str">
        <v>1000001020 COMBUSTIBLES BARCELO S.R.L.</v>
      </c>
    </row>
    <row r="350" spans="1:19" x14ac:dyDescent="0.3">
      <c r="A350" s="2" t="s">
        <v>14</v>
      </c>
      <c r="B350" s="3" t="s">
        <v>14</v>
      </c>
      <c r="C350" s="3" t="s">
        <v>267</v>
      </c>
      <c r="D350" s="3" t="s">
        <v>14</v>
      </c>
      <c r="E350" s="3" t="s">
        <v>107</v>
      </c>
      <c r="F350" s="4">
        <v>46171</v>
      </c>
      <c r="G350" s="3" t="s">
        <v>44</v>
      </c>
      <c r="H350" s="6">
        <v>-25.46</v>
      </c>
      <c r="I350" s="3" t="s">
        <v>17</v>
      </c>
      <c r="J350" s="3" t="s">
        <v>14</v>
      </c>
      <c r="K350" s="3" t="s">
        <v>14</v>
      </c>
      <c r="L350" s="3" t="s">
        <v>108</v>
      </c>
      <c r="M350" s="4">
        <v>46171</v>
      </c>
      <c r="N350" s="3" t="s">
        <v>268</v>
      </c>
      <c r="O350" s="3" t="s">
        <v>34</v>
      </c>
      <c r="P350" t="str">
        <f t="shared" si="5"/>
        <v>450012900510</v>
      </c>
      <c r="Q350" s="9" cm="1">
        <f t="array" ref="Q350:S350">VLOOKUP(P350,Hoja1!C:F,{2,3,4},FALSE)</f>
        <v>46184</v>
      </c>
      <c r="R350" t="str">
        <v>C21</v>
      </c>
      <c r="S350" t="str">
        <v>1000001020 COMBUSTIBLES BARCELO S.R.L.</v>
      </c>
    </row>
    <row r="351" spans="1:19" x14ac:dyDescent="0.3">
      <c r="A351" s="2" t="s">
        <v>14</v>
      </c>
      <c r="B351" s="3" t="s">
        <v>14</v>
      </c>
      <c r="C351" s="3" t="s">
        <v>269</v>
      </c>
      <c r="D351" s="3" t="s">
        <v>14</v>
      </c>
      <c r="E351" s="3" t="s">
        <v>107</v>
      </c>
      <c r="F351" s="4">
        <v>46174</v>
      </c>
      <c r="G351" s="3" t="s">
        <v>44</v>
      </c>
      <c r="H351" s="6">
        <v>-9382380</v>
      </c>
      <c r="I351" s="3" t="s">
        <v>17</v>
      </c>
      <c r="J351" s="3" t="s">
        <v>14</v>
      </c>
      <c r="K351" s="3" t="s">
        <v>14</v>
      </c>
      <c r="L351" s="3" t="s">
        <v>121</v>
      </c>
      <c r="M351" s="4">
        <v>46172</v>
      </c>
      <c r="N351" s="3" t="s">
        <v>152</v>
      </c>
      <c r="O351" s="3" t="s">
        <v>34</v>
      </c>
      <c r="P351" t="str">
        <f t="shared" si="5"/>
        <v>450012003810</v>
      </c>
      <c r="Q351" s="9" cm="1">
        <f t="array" ref="Q351:S351">VLOOKUP(P351,Hoja1!C:F,{2,3,4},FALSE)</f>
        <v>46203</v>
      </c>
      <c r="R351" t="str">
        <v>C21</v>
      </c>
      <c r="S351" t="str">
        <v>1000000634 RAIZEN ARGENTINA S.A.U.</v>
      </c>
    </row>
    <row r="352" spans="1:19" x14ac:dyDescent="0.3">
      <c r="A352" s="2" t="s">
        <v>14</v>
      </c>
      <c r="B352" s="3" t="s">
        <v>14</v>
      </c>
      <c r="C352" s="3" t="s">
        <v>269</v>
      </c>
      <c r="D352" s="3" t="s">
        <v>14</v>
      </c>
      <c r="E352" s="3" t="s">
        <v>107</v>
      </c>
      <c r="F352" s="4">
        <v>46174</v>
      </c>
      <c r="G352" s="3" t="s">
        <v>44</v>
      </c>
      <c r="H352" s="6">
        <v>-1069320</v>
      </c>
      <c r="I352" s="3" t="s">
        <v>17</v>
      </c>
      <c r="J352" s="3" t="s">
        <v>14</v>
      </c>
      <c r="K352" s="3" t="s">
        <v>14</v>
      </c>
      <c r="L352" s="3" t="s">
        <v>121</v>
      </c>
      <c r="M352" s="4">
        <v>46172</v>
      </c>
      <c r="N352" s="3" t="s">
        <v>152</v>
      </c>
      <c r="O352" s="3" t="s">
        <v>34</v>
      </c>
      <c r="P352" t="str">
        <f t="shared" si="5"/>
        <v>450012003810</v>
      </c>
      <c r="Q352" s="9" cm="1">
        <f t="array" ref="Q352:S352">VLOOKUP(P352,Hoja1!C:F,{2,3,4},FALSE)</f>
        <v>46203</v>
      </c>
      <c r="R352" t="str">
        <v>C21</v>
      </c>
      <c r="S352" t="str">
        <v>1000000634 RAIZEN ARGENTINA S.A.U.</v>
      </c>
    </row>
    <row r="353" spans="1:19" x14ac:dyDescent="0.3">
      <c r="A353" s="2" t="s">
        <v>14</v>
      </c>
      <c r="B353" s="3" t="s">
        <v>14</v>
      </c>
      <c r="C353" s="3" t="s">
        <v>270</v>
      </c>
      <c r="D353" s="3" t="s">
        <v>14</v>
      </c>
      <c r="E353" s="3" t="s">
        <v>107</v>
      </c>
      <c r="F353" s="4">
        <v>46195</v>
      </c>
      <c r="G353" s="3" t="s">
        <v>44</v>
      </c>
      <c r="H353" s="6">
        <v>-2043594.25</v>
      </c>
      <c r="I353" s="3" t="s">
        <v>17</v>
      </c>
      <c r="J353" s="3" t="s">
        <v>14</v>
      </c>
      <c r="K353" s="3" t="s">
        <v>14</v>
      </c>
      <c r="L353" s="3" t="s">
        <v>263</v>
      </c>
      <c r="M353" s="4">
        <v>46174</v>
      </c>
      <c r="N353" s="3" t="s">
        <v>264</v>
      </c>
      <c r="O353" s="3" t="s">
        <v>21</v>
      </c>
      <c r="P353" t="str">
        <f t="shared" si="5"/>
        <v>450012748620</v>
      </c>
      <c r="Q353" s="9" cm="1">
        <f t="array" ref="Q353:S353">VLOOKUP(P353,Hoja1!C:F,{2,3,4},FALSE)</f>
        <v>46172</v>
      </c>
      <c r="R353" t="str">
        <v>G05</v>
      </c>
      <c r="S353" t="str">
        <v>1000000907 SERVICIOS VIALES DE STA. FE SA</v>
      </c>
    </row>
    <row r="354" spans="1:19" x14ac:dyDescent="0.3">
      <c r="A354" s="2" t="s">
        <v>14</v>
      </c>
      <c r="B354" s="3" t="s">
        <v>14</v>
      </c>
      <c r="C354" s="3" t="s">
        <v>270</v>
      </c>
      <c r="D354" s="3" t="s">
        <v>14</v>
      </c>
      <c r="E354" s="3" t="s">
        <v>107</v>
      </c>
      <c r="F354" s="4">
        <v>46195</v>
      </c>
      <c r="G354" s="3" t="s">
        <v>44</v>
      </c>
      <c r="H354" s="6">
        <v>-894857.57</v>
      </c>
      <c r="I354" s="3" t="s">
        <v>17</v>
      </c>
      <c r="J354" s="3" t="s">
        <v>14</v>
      </c>
      <c r="K354" s="3" t="s">
        <v>14</v>
      </c>
      <c r="L354" s="3" t="s">
        <v>263</v>
      </c>
      <c r="M354" s="4">
        <v>46174</v>
      </c>
      <c r="N354" s="3" t="s">
        <v>264</v>
      </c>
      <c r="O354" s="3" t="s">
        <v>22</v>
      </c>
      <c r="P354" t="str">
        <f t="shared" si="5"/>
        <v>450012748630</v>
      </c>
      <c r="Q354" s="9" cm="1">
        <f t="array" ref="Q354:S354">VLOOKUP(P354,Hoja1!C:F,{2,3,4},FALSE)</f>
        <v>46287</v>
      </c>
      <c r="R354" t="str">
        <v>G05</v>
      </c>
      <c r="S354" t="str">
        <v>1000000907 SERVICIOS VIALES DE STA. FE SA</v>
      </c>
    </row>
    <row r="355" spans="1:19" x14ac:dyDescent="0.3">
      <c r="A355" s="2" t="s">
        <v>14</v>
      </c>
      <c r="B355" s="3" t="s">
        <v>14</v>
      </c>
      <c r="C355" s="3" t="s">
        <v>271</v>
      </c>
      <c r="D355" s="3" t="s">
        <v>14</v>
      </c>
      <c r="E355" s="3" t="s">
        <v>107</v>
      </c>
      <c r="F355" s="4">
        <v>46174</v>
      </c>
      <c r="G355" s="3" t="s">
        <v>44</v>
      </c>
      <c r="H355" s="6">
        <v>-9605770</v>
      </c>
      <c r="I355" s="3" t="s">
        <v>17</v>
      </c>
      <c r="J355" s="3" t="s">
        <v>14</v>
      </c>
      <c r="K355" s="3" t="s">
        <v>14</v>
      </c>
      <c r="L355" s="3" t="s">
        <v>121</v>
      </c>
      <c r="M355" s="4">
        <v>46174</v>
      </c>
      <c r="N355" s="3" t="s">
        <v>152</v>
      </c>
      <c r="O355" s="3" t="s">
        <v>34</v>
      </c>
      <c r="P355" t="str">
        <f t="shared" si="5"/>
        <v>450012003810</v>
      </c>
      <c r="Q355" s="9" cm="1">
        <f t="array" ref="Q355:S355">VLOOKUP(P355,Hoja1!C:F,{2,3,4},FALSE)</f>
        <v>46203</v>
      </c>
      <c r="R355" t="str">
        <v>C21</v>
      </c>
      <c r="S355" t="str">
        <v>1000000634 RAIZEN ARGENTINA S.A.U.</v>
      </c>
    </row>
    <row r="356" spans="1:19" x14ac:dyDescent="0.3">
      <c r="A356" s="2" t="s">
        <v>14</v>
      </c>
      <c r="B356" s="3" t="s">
        <v>14</v>
      </c>
      <c r="C356" s="3" t="s">
        <v>271</v>
      </c>
      <c r="D356" s="3" t="s">
        <v>14</v>
      </c>
      <c r="E356" s="3" t="s">
        <v>107</v>
      </c>
      <c r="F356" s="4">
        <v>46174</v>
      </c>
      <c r="G356" s="3" t="s">
        <v>44</v>
      </c>
      <c r="H356" s="6">
        <v>-1094780</v>
      </c>
      <c r="I356" s="3" t="s">
        <v>17</v>
      </c>
      <c r="J356" s="3" t="s">
        <v>14</v>
      </c>
      <c r="K356" s="3" t="s">
        <v>14</v>
      </c>
      <c r="L356" s="3" t="s">
        <v>121</v>
      </c>
      <c r="M356" s="4">
        <v>46174</v>
      </c>
      <c r="N356" s="3" t="s">
        <v>152</v>
      </c>
      <c r="O356" s="3" t="s">
        <v>34</v>
      </c>
      <c r="P356" t="str">
        <f t="shared" si="5"/>
        <v>450012003810</v>
      </c>
      <c r="Q356" s="9" cm="1">
        <f t="array" ref="Q356:S356">VLOOKUP(P356,Hoja1!C:F,{2,3,4},FALSE)</f>
        <v>46203</v>
      </c>
      <c r="R356" t="str">
        <v>C21</v>
      </c>
      <c r="S356" t="str">
        <v>1000000634 RAIZEN ARGENTINA S.A.U.</v>
      </c>
    </row>
    <row r="357" spans="1:19" x14ac:dyDescent="0.3">
      <c r="A357" s="2" t="s">
        <v>14</v>
      </c>
      <c r="B357" s="3" t="s">
        <v>14</v>
      </c>
      <c r="C357" s="3" t="s">
        <v>272</v>
      </c>
      <c r="D357" s="3" t="s">
        <v>14</v>
      </c>
      <c r="E357" s="3" t="s">
        <v>107</v>
      </c>
      <c r="F357" s="4">
        <v>46175</v>
      </c>
      <c r="G357" s="3" t="s">
        <v>44</v>
      </c>
      <c r="H357" s="6">
        <v>-2702984.04</v>
      </c>
      <c r="I357" s="3" t="s">
        <v>17</v>
      </c>
      <c r="J357" s="3" t="s">
        <v>14</v>
      </c>
      <c r="K357" s="3" t="s">
        <v>14</v>
      </c>
      <c r="L357" s="3" t="s">
        <v>146</v>
      </c>
      <c r="M357" s="4">
        <v>46176</v>
      </c>
      <c r="N357" s="3" t="s">
        <v>273</v>
      </c>
      <c r="O357" s="3" t="s">
        <v>34</v>
      </c>
      <c r="P357" t="str">
        <f t="shared" si="5"/>
        <v>450012417110</v>
      </c>
      <c r="Q357" s="9" cm="1">
        <f t="array" ref="Q357:S357">VLOOKUP(P357,Hoja1!C:F,{2,3,4},FALSE)</f>
        <v>46203</v>
      </c>
      <c r="R357" t="str">
        <v>C48</v>
      </c>
      <c r="S357" t="str">
        <v>1000011072 NEUMATICOS GOODYEAR S R L</v>
      </c>
    </row>
    <row r="358" spans="1:19" x14ac:dyDescent="0.3">
      <c r="A358" s="2" t="s">
        <v>14</v>
      </c>
      <c r="B358" s="3" t="s">
        <v>14</v>
      </c>
      <c r="C358" s="3" t="s">
        <v>274</v>
      </c>
      <c r="D358" s="3" t="s">
        <v>56</v>
      </c>
      <c r="E358" s="3" t="s">
        <v>107</v>
      </c>
      <c r="F358" s="4">
        <v>46177</v>
      </c>
      <c r="G358" s="3" t="s">
        <v>44</v>
      </c>
      <c r="H358" s="6">
        <v>-3211360.8</v>
      </c>
      <c r="I358" s="3" t="s">
        <v>17</v>
      </c>
      <c r="J358" s="3" t="s">
        <v>14</v>
      </c>
      <c r="K358" s="3" t="s">
        <v>14</v>
      </c>
      <c r="L358" s="3" t="s">
        <v>121</v>
      </c>
      <c r="M358" s="4">
        <v>46177</v>
      </c>
      <c r="N358" s="3" t="s">
        <v>275</v>
      </c>
      <c r="O358" s="3" t="s">
        <v>21</v>
      </c>
      <c r="P358" t="str">
        <f t="shared" si="5"/>
        <v>450012908120</v>
      </c>
      <c r="Q358" s="9" cm="1">
        <f t="array" ref="Q358:S358">VLOOKUP(P358,Hoja1!C:F,{2,3,4},FALSE)</f>
        <v>46203</v>
      </c>
      <c r="R358" t="str">
        <v>C21</v>
      </c>
      <c r="S358" t="str">
        <v>1000000634 RAIZEN ARGENTINA S.A.U.</v>
      </c>
    </row>
    <row r="359" spans="1:19" x14ac:dyDescent="0.3">
      <c r="A359" s="2" t="s">
        <v>14</v>
      </c>
      <c r="B359" s="3" t="s">
        <v>14</v>
      </c>
      <c r="C359" s="3" t="s">
        <v>274</v>
      </c>
      <c r="D359" s="3" t="s">
        <v>56</v>
      </c>
      <c r="E359" s="3" t="s">
        <v>107</v>
      </c>
      <c r="F359" s="4">
        <v>46177</v>
      </c>
      <c r="G359" s="3" t="s">
        <v>44</v>
      </c>
      <c r="H359" s="6">
        <v>-361791.3</v>
      </c>
      <c r="I359" s="3" t="s">
        <v>17</v>
      </c>
      <c r="J359" s="3" t="s">
        <v>14</v>
      </c>
      <c r="K359" s="3" t="s">
        <v>14</v>
      </c>
      <c r="L359" s="3" t="s">
        <v>121</v>
      </c>
      <c r="M359" s="4">
        <v>46177</v>
      </c>
      <c r="N359" s="3" t="s">
        <v>275</v>
      </c>
      <c r="O359" s="3" t="s">
        <v>21</v>
      </c>
      <c r="P359" t="str">
        <f t="shared" si="5"/>
        <v>450012908120</v>
      </c>
      <c r="Q359" s="9" cm="1">
        <f t="array" ref="Q359:S359">VLOOKUP(P359,Hoja1!C:F,{2,3,4},FALSE)</f>
        <v>46203</v>
      </c>
      <c r="R359" t="str">
        <v>C21</v>
      </c>
      <c r="S359" t="str">
        <v>1000000634 RAIZEN ARGENTINA S.A.U.</v>
      </c>
    </row>
    <row r="360" spans="1:19" x14ac:dyDescent="0.3">
      <c r="A360" s="2" t="s">
        <v>14</v>
      </c>
      <c r="B360" s="3" t="s">
        <v>14</v>
      </c>
      <c r="C360" s="3" t="s">
        <v>276</v>
      </c>
      <c r="D360" s="3" t="s">
        <v>14</v>
      </c>
      <c r="E360" s="3" t="s">
        <v>107</v>
      </c>
      <c r="F360" s="4">
        <v>46177</v>
      </c>
      <c r="G360" s="3" t="s">
        <v>44</v>
      </c>
      <c r="H360" s="6">
        <v>-9382380</v>
      </c>
      <c r="I360" s="3" t="s">
        <v>17</v>
      </c>
      <c r="J360" s="3" t="s">
        <v>14</v>
      </c>
      <c r="K360" s="3" t="s">
        <v>14</v>
      </c>
      <c r="L360" s="3" t="s">
        <v>121</v>
      </c>
      <c r="M360" s="4">
        <v>46177</v>
      </c>
      <c r="N360" s="3" t="s">
        <v>152</v>
      </c>
      <c r="O360" s="3" t="s">
        <v>34</v>
      </c>
      <c r="P360" t="str">
        <f t="shared" si="5"/>
        <v>450012003810</v>
      </c>
      <c r="Q360" s="9" cm="1">
        <f t="array" ref="Q360:S360">VLOOKUP(P360,Hoja1!C:F,{2,3,4},FALSE)</f>
        <v>46203</v>
      </c>
      <c r="R360" t="str">
        <v>C21</v>
      </c>
      <c r="S360" t="str">
        <v>1000000634 RAIZEN ARGENTINA S.A.U.</v>
      </c>
    </row>
    <row r="361" spans="1:19" x14ac:dyDescent="0.3">
      <c r="A361" s="2" t="s">
        <v>14</v>
      </c>
      <c r="B361" s="3" t="s">
        <v>14</v>
      </c>
      <c r="C361" s="3" t="s">
        <v>276</v>
      </c>
      <c r="D361" s="3" t="s">
        <v>14</v>
      </c>
      <c r="E361" s="3" t="s">
        <v>107</v>
      </c>
      <c r="F361" s="4">
        <v>46177</v>
      </c>
      <c r="G361" s="3" t="s">
        <v>44</v>
      </c>
      <c r="H361" s="6">
        <v>-1069320</v>
      </c>
      <c r="I361" s="3" t="s">
        <v>17</v>
      </c>
      <c r="J361" s="3" t="s">
        <v>14</v>
      </c>
      <c r="K361" s="3" t="s">
        <v>14</v>
      </c>
      <c r="L361" s="3" t="s">
        <v>121</v>
      </c>
      <c r="M361" s="4">
        <v>46177</v>
      </c>
      <c r="N361" s="3" t="s">
        <v>152</v>
      </c>
      <c r="O361" s="3" t="s">
        <v>34</v>
      </c>
      <c r="P361" t="str">
        <f t="shared" si="5"/>
        <v>450012003810</v>
      </c>
      <c r="Q361" s="9" cm="1">
        <f t="array" ref="Q361:S361">VLOOKUP(P361,Hoja1!C:F,{2,3,4},FALSE)</f>
        <v>46203</v>
      </c>
      <c r="R361" t="str">
        <v>C21</v>
      </c>
      <c r="S361" t="str">
        <v>1000000634 RAIZEN ARGENTINA S.A.U.</v>
      </c>
    </row>
    <row r="362" spans="1:19" x14ac:dyDescent="0.3">
      <c r="A362" s="2" t="s">
        <v>14</v>
      </c>
      <c r="B362" s="3" t="s">
        <v>14</v>
      </c>
      <c r="C362" s="3" t="s">
        <v>277</v>
      </c>
      <c r="D362" s="3" t="s">
        <v>14</v>
      </c>
      <c r="E362" s="3" t="s">
        <v>107</v>
      </c>
      <c r="F362" s="4">
        <v>46183</v>
      </c>
      <c r="G362" s="3" t="s">
        <v>44</v>
      </c>
      <c r="H362" s="6">
        <v>-9382380</v>
      </c>
      <c r="I362" s="3" t="s">
        <v>17</v>
      </c>
      <c r="J362" s="3" t="s">
        <v>14</v>
      </c>
      <c r="K362" s="3" t="s">
        <v>14</v>
      </c>
      <c r="L362" s="3" t="s">
        <v>121</v>
      </c>
      <c r="M362" s="4">
        <v>46183</v>
      </c>
      <c r="N362" s="3" t="s">
        <v>152</v>
      </c>
      <c r="O362" s="3" t="s">
        <v>34</v>
      </c>
      <c r="P362" t="str">
        <f t="shared" si="5"/>
        <v>450012003810</v>
      </c>
      <c r="Q362" s="9" cm="1">
        <f t="array" ref="Q362:S362">VLOOKUP(P362,Hoja1!C:F,{2,3,4},FALSE)</f>
        <v>46203</v>
      </c>
      <c r="R362" t="str">
        <v>C21</v>
      </c>
      <c r="S362" t="str">
        <v>1000000634 RAIZEN ARGENTINA S.A.U.</v>
      </c>
    </row>
    <row r="363" spans="1:19" x14ac:dyDescent="0.3">
      <c r="A363" s="2" t="s">
        <v>14</v>
      </c>
      <c r="B363" s="3" t="s">
        <v>14</v>
      </c>
      <c r="C363" s="3" t="s">
        <v>277</v>
      </c>
      <c r="D363" s="3" t="s">
        <v>14</v>
      </c>
      <c r="E363" s="3" t="s">
        <v>107</v>
      </c>
      <c r="F363" s="4">
        <v>46183</v>
      </c>
      <c r="G363" s="3" t="s">
        <v>44</v>
      </c>
      <c r="H363" s="6">
        <v>-1069320</v>
      </c>
      <c r="I363" s="3" t="s">
        <v>17</v>
      </c>
      <c r="J363" s="3" t="s">
        <v>14</v>
      </c>
      <c r="K363" s="3" t="s">
        <v>14</v>
      </c>
      <c r="L363" s="3" t="s">
        <v>121</v>
      </c>
      <c r="M363" s="4">
        <v>46183</v>
      </c>
      <c r="N363" s="3" t="s">
        <v>152</v>
      </c>
      <c r="O363" s="3" t="s">
        <v>34</v>
      </c>
      <c r="P363" t="str">
        <f t="shared" si="5"/>
        <v>450012003810</v>
      </c>
      <c r="Q363" s="9" cm="1">
        <f t="array" ref="Q363:S363">VLOOKUP(P363,Hoja1!C:F,{2,3,4},FALSE)</f>
        <v>46203</v>
      </c>
      <c r="R363" t="str">
        <v>C21</v>
      </c>
      <c r="S363" t="str">
        <v>1000000634 RAIZEN ARGENTINA S.A.U.</v>
      </c>
    </row>
    <row r="364" spans="1:19" x14ac:dyDescent="0.3">
      <c r="A364" s="2" t="s">
        <v>14</v>
      </c>
      <c r="B364" s="3" t="s">
        <v>14</v>
      </c>
      <c r="C364" s="3" t="s">
        <v>278</v>
      </c>
      <c r="D364" s="3" t="s">
        <v>14</v>
      </c>
      <c r="E364" s="3" t="s">
        <v>107</v>
      </c>
      <c r="F364" s="4">
        <v>46183</v>
      </c>
      <c r="G364" s="3" t="s">
        <v>44</v>
      </c>
      <c r="H364" s="6">
        <v>-5736461.6399999997</v>
      </c>
      <c r="I364" s="3" t="s">
        <v>17</v>
      </c>
      <c r="J364" s="3" t="s">
        <v>14</v>
      </c>
      <c r="K364" s="3" t="s">
        <v>14</v>
      </c>
      <c r="L364" s="3" t="s">
        <v>279</v>
      </c>
      <c r="M364" s="4">
        <v>46183</v>
      </c>
      <c r="N364" s="3" t="s">
        <v>280</v>
      </c>
      <c r="O364" s="3" t="s">
        <v>34</v>
      </c>
      <c r="P364" t="str">
        <f t="shared" si="5"/>
        <v>450012665410</v>
      </c>
      <c r="Q364" s="9" cm="1">
        <f t="array" ref="Q364:S364">VLOOKUP(P364,Hoja1!C:F,{2,3,4},FALSE)</f>
        <v>46202</v>
      </c>
      <c r="R364" t="str">
        <v>C03</v>
      </c>
      <c r="S364" t="str">
        <v>1000003716 MEI GROUP PTY. LTD.SUC. ARG.</v>
      </c>
    </row>
    <row r="365" spans="1:19" x14ac:dyDescent="0.3">
      <c r="A365" s="2" t="s">
        <v>14</v>
      </c>
      <c r="B365" s="3" t="s">
        <v>14</v>
      </c>
      <c r="C365" s="3" t="s">
        <v>281</v>
      </c>
      <c r="D365" s="3" t="s">
        <v>14</v>
      </c>
      <c r="E365" s="3" t="s">
        <v>107</v>
      </c>
      <c r="F365" s="4">
        <v>46184</v>
      </c>
      <c r="G365" s="3" t="s">
        <v>44</v>
      </c>
      <c r="H365" s="6">
        <v>-9382380</v>
      </c>
      <c r="I365" s="3" t="s">
        <v>17</v>
      </c>
      <c r="J365" s="3" t="s">
        <v>14</v>
      </c>
      <c r="K365" s="3" t="s">
        <v>14</v>
      </c>
      <c r="L365" s="3" t="s">
        <v>121</v>
      </c>
      <c r="M365" s="4">
        <v>46184</v>
      </c>
      <c r="N365" s="3" t="s">
        <v>152</v>
      </c>
      <c r="O365" s="3" t="s">
        <v>34</v>
      </c>
      <c r="P365" t="str">
        <f t="shared" si="5"/>
        <v>450012003810</v>
      </c>
      <c r="Q365" s="9" cm="1">
        <f t="array" ref="Q365:S365">VLOOKUP(P365,Hoja1!C:F,{2,3,4},FALSE)</f>
        <v>46203</v>
      </c>
      <c r="R365" t="str">
        <v>C21</v>
      </c>
      <c r="S365" t="str">
        <v>1000000634 RAIZEN ARGENTINA S.A.U.</v>
      </c>
    </row>
    <row r="366" spans="1:19" x14ac:dyDescent="0.3">
      <c r="A366" s="2" t="s">
        <v>14</v>
      </c>
      <c r="B366" s="3" t="s">
        <v>14</v>
      </c>
      <c r="C366" s="3" t="s">
        <v>281</v>
      </c>
      <c r="D366" s="3" t="s">
        <v>14</v>
      </c>
      <c r="E366" s="3" t="s">
        <v>107</v>
      </c>
      <c r="F366" s="4">
        <v>46184</v>
      </c>
      <c r="G366" s="3" t="s">
        <v>44</v>
      </c>
      <c r="H366" s="6">
        <v>-1069320</v>
      </c>
      <c r="I366" s="3" t="s">
        <v>17</v>
      </c>
      <c r="J366" s="3" t="s">
        <v>14</v>
      </c>
      <c r="K366" s="3" t="s">
        <v>14</v>
      </c>
      <c r="L366" s="3" t="s">
        <v>121</v>
      </c>
      <c r="M366" s="4">
        <v>46184</v>
      </c>
      <c r="N366" s="3" t="s">
        <v>152</v>
      </c>
      <c r="O366" s="3" t="s">
        <v>34</v>
      </c>
      <c r="P366" t="str">
        <f t="shared" si="5"/>
        <v>450012003810</v>
      </c>
      <c r="Q366" s="9" cm="1">
        <f t="array" ref="Q366:S366">VLOOKUP(P366,Hoja1!C:F,{2,3,4},FALSE)</f>
        <v>46203</v>
      </c>
      <c r="R366" t="str">
        <v>C21</v>
      </c>
      <c r="S366" t="str">
        <v>1000000634 RAIZEN ARGENTINA S.A.U.</v>
      </c>
    </row>
    <row r="367" spans="1:19" x14ac:dyDescent="0.3">
      <c r="A367" s="2" t="s">
        <v>14</v>
      </c>
      <c r="B367" s="3" t="s">
        <v>14</v>
      </c>
      <c r="C367" s="3" t="s">
        <v>282</v>
      </c>
      <c r="D367" s="3" t="s">
        <v>14</v>
      </c>
      <c r="E367" s="3" t="s">
        <v>107</v>
      </c>
      <c r="F367" s="4">
        <v>46185</v>
      </c>
      <c r="G367" s="3" t="s">
        <v>44</v>
      </c>
      <c r="H367" s="6">
        <v>-446800</v>
      </c>
      <c r="I367" s="3" t="s">
        <v>17</v>
      </c>
      <c r="J367" s="3" t="s">
        <v>14</v>
      </c>
      <c r="K367" s="3" t="s">
        <v>14</v>
      </c>
      <c r="L367" s="3" t="s">
        <v>108</v>
      </c>
      <c r="M367" s="4">
        <v>46185</v>
      </c>
      <c r="N367" s="3" t="s">
        <v>180</v>
      </c>
      <c r="O367" s="3" t="s">
        <v>34</v>
      </c>
      <c r="P367" t="str">
        <f t="shared" si="5"/>
        <v>450011911710</v>
      </c>
      <c r="Q367" s="9" cm="1">
        <f t="array" ref="Q367:S367">VLOOKUP(P367,Hoja1!C:F,{2,3,4},FALSE)</f>
        <v>46245</v>
      </c>
      <c r="R367" t="str">
        <v>C21</v>
      </c>
      <c r="S367" t="str">
        <v>1000001020 COMBUSTIBLES BARCELO S.R.L.</v>
      </c>
    </row>
    <row r="368" spans="1:19" x14ac:dyDescent="0.3">
      <c r="A368" s="2" t="s">
        <v>14</v>
      </c>
      <c r="B368" s="3" t="s">
        <v>14</v>
      </c>
      <c r="C368" s="3" t="s">
        <v>282</v>
      </c>
      <c r="D368" s="3" t="s">
        <v>14</v>
      </c>
      <c r="E368" s="3" t="s">
        <v>107</v>
      </c>
      <c r="F368" s="4">
        <v>46185</v>
      </c>
      <c r="G368" s="3" t="s">
        <v>44</v>
      </c>
      <c r="H368" s="6">
        <v>-50920</v>
      </c>
      <c r="I368" s="3" t="s">
        <v>17</v>
      </c>
      <c r="J368" s="3" t="s">
        <v>14</v>
      </c>
      <c r="K368" s="3" t="s">
        <v>14</v>
      </c>
      <c r="L368" s="3" t="s">
        <v>108</v>
      </c>
      <c r="M368" s="4">
        <v>46185</v>
      </c>
      <c r="N368" s="3" t="s">
        <v>180</v>
      </c>
      <c r="O368" s="3" t="s">
        <v>34</v>
      </c>
      <c r="P368" t="str">
        <f t="shared" si="5"/>
        <v>450011911710</v>
      </c>
      <c r="Q368" s="9" cm="1">
        <f t="array" ref="Q368:S368">VLOOKUP(P368,Hoja1!C:F,{2,3,4},FALSE)</f>
        <v>46245</v>
      </c>
      <c r="R368" t="str">
        <v>C21</v>
      </c>
      <c r="S368" t="str">
        <v>1000001020 COMBUSTIBLES BARCELO S.R.L.</v>
      </c>
    </row>
    <row r="369" spans="1:19" x14ac:dyDescent="0.3">
      <c r="A369" s="2" t="s">
        <v>14</v>
      </c>
      <c r="B369" s="3" t="s">
        <v>14</v>
      </c>
      <c r="C369" s="3" t="s">
        <v>283</v>
      </c>
      <c r="D369" s="3" t="s">
        <v>14</v>
      </c>
      <c r="E369" s="3" t="s">
        <v>107</v>
      </c>
      <c r="F369" s="4">
        <v>46185</v>
      </c>
      <c r="G369" s="3" t="s">
        <v>44</v>
      </c>
      <c r="H369" s="6">
        <v>-12000</v>
      </c>
      <c r="I369" s="3" t="s">
        <v>17</v>
      </c>
      <c r="J369" s="3" t="s">
        <v>14</v>
      </c>
      <c r="K369" s="3" t="s">
        <v>14</v>
      </c>
      <c r="L369" s="3" t="s">
        <v>284</v>
      </c>
      <c r="M369" s="4">
        <v>46185</v>
      </c>
      <c r="N369" s="3" t="s">
        <v>285</v>
      </c>
      <c r="O369" s="3" t="s">
        <v>21</v>
      </c>
      <c r="P369" t="str">
        <f t="shared" si="5"/>
        <v>450012149820</v>
      </c>
      <c r="Q369" s="9" cm="1">
        <f t="array" ref="Q369:S369">VLOOKUP(P369,Hoja1!C:F,{2,3,4},FALSE)</f>
        <v>46099</v>
      </c>
      <c r="R369" t="str">
        <v>EFO</v>
      </c>
      <c r="S369" t="str">
        <v>1000010126 GINER CARLOS ALBERTO</v>
      </c>
    </row>
    <row r="370" spans="1:19" x14ac:dyDescent="0.3">
      <c r="A370" s="2" t="s">
        <v>14</v>
      </c>
      <c r="B370" s="3" t="s">
        <v>14</v>
      </c>
      <c r="C370" s="3" t="s">
        <v>286</v>
      </c>
      <c r="D370" s="3" t="s">
        <v>14</v>
      </c>
      <c r="E370" s="3" t="s">
        <v>107</v>
      </c>
      <c r="F370" s="4">
        <v>46185</v>
      </c>
      <c r="G370" s="3" t="s">
        <v>44</v>
      </c>
      <c r="H370" s="6">
        <v>-343400</v>
      </c>
      <c r="I370" s="3" t="s">
        <v>17</v>
      </c>
      <c r="J370" s="3" t="s">
        <v>14</v>
      </c>
      <c r="K370" s="3" t="s">
        <v>14</v>
      </c>
      <c r="L370" s="3" t="s">
        <v>287</v>
      </c>
      <c r="M370" s="4">
        <v>46185</v>
      </c>
      <c r="N370" s="3" t="s">
        <v>288</v>
      </c>
      <c r="O370" s="3" t="s">
        <v>34</v>
      </c>
      <c r="P370" t="str">
        <f t="shared" si="5"/>
        <v>450012126010</v>
      </c>
      <c r="Q370" s="9" cm="1">
        <f t="array" ref="Q370:S370">VLOOKUP(P370,Hoja1!C:F,{2,3,4},FALSE)</f>
        <v>46097</v>
      </c>
      <c r="R370" t="str">
        <v>EFO</v>
      </c>
      <c r="S370" t="str">
        <v>1000001014 ANDRE FRENO S.R.L.</v>
      </c>
    </row>
    <row r="371" spans="1:19" x14ac:dyDescent="0.3">
      <c r="A371" s="2" t="s">
        <v>14</v>
      </c>
      <c r="B371" s="3" t="s">
        <v>14</v>
      </c>
      <c r="C371" s="3" t="s">
        <v>289</v>
      </c>
      <c r="D371" s="3" t="s">
        <v>14</v>
      </c>
      <c r="E371" s="3" t="s">
        <v>107</v>
      </c>
      <c r="F371" s="4">
        <v>46185</v>
      </c>
      <c r="G371" s="3" t="s">
        <v>44</v>
      </c>
      <c r="H371" s="6">
        <v>-1428</v>
      </c>
      <c r="I371" s="3" t="s">
        <v>17</v>
      </c>
      <c r="J371" s="3" t="s">
        <v>14</v>
      </c>
      <c r="K371" s="3" t="s">
        <v>14</v>
      </c>
      <c r="L371" s="3" t="s">
        <v>290</v>
      </c>
      <c r="M371" s="4">
        <v>46185</v>
      </c>
      <c r="N371" s="3" t="s">
        <v>291</v>
      </c>
      <c r="O371" s="3" t="s">
        <v>34</v>
      </c>
      <c r="P371" t="str">
        <f t="shared" si="5"/>
        <v>450012336910</v>
      </c>
      <c r="Q371" s="9" cm="1">
        <f t="array" ref="Q371:S371">VLOOKUP(P371,Hoja1!C:F,{2,3,4},FALSE)</f>
        <v>46121</v>
      </c>
      <c r="R371" t="str">
        <v>EFO</v>
      </c>
      <c r="S371" t="str">
        <v>1000002978 LIRUSSI ARAGON FERNANDO ARIEL</v>
      </c>
    </row>
    <row r="372" spans="1:19" x14ac:dyDescent="0.3">
      <c r="A372" s="2" t="s">
        <v>14</v>
      </c>
      <c r="B372" s="3" t="s">
        <v>14</v>
      </c>
      <c r="C372" s="3" t="s">
        <v>292</v>
      </c>
      <c r="D372" s="3" t="s">
        <v>14</v>
      </c>
      <c r="E372" s="3" t="s">
        <v>107</v>
      </c>
      <c r="F372" s="4">
        <v>46185</v>
      </c>
      <c r="G372" s="3" t="s">
        <v>44</v>
      </c>
      <c r="H372" s="6">
        <v>-742560</v>
      </c>
      <c r="I372" s="3" t="s">
        <v>17</v>
      </c>
      <c r="J372" s="3" t="s">
        <v>14</v>
      </c>
      <c r="K372" s="3" t="s">
        <v>14</v>
      </c>
      <c r="L372" s="3" t="s">
        <v>290</v>
      </c>
      <c r="M372" s="4">
        <v>46185</v>
      </c>
      <c r="N372" s="3" t="s">
        <v>293</v>
      </c>
      <c r="O372" s="3" t="s">
        <v>34</v>
      </c>
      <c r="P372" t="str">
        <f t="shared" si="5"/>
        <v>450011551610</v>
      </c>
      <c r="Q372" s="9" cm="1">
        <f t="array" ref="Q372:S372">VLOOKUP(P372,Hoja1!C:F,{2,3,4},FALSE)</f>
        <v>46027</v>
      </c>
      <c r="R372" t="str">
        <v>EFO</v>
      </c>
      <c r="S372" t="str">
        <v>1000002978 LIRUSSI ARAGON FERNANDO ARIEL</v>
      </c>
    </row>
    <row r="373" spans="1:19" x14ac:dyDescent="0.3">
      <c r="A373" s="2" t="s">
        <v>14</v>
      </c>
      <c r="B373" s="3" t="s">
        <v>14</v>
      </c>
      <c r="C373" s="3" t="s">
        <v>294</v>
      </c>
      <c r="D373" s="3" t="s">
        <v>14</v>
      </c>
      <c r="E373" s="3" t="s">
        <v>107</v>
      </c>
      <c r="F373" s="4">
        <v>46185</v>
      </c>
      <c r="G373" s="3" t="s">
        <v>44</v>
      </c>
      <c r="H373" s="6">
        <v>-13527.4</v>
      </c>
      <c r="I373" s="3" t="s">
        <v>17</v>
      </c>
      <c r="J373" s="3" t="s">
        <v>14</v>
      </c>
      <c r="K373" s="3" t="s">
        <v>14</v>
      </c>
      <c r="L373" s="3" t="s">
        <v>73</v>
      </c>
      <c r="M373" s="4">
        <v>46185</v>
      </c>
      <c r="N373" s="3" t="s">
        <v>295</v>
      </c>
      <c r="O373" s="3" t="s">
        <v>21</v>
      </c>
      <c r="P373" t="str">
        <f t="shared" si="5"/>
        <v>450011608220</v>
      </c>
      <c r="Q373" s="9" cm="1">
        <f t="array" ref="Q373:S373">VLOOKUP(P373,Hoja1!C:F,{2,3,4},FALSE)</f>
        <v>46031</v>
      </c>
      <c r="R373" t="str">
        <v>EFO</v>
      </c>
      <c r="S373" t="str">
        <v>1000003373 MEYNIEL S.R.L.</v>
      </c>
    </row>
    <row r="374" spans="1:19" x14ac:dyDescent="0.3">
      <c r="A374" s="2" t="s">
        <v>14</v>
      </c>
      <c r="B374" s="3" t="s">
        <v>14</v>
      </c>
      <c r="C374" s="3" t="s">
        <v>294</v>
      </c>
      <c r="D374" s="3" t="s">
        <v>14</v>
      </c>
      <c r="E374" s="3" t="s">
        <v>107</v>
      </c>
      <c r="F374" s="4">
        <v>46185</v>
      </c>
      <c r="G374" s="3" t="s">
        <v>44</v>
      </c>
      <c r="H374" s="6">
        <v>-16327</v>
      </c>
      <c r="I374" s="3" t="s">
        <v>17</v>
      </c>
      <c r="J374" s="3" t="s">
        <v>14</v>
      </c>
      <c r="K374" s="3" t="s">
        <v>14</v>
      </c>
      <c r="L374" s="3" t="s">
        <v>73</v>
      </c>
      <c r="M374" s="4">
        <v>46185</v>
      </c>
      <c r="N374" s="3" t="s">
        <v>295</v>
      </c>
      <c r="O374" s="3" t="s">
        <v>22</v>
      </c>
      <c r="P374" t="str">
        <f t="shared" si="5"/>
        <v>450011608230</v>
      </c>
      <c r="Q374" s="9" cm="1">
        <f t="array" ref="Q374:S374">VLOOKUP(P374,Hoja1!C:F,{2,3,4},FALSE)</f>
        <v>46031</v>
      </c>
      <c r="R374" t="str">
        <v>EFO</v>
      </c>
      <c r="S374" t="str">
        <v>1000003373 MEYNIEL S.R.L.</v>
      </c>
    </row>
    <row r="375" spans="1:19" x14ac:dyDescent="0.3">
      <c r="A375" s="2" t="s">
        <v>14</v>
      </c>
      <c r="B375" s="3" t="s">
        <v>14</v>
      </c>
      <c r="C375" s="3" t="s">
        <v>296</v>
      </c>
      <c r="D375" s="3" t="s">
        <v>14</v>
      </c>
      <c r="E375" s="3" t="s">
        <v>107</v>
      </c>
      <c r="F375" s="4">
        <v>46185</v>
      </c>
      <c r="G375" s="3" t="s">
        <v>44</v>
      </c>
      <c r="H375" s="6">
        <v>-1296866.76</v>
      </c>
      <c r="I375" s="3" t="s">
        <v>17</v>
      </c>
      <c r="J375" s="3" t="s">
        <v>14</v>
      </c>
      <c r="K375" s="3" t="s">
        <v>14</v>
      </c>
      <c r="L375" s="3" t="s">
        <v>297</v>
      </c>
      <c r="M375" s="4">
        <v>46185</v>
      </c>
      <c r="N375" s="3" t="s">
        <v>298</v>
      </c>
      <c r="O375" s="3" t="s">
        <v>34</v>
      </c>
      <c r="P375" t="str">
        <f t="shared" si="5"/>
        <v>450011435610</v>
      </c>
      <c r="Q375" s="9" cm="1">
        <f t="array" ref="Q375:S375">VLOOKUP(P375,Hoja1!C:F,{2,3,4},FALSE)</f>
        <v>46203</v>
      </c>
      <c r="R375" t="str">
        <v>C03</v>
      </c>
      <c r="S375" t="str">
        <v>2000000032 ANNCAR EQUIPMENT &amp; PARTS</v>
      </c>
    </row>
    <row r="376" spans="1:19" x14ac:dyDescent="0.3">
      <c r="A376" s="2" t="s">
        <v>14</v>
      </c>
      <c r="B376" s="3" t="s">
        <v>14</v>
      </c>
      <c r="C376" s="3" t="s">
        <v>299</v>
      </c>
      <c r="D376" s="3" t="s">
        <v>14</v>
      </c>
      <c r="E376" s="3" t="s">
        <v>107</v>
      </c>
      <c r="F376" s="4">
        <v>46189</v>
      </c>
      <c r="G376" s="3" t="s">
        <v>44</v>
      </c>
      <c r="H376" s="6">
        <v>-9605770</v>
      </c>
      <c r="I376" s="3" t="s">
        <v>17</v>
      </c>
      <c r="J376" s="3" t="s">
        <v>14</v>
      </c>
      <c r="K376" s="3" t="s">
        <v>14</v>
      </c>
      <c r="L376" s="3" t="s">
        <v>121</v>
      </c>
      <c r="M376" s="4">
        <v>46189</v>
      </c>
      <c r="N376" s="3" t="s">
        <v>152</v>
      </c>
      <c r="O376" s="3" t="s">
        <v>34</v>
      </c>
      <c r="P376" t="str">
        <f t="shared" si="5"/>
        <v>450012003810</v>
      </c>
      <c r="Q376" s="9" cm="1">
        <f t="array" ref="Q376:S376">VLOOKUP(P376,Hoja1!C:F,{2,3,4},FALSE)</f>
        <v>46203</v>
      </c>
      <c r="R376" t="str">
        <v>C21</v>
      </c>
      <c r="S376" t="str">
        <v>1000000634 RAIZEN ARGENTINA S.A.U.</v>
      </c>
    </row>
    <row r="377" spans="1:19" x14ac:dyDescent="0.3">
      <c r="A377" s="2" t="s">
        <v>14</v>
      </c>
      <c r="B377" s="3" t="s">
        <v>14</v>
      </c>
      <c r="C377" s="3" t="s">
        <v>299</v>
      </c>
      <c r="D377" s="3" t="s">
        <v>14</v>
      </c>
      <c r="E377" s="3" t="s">
        <v>107</v>
      </c>
      <c r="F377" s="4">
        <v>46189</v>
      </c>
      <c r="G377" s="3" t="s">
        <v>44</v>
      </c>
      <c r="H377" s="6">
        <v>-1094780</v>
      </c>
      <c r="I377" s="3" t="s">
        <v>17</v>
      </c>
      <c r="J377" s="3" t="s">
        <v>14</v>
      </c>
      <c r="K377" s="3" t="s">
        <v>14</v>
      </c>
      <c r="L377" s="3" t="s">
        <v>121</v>
      </c>
      <c r="M377" s="4">
        <v>46189</v>
      </c>
      <c r="N377" s="3" t="s">
        <v>152</v>
      </c>
      <c r="O377" s="3" t="s">
        <v>34</v>
      </c>
      <c r="P377" t="str">
        <f t="shared" si="5"/>
        <v>450012003810</v>
      </c>
      <c r="Q377" s="9" cm="1">
        <f t="array" ref="Q377:S377">VLOOKUP(P377,Hoja1!C:F,{2,3,4},FALSE)</f>
        <v>46203</v>
      </c>
      <c r="R377" t="str">
        <v>C21</v>
      </c>
      <c r="S377" t="str">
        <v>1000000634 RAIZEN ARGENTINA S.A.U.</v>
      </c>
    </row>
    <row r="378" spans="1:19" x14ac:dyDescent="0.3">
      <c r="A378" s="2" t="s">
        <v>14</v>
      </c>
      <c r="B378" s="3" t="s">
        <v>14</v>
      </c>
      <c r="C378" s="3" t="s">
        <v>300</v>
      </c>
      <c r="D378" s="3" t="s">
        <v>14</v>
      </c>
      <c r="E378" s="3" t="s">
        <v>107</v>
      </c>
      <c r="F378" s="4">
        <v>46191</v>
      </c>
      <c r="G378" s="3" t="s">
        <v>44</v>
      </c>
      <c r="H378" s="6">
        <v>-9605770</v>
      </c>
      <c r="I378" s="3" t="s">
        <v>17</v>
      </c>
      <c r="J378" s="3" t="s">
        <v>14</v>
      </c>
      <c r="K378" s="3" t="s">
        <v>14</v>
      </c>
      <c r="L378" s="3" t="s">
        <v>121</v>
      </c>
      <c r="M378" s="4">
        <v>46191</v>
      </c>
      <c r="N378" s="3" t="s">
        <v>152</v>
      </c>
      <c r="O378" s="3" t="s">
        <v>34</v>
      </c>
      <c r="P378" t="str">
        <f t="shared" si="5"/>
        <v>450012003810</v>
      </c>
      <c r="Q378" s="9" cm="1">
        <f t="array" ref="Q378:S378">VLOOKUP(P378,Hoja1!C:F,{2,3,4},FALSE)</f>
        <v>46203</v>
      </c>
      <c r="R378" t="str">
        <v>C21</v>
      </c>
      <c r="S378" t="str">
        <v>1000000634 RAIZEN ARGENTINA S.A.U.</v>
      </c>
    </row>
    <row r="379" spans="1:19" x14ac:dyDescent="0.3">
      <c r="A379" s="2" t="s">
        <v>14</v>
      </c>
      <c r="B379" s="3" t="s">
        <v>14</v>
      </c>
      <c r="C379" s="3" t="s">
        <v>300</v>
      </c>
      <c r="D379" s="3" t="s">
        <v>14</v>
      </c>
      <c r="E379" s="3" t="s">
        <v>107</v>
      </c>
      <c r="F379" s="4">
        <v>46191</v>
      </c>
      <c r="G379" s="3" t="s">
        <v>44</v>
      </c>
      <c r="H379" s="6">
        <v>-1094780</v>
      </c>
      <c r="I379" s="3" t="s">
        <v>17</v>
      </c>
      <c r="J379" s="3" t="s">
        <v>14</v>
      </c>
      <c r="K379" s="3" t="s">
        <v>14</v>
      </c>
      <c r="L379" s="3" t="s">
        <v>121</v>
      </c>
      <c r="M379" s="4">
        <v>46191</v>
      </c>
      <c r="N379" s="3" t="s">
        <v>152</v>
      </c>
      <c r="O379" s="3" t="s">
        <v>34</v>
      </c>
      <c r="P379" t="str">
        <f t="shared" si="5"/>
        <v>450012003810</v>
      </c>
      <c r="Q379" s="9" cm="1">
        <f t="array" ref="Q379:S379">VLOOKUP(P379,Hoja1!C:F,{2,3,4},FALSE)</f>
        <v>46203</v>
      </c>
      <c r="R379" t="str">
        <v>C21</v>
      </c>
      <c r="S379" t="str">
        <v>1000000634 RAIZEN ARGENTINA S.A.U.</v>
      </c>
    </row>
    <row r="380" spans="1:19" x14ac:dyDescent="0.3">
      <c r="A380" s="2" t="s">
        <v>14</v>
      </c>
      <c r="B380" s="3" t="s">
        <v>14</v>
      </c>
      <c r="C380" s="3" t="s">
        <v>301</v>
      </c>
      <c r="D380" s="3" t="s">
        <v>56</v>
      </c>
      <c r="E380" s="3" t="s">
        <v>107</v>
      </c>
      <c r="F380" s="4">
        <v>46191</v>
      </c>
      <c r="G380" s="3" t="s">
        <v>44</v>
      </c>
      <c r="H380" s="6">
        <v>-90568.45</v>
      </c>
      <c r="I380" s="3" t="s">
        <v>17</v>
      </c>
      <c r="J380" s="3" t="s">
        <v>14</v>
      </c>
      <c r="K380" s="3" t="s">
        <v>14</v>
      </c>
      <c r="L380" s="3" t="s">
        <v>302</v>
      </c>
      <c r="M380" s="4">
        <v>46191</v>
      </c>
      <c r="N380" s="3" t="s">
        <v>303</v>
      </c>
      <c r="O380" s="3" t="s">
        <v>34</v>
      </c>
      <c r="P380" t="str">
        <f t="shared" si="5"/>
        <v>450013049610</v>
      </c>
      <c r="Q380" s="9" cm="1">
        <f t="array" ref="Q380:S380">VLOOKUP(P380,Hoja1!C:F,{2,3,4},FALSE)</f>
        <v>46205</v>
      </c>
      <c r="R380" t="str">
        <v>C01</v>
      </c>
      <c r="S380" t="str">
        <v>1000003511 FIPH SA</v>
      </c>
    </row>
    <row r="381" spans="1:19" x14ac:dyDescent="0.3">
      <c r="A381" s="2" t="s">
        <v>14</v>
      </c>
      <c r="B381" s="3" t="s">
        <v>14</v>
      </c>
      <c r="C381" s="3" t="s">
        <v>304</v>
      </c>
      <c r="D381" s="3" t="s">
        <v>14</v>
      </c>
      <c r="E381" s="3" t="s">
        <v>107</v>
      </c>
      <c r="F381" s="4">
        <v>46192</v>
      </c>
      <c r="G381" s="3" t="s">
        <v>44</v>
      </c>
      <c r="H381" s="6">
        <v>-42800</v>
      </c>
      <c r="I381" s="3" t="s">
        <v>17</v>
      </c>
      <c r="J381" s="3" t="s">
        <v>14</v>
      </c>
      <c r="K381" s="3" t="s">
        <v>14</v>
      </c>
      <c r="L381" s="3" t="s">
        <v>305</v>
      </c>
      <c r="M381" s="4">
        <v>46195</v>
      </c>
      <c r="N381" s="3" t="s">
        <v>306</v>
      </c>
      <c r="O381" s="3" t="s">
        <v>34</v>
      </c>
      <c r="P381" t="str">
        <f t="shared" si="5"/>
        <v>450013045310</v>
      </c>
      <c r="Q381" s="9" cm="1">
        <f t="array" ref="Q381:S381">VLOOKUP(P381,Hoja1!C:F,{2,3,4},FALSE)</f>
        <v>46198</v>
      </c>
      <c r="R381" t="str">
        <v>C03</v>
      </c>
      <c r="S381" t="str">
        <v>1000000929 ANTINORO FRANCISCO ERNESTO</v>
      </c>
    </row>
    <row r="382" spans="1:19" x14ac:dyDescent="0.3">
      <c r="A382" s="2" t="s">
        <v>14</v>
      </c>
      <c r="B382" s="3" t="s">
        <v>14</v>
      </c>
      <c r="C382" s="3" t="s">
        <v>307</v>
      </c>
      <c r="D382" s="3" t="s">
        <v>14</v>
      </c>
      <c r="E382" s="3" t="s">
        <v>107</v>
      </c>
      <c r="F382" s="4">
        <v>46192</v>
      </c>
      <c r="G382" s="3" t="s">
        <v>44</v>
      </c>
      <c r="H382" s="6">
        <v>-123450</v>
      </c>
      <c r="I382" s="3" t="s">
        <v>17</v>
      </c>
      <c r="J382" s="3" t="s">
        <v>14</v>
      </c>
      <c r="K382" s="3" t="s">
        <v>14</v>
      </c>
      <c r="L382" s="3" t="s">
        <v>305</v>
      </c>
      <c r="M382" s="4">
        <v>46195</v>
      </c>
      <c r="N382" s="3" t="s">
        <v>308</v>
      </c>
      <c r="O382" s="3" t="s">
        <v>34</v>
      </c>
      <c r="P382" t="str">
        <f t="shared" si="5"/>
        <v>450013017110</v>
      </c>
      <c r="Q382" s="9" cm="1">
        <f t="array" ref="Q382:S382">VLOOKUP(P382,Hoja1!C:F,{2,3,4},FALSE)</f>
        <v>46198</v>
      </c>
      <c r="R382" t="str">
        <v>L03</v>
      </c>
      <c r="S382" t="str">
        <v>1000000929 ANTINORO FRANCISCO ERNESTO</v>
      </c>
    </row>
    <row r="383" spans="1:19" x14ac:dyDescent="0.3">
      <c r="A383" s="2" t="s">
        <v>14</v>
      </c>
      <c r="B383" s="3" t="s">
        <v>14</v>
      </c>
      <c r="C383" s="3" t="s">
        <v>309</v>
      </c>
      <c r="D383" s="3" t="s">
        <v>14</v>
      </c>
      <c r="E383" s="3" t="s">
        <v>107</v>
      </c>
      <c r="F383" s="4">
        <v>46196</v>
      </c>
      <c r="G383" s="3" t="s">
        <v>44</v>
      </c>
      <c r="H383" s="6">
        <v>-14992.53</v>
      </c>
      <c r="I383" s="3" t="s">
        <v>17</v>
      </c>
      <c r="J383" s="3" t="s">
        <v>14</v>
      </c>
      <c r="K383" s="3" t="s">
        <v>14</v>
      </c>
      <c r="L383" s="3" t="s">
        <v>163</v>
      </c>
      <c r="M383" s="4">
        <v>46196</v>
      </c>
      <c r="N383" s="3" t="s">
        <v>310</v>
      </c>
      <c r="O383" s="3" t="s">
        <v>34</v>
      </c>
      <c r="P383" t="str">
        <f t="shared" si="5"/>
        <v>450012822310</v>
      </c>
      <c r="Q383" s="9" cm="1">
        <f t="array" ref="Q383:S383">VLOOKUP(P383,Hoja1!C:F,{2,3,4},FALSE)</f>
        <v>46203</v>
      </c>
      <c r="R383" t="str">
        <v>C03</v>
      </c>
      <c r="S383" t="str">
        <v>1000000062 FINNING ARGENTINA S.A.</v>
      </c>
    </row>
    <row r="384" spans="1:19" x14ac:dyDescent="0.3">
      <c r="A384" s="2" t="s">
        <v>14</v>
      </c>
      <c r="B384" s="3" t="s">
        <v>14</v>
      </c>
      <c r="C384" s="3" t="s">
        <v>309</v>
      </c>
      <c r="D384" s="3" t="s">
        <v>14</v>
      </c>
      <c r="E384" s="3" t="s">
        <v>107</v>
      </c>
      <c r="F384" s="4">
        <v>46196</v>
      </c>
      <c r="G384" s="3" t="s">
        <v>44</v>
      </c>
      <c r="H384" s="6">
        <v>-13331.55</v>
      </c>
      <c r="I384" s="3" t="s">
        <v>17</v>
      </c>
      <c r="J384" s="3" t="s">
        <v>14</v>
      </c>
      <c r="K384" s="3" t="s">
        <v>14</v>
      </c>
      <c r="L384" s="3" t="s">
        <v>163</v>
      </c>
      <c r="M384" s="4">
        <v>46196</v>
      </c>
      <c r="N384" s="3" t="s">
        <v>310</v>
      </c>
      <c r="O384" s="3" t="s">
        <v>21</v>
      </c>
      <c r="P384" t="str">
        <f t="shared" si="5"/>
        <v>450012822320</v>
      </c>
      <c r="Q384" s="9" cm="1">
        <f t="array" ref="Q384:S384">VLOOKUP(P384,Hoja1!C:F,{2,3,4},FALSE)</f>
        <v>46203</v>
      </c>
      <c r="R384" t="str">
        <v>C03</v>
      </c>
      <c r="S384" t="str">
        <v>1000000062 FINNING ARGENTINA S.A.</v>
      </c>
    </row>
    <row r="385" spans="1:19" x14ac:dyDescent="0.3">
      <c r="A385" s="2" t="s">
        <v>14</v>
      </c>
      <c r="B385" s="3" t="s">
        <v>14</v>
      </c>
      <c r="C385" s="3" t="s">
        <v>311</v>
      </c>
      <c r="D385" s="3" t="s">
        <v>14</v>
      </c>
      <c r="E385" s="3" t="s">
        <v>107</v>
      </c>
      <c r="F385" s="4">
        <v>46196</v>
      </c>
      <c r="G385" s="3" t="s">
        <v>44</v>
      </c>
      <c r="H385" s="6">
        <v>-10042200</v>
      </c>
      <c r="I385" s="3" t="s">
        <v>17</v>
      </c>
      <c r="J385" s="3" t="s">
        <v>14</v>
      </c>
      <c r="K385" s="3" t="s">
        <v>14</v>
      </c>
      <c r="L385" s="3" t="s">
        <v>121</v>
      </c>
      <c r="M385" s="4">
        <v>46196</v>
      </c>
      <c r="N385" s="3" t="s">
        <v>312</v>
      </c>
      <c r="O385" s="3" t="s">
        <v>34</v>
      </c>
      <c r="P385" t="str">
        <f t="shared" si="5"/>
        <v>450012941210</v>
      </c>
      <c r="Q385" s="9" cm="1">
        <f t="array" ref="Q385:S385">VLOOKUP(P385,Hoja1!C:F,{2,3,4},FALSE)</f>
        <v>46325</v>
      </c>
      <c r="R385" t="str">
        <v>C21</v>
      </c>
      <c r="S385" t="str">
        <v>1000000634 RAIZEN ARGENTINA S.A.U.</v>
      </c>
    </row>
    <row r="386" spans="1:19" x14ac:dyDescent="0.3">
      <c r="A386" s="2" t="s">
        <v>14</v>
      </c>
      <c r="B386" s="3" t="s">
        <v>14</v>
      </c>
      <c r="C386" s="3" t="s">
        <v>311</v>
      </c>
      <c r="D386" s="3" t="s">
        <v>14</v>
      </c>
      <c r="E386" s="3" t="s">
        <v>107</v>
      </c>
      <c r="F386" s="4">
        <v>46196</v>
      </c>
      <c r="G386" s="3" t="s">
        <v>44</v>
      </c>
      <c r="H386" s="6">
        <v>-1144500</v>
      </c>
      <c r="I386" s="3" t="s">
        <v>17</v>
      </c>
      <c r="J386" s="3" t="s">
        <v>14</v>
      </c>
      <c r="K386" s="3" t="s">
        <v>14</v>
      </c>
      <c r="L386" s="3" t="s">
        <v>121</v>
      </c>
      <c r="M386" s="4">
        <v>46196</v>
      </c>
      <c r="N386" s="3" t="s">
        <v>312</v>
      </c>
      <c r="O386" s="3" t="s">
        <v>34</v>
      </c>
      <c r="P386" t="str">
        <f t="shared" si="5"/>
        <v>450012941210</v>
      </c>
      <c r="Q386" s="9" cm="1">
        <f t="array" ref="Q386:S386">VLOOKUP(P386,Hoja1!C:F,{2,3,4},FALSE)</f>
        <v>46325</v>
      </c>
      <c r="R386" t="str">
        <v>C21</v>
      </c>
      <c r="S386" t="str">
        <v>1000000634 RAIZEN ARGENTINA S.A.U.</v>
      </c>
    </row>
    <row r="387" spans="1:19" x14ac:dyDescent="0.3">
      <c r="A387" s="2" t="s">
        <v>14</v>
      </c>
      <c r="B387" s="3" t="s">
        <v>14</v>
      </c>
      <c r="C387" s="3" t="s">
        <v>313</v>
      </c>
      <c r="D387" s="3" t="s">
        <v>14</v>
      </c>
      <c r="E387" s="3" t="s">
        <v>107</v>
      </c>
      <c r="F387" s="4">
        <v>46196</v>
      </c>
      <c r="G387" s="3" t="s">
        <v>44</v>
      </c>
      <c r="H387" s="6">
        <v>-1721256.53</v>
      </c>
      <c r="I387" s="3" t="s">
        <v>17</v>
      </c>
      <c r="J387" s="3" t="s">
        <v>14</v>
      </c>
      <c r="K387" s="3" t="s">
        <v>14</v>
      </c>
      <c r="L387" s="3" t="s">
        <v>47</v>
      </c>
      <c r="M387" s="4">
        <v>46196</v>
      </c>
      <c r="N387" s="3" t="s">
        <v>48</v>
      </c>
      <c r="O387" s="3" t="s">
        <v>34</v>
      </c>
      <c r="P387" t="str">
        <f t="shared" ref="P387:P450" si="6">_xlfn.CONCAT(N387:O387)</f>
        <v>450012764410</v>
      </c>
      <c r="Q387" s="9" cm="1">
        <f t="array" ref="Q387:S387">VLOOKUP(P387,Hoja1!C:F,{2,3,4},FALSE)</f>
        <v>46203</v>
      </c>
      <c r="R387" t="str">
        <v>C39</v>
      </c>
      <c r="S387" t="str">
        <v>1000001841 AONA SA</v>
      </c>
    </row>
    <row r="388" spans="1:19" x14ac:dyDescent="0.3">
      <c r="A388" s="2" t="s">
        <v>14</v>
      </c>
      <c r="B388" s="3" t="s">
        <v>14</v>
      </c>
      <c r="C388" s="3" t="s">
        <v>314</v>
      </c>
      <c r="D388" s="3" t="s">
        <v>14</v>
      </c>
      <c r="E388" s="3" t="s">
        <v>107</v>
      </c>
      <c r="F388" s="4">
        <v>46196</v>
      </c>
      <c r="G388" s="3" t="s">
        <v>44</v>
      </c>
      <c r="H388" s="6">
        <v>-1792303.02</v>
      </c>
      <c r="I388" s="3" t="s">
        <v>17</v>
      </c>
      <c r="J388" s="3" t="s">
        <v>14</v>
      </c>
      <c r="K388" s="3" t="s">
        <v>14</v>
      </c>
      <c r="L388" s="3" t="s">
        <v>47</v>
      </c>
      <c r="M388" s="4">
        <v>46196</v>
      </c>
      <c r="N388" s="3" t="s">
        <v>50</v>
      </c>
      <c r="O388" s="3" t="s">
        <v>34</v>
      </c>
      <c r="P388" t="str">
        <f t="shared" si="6"/>
        <v>450012764510</v>
      </c>
      <c r="Q388" s="9" cm="1">
        <f t="array" ref="Q388:S388">VLOOKUP(P388,Hoja1!C:F,{2,3,4},FALSE)</f>
        <v>46203</v>
      </c>
      <c r="R388" t="str">
        <v>C39</v>
      </c>
      <c r="S388" t="str">
        <v>1000001841 AONA SA</v>
      </c>
    </row>
    <row r="389" spans="1:19" x14ac:dyDescent="0.3">
      <c r="A389" s="2" t="s">
        <v>14</v>
      </c>
      <c r="B389" s="3" t="s">
        <v>14</v>
      </c>
      <c r="C389" s="3" t="s">
        <v>315</v>
      </c>
      <c r="D389" s="3" t="s">
        <v>14</v>
      </c>
      <c r="E389" s="3" t="s">
        <v>107</v>
      </c>
      <c r="F389" s="4">
        <v>46196</v>
      </c>
      <c r="G389" s="3" t="s">
        <v>44</v>
      </c>
      <c r="H389" s="6">
        <v>-1980220.79</v>
      </c>
      <c r="I389" s="3" t="s">
        <v>17</v>
      </c>
      <c r="J389" s="3" t="s">
        <v>14</v>
      </c>
      <c r="K389" s="3" t="s">
        <v>14</v>
      </c>
      <c r="L389" s="3" t="s">
        <v>47</v>
      </c>
      <c r="M389" s="4">
        <v>46196</v>
      </c>
      <c r="N389" s="3" t="s">
        <v>61</v>
      </c>
      <c r="O389" s="3" t="s">
        <v>34</v>
      </c>
      <c r="P389" t="str">
        <f t="shared" si="6"/>
        <v>450012764610</v>
      </c>
      <c r="Q389" s="9" cm="1">
        <f t="array" ref="Q389:S389">VLOOKUP(P389,Hoja1!C:F,{2,3,4},FALSE)</f>
        <v>46203</v>
      </c>
      <c r="R389" t="str">
        <v>C39</v>
      </c>
      <c r="S389" t="str">
        <v>1000001841 AONA SA</v>
      </c>
    </row>
    <row r="390" spans="1:19" x14ac:dyDescent="0.3">
      <c r="A390" s="2" t="s">
        <v>14</v>
      </c>
      <c r="B390" s="3" t="s">
        <v>14</v>
      </c>
      <c r="C390" s="3" t="s">
        <v>316</v>
      </c>
      <c r="D390" s="3" t="s">
        <v>14</v>
      </c>
      <c r="E390" s="3" t="s">
        <v>107</v>
      </c>
      <c r="F390" s="4">
        <v>46196</v>
      </c>
      <c r="G390" s="3" t="s">
        <v>44</v>
      </c>
      <c r="H390" s="6">
        <v>-12350</v>
      </c>
      <c r="I390" s="3" t="s">
        <v>17</v>
      </c>
      <c r="J390" s="3" t="s">
        <v>14</v>
      </c>
      <c r="K390" s="3" t="s">
        <v>14</v>
      </c>
      <c r="L390" s="3" t="s">
        <v>29</v>
      </c>
      <c r="M390" s="4">
        <v>46196</v>
      </c>
      <c r="N390" s="3" t="s">
        <v>317</v>
      </c>
      <c r="O390" s="3" t="s">
        <v>21</v>
      </c>
      <c r="P390" t="str">
        <f t="shared" si="6"/>
        <v>450011173220</v>
      </c>
      <c r="Q390" s="9" cm="1">
        <f t="array" ref="Q390:S390">VLOOKUP(P390,Hoja1!C:F,{2,3,4},FALSE)</f>
        <v>45971</v>
      </c>
      <c r="R390" t="str">
        <v>EFO</v>
      </c>
      <c r="S390" t="str">
        <v>1000007436 RODRIGUEZ MARTINEZ EMILIO JOAQUIN</v>
      </c>
    </row>
    <row r="391" spans="1:19" x14ac:dyDescent="0.3">
      <c r="A391" s="2" t="s">
        <v>14</v>
      </c>
      <c r="B391" s="3" t="s">
        <v>14</v>
      </c>
      <c r="C391" s="3" t="s">
        <v>316</v>
      </c>
      <c r="D391" s="3" t="s">
        <v>14</v>
      </c>
      <c r="E391" s="3" t="s">
        <v>107</v>
      </c>
      <c r="F391" s="4">
        <v>46196</v>
      </c>
      <c r="G391" s="3" t="s">
        <v>44</v>
      </c>
      <c r="H391" s="6">
        <v>-18500</v>
      </c>
      <c r="I391" s="3" t="s">
        <v>17</v>
      </c>
      <c r="J391" s="3" t="s">
        <v>14</v>
      </c>
      <c r="K391" s="3" t="s">
        <v>14</v>
      </c>
      <c r="L391" s="3" t="s">
        <v>29</v>
      </c>
      <c r="M391" s="4">
        <v>46196</v>
      </c>
      <c r="N391" s="3" t="s">
        <v>317</v>
      </c>
      <c r="O391" s="3" t="s">
        <v>22</v>
      </c>
      <c r="P391" t="str">
        <f t="shared" si="6"/>
        <v>450011173230</v>
      </c>
      <c r="Q391" s="9" cm="1">
        <f t="array" ref="Q391:S391">VLOOKUP(P391,Hoja1!C:F,{2,3,4},FALSE)</f>
        <v>45971</v>
      </c>
      <c r="R391" t="str">
        <v>EFO</v>
      </c>
      <c r="S391" t="str">
        <v>1000007436 RODRIGUEZ MARTINEZ EMILIO JOAQUIN</v>
      </c>
    </row>
    <row r="392" spans="1:19" x14ac:dyDescent="0.3">
      <c r="A392" s="2" t="s">
        <v>14</v>
      </c>
      <c r="B392" s="3" t="s">
        <v>14</v>
      </c>
      <c r="C392" s="3" t="s">
        <v>318</v>
      </c>
      <c r="D392" s="3" t="s">
        <v>14</v>
      </c>
      <c r="E392" s="3" t="s">
        <v>107</v>
      </c>
      <c r="F392" s="4">
        <v>46196</v>
      </c>
      <c r="G392" s="3" t="s">
        <v>44</v>
      </c>
      <c r="H392" s="6">
        <v>-1787.4</v>
      </c>
      <c r="I392" s="3" t="s">
        <v>17</v>
      </c>
      <c r="J392" s="3" t="s">
        <v>14</v>
      </c>
      <c r="K392" s="3" t="s">
        <v>14</v>
      </c>
      <c r="L392" s="3" t="s">
        <v>130</v>
      </c>
      <c r="M392" s="4">
        <v>46196</v>
      </c>
      <c r="N392" s="3" t="s">
        <v>319</v>
      </c>
      <c r="O392" s="3" t="s">
        <v>23</v>
      </c>
      <c r="P392" t="str">
        <f t="shared" si="6"/>
        <v>450011181950</v>
      </c>
      <c r="Q392" s="9" cm="1">
        <f t="array" ref="Q392:S392">VLOOKUP(P392,Hoja1!C:F,{2,3,4},FALSE)</f>
        <v>45974</v>
      </c>
      <c r="R392" t="str">
        <v>EFO</v>
      </c>
      <c r="S392" t="str">
        <v>1000010401 BASUALDO NECCHI MARCOS GABRIEL</v>
      </c>
    </row>
    <row r="393" spans="1:19" x14ac:dyDescent="0.3">
      <c r="A393" s="2" t="s">
        <v>14</v>
      </c>
      <c r="B393" s="3" t="s">
        <v>14</v>
      </c>
      <c r="C393" s="3" t="s">
        <v>318</v>
      </c>
      <c r="D393" s="3" t="s">
        <v>14</v>
      </c>
      <c r="E393" s="3" t="s">
        <v>107</v>
      </c>
      <c r="F393" s="4">
        <v>46196</v>
      </c>
      <c r="G393" s="3" t="s">
        <v>44</v>
      </c>
      <c r="H393" s="6">
        <v>-3195</v>
      </c>
      <c r="I393" s="3" t="s">
        <v>17</v>
      </c>
      <c r="J393" s="3" t="s">
        <v>14</v>
      </c>
      <c r="K393" s="3" t="s">
        <v>14</v>
      </c>
      <c r="L393" s="3" t="s">
        <v>130</v>
      </c>
      <c r="M393" s="4">
        <v>46196</v>
      </c>
      <c r="N393" s="3" t="s">
        <v>319</v>
      </c>
      <c r="O393" s="3" t="s">
        <v>24</v>
      </c>
      <c r="P393" t="str">
        <f t="shared" si="6"/>
        <v>450011181960</v>
      </c>
      <c r="Q393" s="9" cm="1">
        <f t="array" ref="Q393:S393">VLOOKUP(P393,Hoja1!C:F,{2,3,4},FALSE)</f>
        <v>45974</v>
      </c>
      <c r="R393" t="str">
        <v>EFO</v>
      </c>
      <c r="S393" t="str">
        <v>1000010401 BASUALDO NECCHI MARCOS GABRIEL</v>
      </c>
    </row>
    <row r="394" spans="1:19" x14ac:dyDescent="0.3">
      <c r="A394" s="2" t="s">
        <v>14</v>
      </c>
      <c r="B394" s="3" t="s">
        <v>14</v>
      </c>
      <c r="C394" s="3" t="s">
        <v>320</v>
      </c>
      <c r="D394" s="3" t="s">
        <v>14</v>
      </c>
      <c r="E394" s="3" t="s">
        <v>107</v>
      </c>
      <c r="F394" s="4">
        <v>46198</v>
      </c>
      <c r="G394" s="3" t="s">
        <v>44</v>
      </c>
      <c r="H394" s="6">
        <v>-10042200</v>
      </c>
      <c r="I394" s="3" t="s">
        <v>17</v>
      </c>
      <c r="J394" s="3" t="s">
        <v>14</v>
      </c>
      <c r="K394" s="3" t="s">
        <v>14</v>
      </c>
      <c r="L394" s="3" t="s">
        <v>121</v>
      </c>
      <c r="M394" s="4">
        <v>46198</v>
      </c>
      <c r="N394" s="3" t="s">
        <v>312</v>
      </c>
      <c r="O394" s="3" t="s">
        <v>34</v>
      </c>
      <c r="P394" t="str">
        <f t="shared" si="6"/>
        <v>450012941210</v>
      </c>
      <c r="Q394" s="9" cm="1">
        <f t="array" ref="Q394:S394">VLOOKUP(P394,Hoja1!C:F,{2,3,4},FALSE)</f>
        <v>46325</v>
      </c>
      <c r="R394" t="str">
        <v>C21</v>
      </c>
      <c r="S394" t="str">
        <v>1000000634 RAIZEN ARGENTINA S.A.U.</v>
      </c>
    </row>
    <row r="395" spans="1:19" x14ac:dyDescent="0.3">
      <c r="A395" s="2" t="s">
        <v>14</v>
      </c>
      <c r="B395" s="3" t="s">
        <v>14</v>
      </c>
      <c r="C395" s="3" t="s">
        <v>320</v>
      </c>
      <c r="D395" s="3" t="s">
        <v>14</v>
      </c>
      <c r="E395" s="3" t="s">
        <v>107</v>
      </c>
      <c r="F395" s="4">
        <v>46198</v>
      </c>
      <c r="G395" s="3" t="s">
        <v>44</v>
      </c>
      <c r="H395" s="6">
        <v>-1144500</v>
      </c>
      <c r="I395" s="3" t="s">
        <v>17</v>
      </c>
      <c r="J395" s="3" t="s">
        <v>14</v>
      </c>
      <c r="K395" s="3" t="s">
        <v>14</v>
      </c>
      <c r="L395" s="3" t="s">
        <v>121</v>
      </c>
      <c r="M395" s="4">
        <v>46198</v>
      </c>
      <c r="N395" s="3" t="s">
        <v>312</v>
      </c>
      <c r="O395" s="3" t="s">
        <v>34</v>
      </c>
      <c r="P395" t="str">
        <f t="shared" si="6"/>
        <v>450012941210</v>
      </c>
      <c r="Q395" s="9" cm="1">
        <f t="array" ref="Q395:S395">VLOOKUP(P395,Hoja1!C:F,{2,3,4},FALSE)</f>
        <v>46325</v>
      </c>
      <c r="R395" t="str">
        <v>C21</v>
      </c>
      <c r="S395" t="str">
        <v>1000000634 RAIZEN ARGENTINA S.A.U.</v>
      </c>
    </row>
    <row r="396" spans="1:19" x14ac:dyDescent="0.3">
      <c r="A396" s="2" t="s">
        <v>14</v>
      </c>
      <c r="B396" s="3" t="s">
        <v>14</v>
      </c>
      <c r="C396" s="3" t="s">
        <v>321</v>
      </c>
      <c r="D396" s="3" t="s">
        <v>14</v>
      </c>
      <c r="E396" s="3" t="s">
        <v>107</v>
      </c>
      <c r="F396" s="4">
        <v>46198</v>
      </c>
      <c r="G396" s="3" t="s">
        <v>44</v>
      </c>
      <c r="H396" s="6">
        <v>-558500</v>
      </c>
      <c r="I396" s="3" t="s">
        <v>17</v>
      </c>
      <c r="J396" s="3" t="s">
        <v>14</v>
      </c>
      <c r="K396" s="3" t="s">
        <v>14</v>
      </c>
      <c r="L396" s="3" t="s">
        <v>108</v>
      </c>
      <c r="M396" s="4">
        <v>46198</v>
      </c>
      <c r="N396" s="3" t="s">
        <v>180</v>
      </c>
      <c r="O396" s="3" t="s">
        <v>34</v>
      </c>
      <c r="P396" t="str">
        <f t="shared" si="6"/>
        <v>450011911710</v>
      </c>
      <c r="Q396" s="9" cm="1">
        <f t="array" ref="Q396:S396">VLOOKUP(P396,Hoja1!C:F,{2,3,4},FALSE)</f>
        <v>46245</v>
      </c>
      <c r="R396" t="str">
        <v>C21</v>
      </c>
      <c r="S396" t="str">
        <v>1000001020 COMBUSTIBLES BARCELO S.R.L.</v>
      </c>
    </row>
    <row r="397" spans="1:19" x14ac:dyDescent="0.3">
      <c r="A397" s="2" t="s">
        <v>14</v>
      </c>
      <c r="B397" s="3" t="s">
        <v>14</v>
      </c>
      <c r="C397" s="3" t="s">
        <v>321</v>
      </c>
      <c r="D397" s="3" t="s">
        <v>14</v>
      </c>
      <c r="E397" s="3" t="s">
        <v>107</v>
      </c>
      <c r="F397" s="4">
        <v>46198</v>
      </c>
      <c r="G397" s="3" t="s">
        <v>44</v>
      </c>
      <c r="H397" s="6">
        <v>-63650</v>
      </c>
      <c r="I397" s="3" t="s">
        <v>17</v>
      </c>
      <c r="J397" s="3" t="s">
        <v>14</v>
      </c>
      <c r="K397" s="3" t="s">
        <v>14</v>
      </c>
      <c r="L397" s="3" t="s">
        <v>108</v>
      </c>
      <c r="M397" s="4">
        <v>46198</v>
      </c>
      <c r="N397" s="3" t="s">
        <v>180</v>
      </c>
      <c r="O397" s="3" t="s">
        <v>34</v>
      </c>
      <c r="P397" t="str">
        <f t="shared" si="6"/>
        <v>450011911710</v>
      </c>
      <c r="Q397" s="9" cm="1">
        <f t="array" ref="Q397:S397">VLOOKUP(P397,Hoja1!C:F,{2,3,4},FALSE)</f>
        <v>46245</v>
      </c>
      <c r="R397" t="str">
        <v>C21</v>
      </c>
      <c r="S397" t="str">
        <v>1000001020 COMBUSTIBLES BARCELO S.R.L.</v>
      </c>
    </row>
    <row r="398" spans="1:19" x14ac:dyDescent="0.3">
      <c r="A398" s="2" t="s">
        <v>14</v>
      </c>
      <c r="B398" s="3" t="s">
        <v>14</v>
      </c>
      <c r="C398" s="3" t="s">
        <v>322</v>
      </c>
      <c r="D398" s="3" t="s">
        <v>14</v>
      </c>
      <c r="E398" s="3" t="s">
        <v>107</v>
      </c>
      <c r="F398" s="4">
        <v>46195</v>
      </c>
      <c r="G398" s="3" t="s">
        <v>44</v>
      </c>
      <c r="H398" s="6">
        <v>-9648</v>
      </c>
      <c r="I398" s="3" t="s">
        <v>17</v>
      </c>
      <c r="J398" s="3" t="s">
        <v>14</v>
      </c>
      <c r="K398" s="3" t="s">
        <v>14</v>
      </c>
      <c r="L398" s="3" t="s">
        <v>305</v>
      </c>
      <c r="M398" s="4">
        <v>46198</v>
      </c>
      <c r="N398" s="3" t="s">
        <v>323</v>
      </c>
      <c r="O398" s="3" t="s">
        <v>34</v>
      </c>
      <c r="P398" t="str">
        <f t="shared" si="6"/>
        <v>450013077310</v>
      </c>
      <c r="Q398" s="9" cm="1">
        <f t="array" ref="Q398:S398">VLOOKUP(P398,Hoja1!C:F,{2,3,4},FALSE)</f>
        <v>46205</v>
      </c>
      <c r="R398" t="str">
        <v>C03</v>
      </c>
      <c r="S398" t="str">
        <v>1000000929 ANTINORO FRANCISCO ERNESTO</v>
      </c>
    </row>
    <row r="399" spans="1:19" x14ac:dyDescent="0.3">
      <c r="A399" s="2" t="s">
        <v>14</v>
      </c>
      <c r="B399" s="3" t="s">
        <v>14</v>
      </c>
      <c r="C399" s="3" t="s">
        <v>324</v>
      </c>
      <c r="D399" s="3" t="s">
        <v>14</v>
      </c>
      <c r="E399" s="3" t="s">
        <v>107</v>
      </c>
      <c r="F399" s="4">
        <v>46199</v>
      </c>
      <c r="G399" s="3" t="s">
        <v>44</v>
      </c>
      <c r="H399" s="6">
        <v>-254150</v>
      </c>
      <c r="I399" s="3" t="s">
        <v>17</v>
      </c>
      <c r="J399" s="3" t="s">
        <v>14</v>
      </c>
      <c r="K399" s="3" t="s">
        <v>14</v>
      </c>
      <c r="L399" s="3" t="s">
        <v>325</v>
      </c>
      <c r="M399" s="4">
        <v>46199</v>
      </c>
      <c r="N399" s="3" t="s">
        <v>326</v>
      </c>
      <c r="O399" s="3" t="s">
        <v>34</v>
      </c>
      <c r="P399" t="str">
        <f t="shared" si="6"/>
        <v>450013130110</v>
      </c>
      <c r="Q399" s="9" cm="1">
        <f t="array" ref="Q399:S399">VLOOKUP(P399,Hoja1!C:F,{2,3,4},FALSE)</f>
        <v>46199</v>
      </c>
      <c r="R399" t="str">
        <v>C39</v>
      </c>
      <c r="S399" t="str">
        <v>1000003665 TRIGUY Y LOMBARDI SRL</v>
      </c>
    </row>
    <row r="400" spans="1:19" x14ac:dyDescent="0.3">
      <c r="A400" s="2" t="s">
        <v>14</v>
      </c>
      <c r="B400" s="3" t="s">
        <v>14</v>
      </c>
      <c r="C400" s="3" t="s">
        <v>327</v>
      </c>
      <c r="D400" s="3" t="s">
        <v>14</v>
      </c>
      <c r="E400" s="3" t="s">
        <v>107</v>
      </c>
      <c r="F400" s="4">
        <v>46199</v>
      </c>
      <c r="G400" s="3" t="s">
        <v>44</v>
      </c>
      <c r="H400" s="6">
        <v>-223.4</v>
      </c>
      <c r="I400" s="3" t="s">
        <v>17</v>
      </c>
      <c r="J400" s="3" t="s">
        <v>14</v>
      </c>
      <c r="K400" s="3" t="s">
        <v>14</v>
      </c>
      <c r="L400" s="3" t="s">
        <v>108</v>
      </c>
      <c r="M400" s="4">
        <v>46199</v>
      </c>
      <c r="N400" s="3" t="s">
        <v>328</v>
      </c>
      <c r="O400" s="3" t="s">
        <v>21</v>
      </c>
      <c r="P400" t="str">
        <f t="shared" si="6"/>
        <v>450013135620</v>
      </c>
      <c r="Q400" s="9" cm="1">
        <f t="array" ref="Q400:S400">VLOOKUP(P400,Hoja1!C:F,{2,3,4},FALSE)</f>
        <v>46245</v>
      </c>
      <c r="R400" t="str">
        <v>C21</v>
      </c>
      <c r="S400" t="str">
        <v>1000001020 COMBUSTIBLES BARCELO S.R.L.</v>
      </c>
    </row>
    <row r="401" spans="1:19" x14ac:dyDescent="0.3">
      <c r="A401" s="2" t="s">
        <v>14</v>
      </c>
      <c r="B401" s="3" t="s">
        <v>14</v>
      </c>
      <c r="C401" s="3" t="s">
        <v>327</v>
      </c>
      <c r="D401" s="3" t="s">
        <v>14</v>
      </c>
      <c r="E401" s="3" t="s">
        <v>107</v>
      </c>
      <c r="F401" s="4">
        <v>46199</v>
      </c>
      <c r="G401" s="3" t="s">
        <v>44</v>
      </c>
      <c r="H401" s="6">
        <v>-25.46</v>
      </c>
      <c r="I401" s="3" t="s">
        <v>17</v>
      </c>
      <c r="J401" s="3" t="s">
        <v>14</v>
      </c>
      <c r="K401" s="3" t="s">
        <v>14</v>
      </c>
      <c r="L401" s="3" t="s">
        <v>108</v>
      </c>
      <c r="M401" s="4">
        <v>46199</v>
      </c>
      <c r="N401" s="3" t="s">
        <v>328</v>
      </c>
      <c r="O401" s="3" t="s">
        <v>21</v>
      </c>
      <c r="P401" t="str">
        <f t="shared" si="6"/>
        <v>450013135620</v>
      </c>
      <c r="Q401" s="9" cm="1">
        <f t="array" ref="Q401:S401">VLOOKUP(P401,Hoja1!C:F,{2,3,4},FALSE)</f>
        <v>46245</v>
      </c>
      <c r="R401" t="str">
        <v>C21</v>
      </c>
      <c r="S401" t="str">
        <v>1000001020 COMBUSTIBLES BARCELO S.R.L.</v>
      </c>
    </row>
    <row r="402" spans="1:19" x14ac:dyDescent="0.3">
      <c r="A402" s="2" t="s">
        <v>14</v>
      </c>
      <c r="B402" s="3" t="s">
        <v>14</v>
      </c>
      <c r="C402" s="3" t="s">
        <v>329</v>
      </c>
      <c r="D402" s="3" t="s">
        <v>14</v>
      </c>
      <c r="E402" s="3" t="s">
        <v>107</v>
      </c>
      <c r="F402" s="4">
        <v>46143</v>
      </c>
      <c r="G402" s="3" t="s">
        <v>44</v>
      </c>
      <c r="H402" s="6">
        <v>-950000</v>
      </c>
      <c r="I402" s="3" t="s">
        <v>17</v>
      </c>
      <c r="J402" s="3" t="s">
        <v>14</v>
      </c>
      <c r="K402" s="3" t="s">
        <v>14</v>
      </c>
      <c r="L402" s="3" t="s">
        <v>330</v>
      </c>
      <c r="M402" s="4">
        <v>46143</v>
      </c>
      <c r="N402" s="3" t="s">
        <v>331</v>
      </c>
      <c r="O402" s="3" t="s">
        <v>34</v>
      </c>
      <c r="P402" t="str">
        <f t="shared" si="6"/>
        <v>450010123710</v>
      </c>
      <c r="Q402" s="9" cm="1">
        <f t="array" ref="Q402:S402">VLOOKUP(P402,Hoja1!C:F,{2,3,4},FALSE)</f>
        <v>45824</v>
      </c>
      <c r="R402" t="str">
        <v>C04</v>
      </c>
      <c r="S402" t="str">
        <v>1000001248 RUSSO E HIJAS SERV.LOG Y T SRL</v>
      </c>
    </row>
    <row r="403" spans="1:19" x14ac:dyDescent="0.3">
      <c r="A403" s="2" t="s">
        <v>14</v>
      </c>
      <c r="B403" s="3" t="s">
        <v>14</v>
      </c>
      <c r="C403" s="3" t="s">
        <v>332</v>
      </c>
      <c r="D403" s="3" t="s">
        <v>14</v>
      </c>
      <c r="E403" s="3" t="s">
        <v>107</v>
      </c>
      <c r="F403" s="4">
        <v>46202</v>
      </c>
      <c r="G403" s="3" t="s">
        <v>44</v>
      </c>
      <c r="H403" s="6">
        <v>-5405968.0800000001</v>
      </c>
      <c r="I403" s="3" t="s">
        <v>17</v>
      </c>
      <c r="J403" s="3" t="s">
        <v>14</v>
      </c>
      <c r="K403" s="3" t="s">
        <v>14</v>
      </c>
      <c r="L403" s="3" t="s">
        <v>146</v>
      </c>
      <c r="M403" s="4">
        <v>46202</v>
      </c>
      <c r="N403" s="3" t="s">
        <v>273</v>
      </c>
      <c r="O403" s="3" t="s">
        <v>34</v>
      </c>
      <c r="P403" t="str">
        <f t="shared" si="6"/>
        <v>450012417110</v>
      </c>
      <c r="Q403" s="9" cm="1">
        <f t="array" ref="Q403:S403">VLOOKUP(P403,Hoja1!C:F,{2,3,4},FALSE)</f>
        <v>46203</v>
      </c>
      <c r="R403" t="str">
        <v>C48</v>
      </c>
      <c r="S403" t="str">
        <v>1000011072 NEUMATICOS GOODYEAR S R L</v>
      </c>
    </row>
    <row r="404" spans="1:19" x14ac:dyDescent="0.3">
      <c r="A404" s="2" t="s">
        <v>14</v>
      </c>
      <c r="B404" s="3" t="s">
        <v>14</v>
      </c>
      <c r="C404" s="3" t="s">
        <v>333</v>
      </c>
      <c r="D404" s="3" t="s">
        <v>14</v>
      </c>
      <c r="E404" s="3" t="s">
        <v>107</v>
      </c>
      <c r="F404" s="4">
        <v>46203</v>
      </c>
      <c r="G404" s="3" t="s">
        <v>44</v>
      </c>
      <c r="H404" s="6">
        <v>-10042200</v>
      </c>
      <c r="I404" s="3" t="s">
        <v>17</v>
      </c>
      <c r="J404" s="3" t="s">
        <v>14</v>
      </c>
      <c r="K404" s="3" t="s">
        <v>14</v>
      </c>
      <c r="L404" s="3" t="s">
        <v>121</v>
      </c>
      <c r="M404" s="4">
        <v>46203</v>
      </c>
      <c r="N404" s="3" t="s">
        <v>312</v>
      </c>
      <c r="O404" s="3" t="s">
        <v>34</v>
      </c>
      <c r="P404" t="str">
        <f t="shared" si="6"/>
        <v>450012941210</v>
      </c>
      <c r="Q404" s="9" cm="1">
        <f t="array" ref="Q404:S404">VLOOKUP(P404,Hoja1!C:F,{2,3,4},FALSE)</f>
        <v>46325</v>
      </c>
      <c r="R404" t="str">
        <v>C21</v>
      </c>
      <c r="S404" t="str">
        <v>1000000634 RAIZEN ARGENTINA S.A.U.</v>
      </c>
    </row>
    <row r="405" spans="1:19" x14ac:dyDescent="0.3">
      <c r="A405" s="2" t="s">
        <v>14</v>
      </c>
      <c r="B405" s="3" t="s">
        <v>14</v>
      </c>
      <c r="C405" s="3" t="s">
        <v>333</v>
      </c>
      <c r="D405" s="3" t="s">
        <v>14</v>
      </c>
      <c r="E405" s="3" t="s">
        <v>107</v>
      </c>
      <c r="F405" s="4">
        <v>46203</v>
      </c>
      <c r="G405" s="3" t="s">
        <v>44</v>
      </c>
      <c r="H405" s="6">
        <v>-1144500</v>
      </c>
      <c r="I405" s="3" t="s">
        <v>17</v>
      </c>
      <c r="J405" s="3" t="s">
        <v>14</v>
      </c>
      <c r="K405" s="3" t="s">
        <v>14</v>
      </c>
      <c r="L405" s="3" t="s">
        <v>121</v>
      </c>
      <c r="M405" s="4">
        <v>46203</v>
      </c>
      <c r="N405" s="3" t="s">
        <v>312</v>
      </c>
      <c r="O405" s="3" t="s">
        <v>34</v>
      </c>
      <c r="P405" t="str">
        <f t="shared" si="6"/>
        <v>450012941210</v>
      </c>
      <c r="Q405" s="9" cm="1">
        <f t="array" ref="Q405:S405">VLOOKUP(P405,Hoja1!C:F,{2,3,4},FALSE)</f>
        <v>46325</v>
      </c>
      <c r="R405" t="str">
        <v>C21</v>
      </c>
      <c r="S405" t="str">
        <v>1000000634 RAIZEN ARGENTINA S.A.U.</v>
      </c>
    </row>
    <row r="406" spans="1:19" x14ac:dyDescent="0.3">
      <c r="A406" s="2" t="s">
        <v>14</v>
      </c>
      <c r="B406" s="3" t="s">
        <v>14</v>
      </c>
      <c r="C406" s="3" t="s">
        <v>334</v>
      </c>
      <c r="D406" s="3" t="s">
        <v>14</v>
      </c>
      <c r="E406" s="3" t="s">
        <v>107</v>
      </c>
      <c r="F406" s="4">
        <v>46203</v>
      </c>
      <c r="G406" s="3" t="s">
        <v>44</v>
      </c>
      <c r="H406" s="6">
        <v>-158677.68</v>
      </c>
      <c r="I406" s="3" t="s">
        <v>17</v>
      </c>
      <c r="J406" s="3" t="s">
        <v>14</v>
      </c>
      <c r="K406" s="3" t="s">
        <v>14</v>
      </c>
      <c r="L406" s="3" t="s">
        <v>335</v>
      </c>
      <c r="M406" s="4">
        <v>46203</v>
      </c>
      <c r="N406" s="3" t="s">
        <v>336</v>
      </c>
      <c r="O406" s="3" t="s">
        <v>21</v>
      </c>
      <c r="P406" t="str">
        <f t="shared" si="6"/>
        <v>450013159920</v>
      </c>
      <c r="Q406" s="9" cm="1">
        <f t="array" ref="Q406:S406">VLOOKUP(P406,Hoja1!C:F,{2,3,4},FALSE)</f>
        <v>46223</v>
      </c>
      <c r="R406" t="str">
        <v>C43</v>
      </c>
      <c r="S406" t="str">
        <v>1000003384 NEUMAGOM SAS</v>
      </c>
    </row>
    <row r="407" spans="1:19" x14ac:dyDescent="0.3">
      <c r="A407" s="2" t="s">
        <v>14</v>
      </c>
      <c r="B407" s="3" t="s">
        <v>14</v>
      </c>
      <c r="C407" s="3" t="s">
        <v>337</v>
      </c>
      <c r="D407" s="3" t="s">
        <v>14</v>
      </c>
      <c r="E407" s="3" t="s">
        <v>107</v>
      </c>
      <c r="F407" s="4">
        <v>46202</v>
      </c>
      <c r="G407" s="3" t="s">
        <v>44</v>
      </c>
      <c r="H407" s="6">
        <v>-120889.05</v>
      </c>
      <c r="I407" s="3" t="s">
        <v>17</v>
      </c>
      <c r="J407" s="3" t="s">
        <v>14</v>
      </c>
      <c r="K407" s="3" t="s">
        <v>14</v>
      </c>
      <c r="L407" s="3" t="s">
        <v>163</v>
      </c>
      <c r="M407" s="4">
        <v>46204</v>
      </c>
      <c r="N407" s="3" t="s">
        <v>338</v>
      </c>
      <c r="O407" s="3" t="s">
        <v>34</v>
      </c>
      <c r="P407" t="str">
        <f t="shared" si="6"/>
        <v>450012873510</v>
      </c>
      <c r="Q407" s="9" cm="1">
        <f t="array" ref="Q407:S407">VLOOKUP(P407,Hoja1!C:F,{2,3,4},FALSE)</f>
        <v>46189</v>
      </c>
      <c r="R407" t="str">
        <v>C29</v>
      </c>
      <c r="S407" t="str">
        <v>1000000062 FINNING ARGENTINA S.A.</v>
      </c>
    </row>
    <row r="408" spans="1:19" x14ac:dyDescent="0.3">
      <c r="A408" s="2" t="s">
        <v>14</v>
      </c>
      <c r="B408" s="3" t="s">
        <v>14</v>
      </c>
      <c r="C408" s="3" t="s">
        <v>339</v>
      </c>
      <c r="D408" s="3" t="s">
        <v>14</v>
      </c>
      <c r="E408" s="3" t="s">
        <v>107</v>
      </c>
      <c r="F408" s="4">
        <v>46204</v>
      </c>
      <c r="G408" s="3" t="s">
        <v>44</v>
      </c>
      <c r="H408" s="6">
        <v>-10281300</v>
      </c>
      <c r="I408" s="3" t="s">
        <v>17</v>
      </c>
      <c r="J408" s="3" t="s">
        <v>14</v>
      </c>
      <c r="K408" s="3" t="s">
        <v>14</v>
      </c>
      <c r="L408" s="3" t="s">
        <v>121</v>
      </c>
      <c r="M408" s="4">
        <v>46204</v>
      </c>
      <c r="N408" s="3" t="s">
        <v>312</v>
      </c>
      <c r="O408" s="3" t="s">
        <v>34</v>
      </c>
      <c r="P408" t="str">
        <f t="shared" si="6"/>
        <v>450012941210</v>
      </c>
      <c r="Q408" s="9" cm="1">
        <f t="array" ref="Q408:S408">VLOOKUP(P408,Hoja1!C:F,{2,3,4},FALSE)</f>
        <v>46325</v>
      </c>
      <c r="R408" t="str">
        <v>C21</v>
      </c>
      <c r="S408" t="str">
        <v>1000000634 RAIZEN ARGENTINA S.A.U.</v>
      </c>
    </row>
    <row r="409" spans="1:19" x14ac:dyDescent="0.3">
      <c r="A409" s="2" t="s">
        <v>14</v>
      </c>
      <c r="B409" s="3" t="s">
        <v>14</v>
      </c>
      <c r="C409" s="3" t="s">
        <v>339</v>
      </c>
      <c r="D409" s="3" t="s">
        <v>14</v>
      </c>
      <c r="E409" s="3" t="s">
        <v>107</v>
      </c>
      <c r="F409" s="4">
        <v>46204</v>
      </c>
      <c r="G409" s="3" t="s">
        <v>44</v>
      </c>
      <c r="H409" s="6">
        <v>-1171750</v>
      </c>
      <c r="I409" s="3" t="s">
        <v>17</v>
      </c>
      <c r="J409" s="3" t="s">
        <v>14</v>
      </c>
      <c r="K409" s="3" t="s">
        <v>14</v>
      </c>
      <c r="L409" s="3" t="s">
        <v>121</v>
      </c>
      <c r="M409" s="4">
        <v>46204</v>
      </c>
      <c r="N409" s="3" t="s">
        <v>312</v>
      </c>
      <c r="O409" s="3" t="s">
        <v>34</v>
      </c>
      <c r="P409" t="str">
        <f t="shared" si="6"/>
        <v>450012941210</v>
      </c>
      <c r="Q409" s="9" cm="1">
        <f t="array" ref="Q409:S409">VLOOKUP(P409,Hoja1!C:F,{2,3,4},FALSE)</f>
        <v>46325</v>
      </c>
      <c r="R409" t="str">
        <v>C21</v>
      </c>
      <c r="S409" t="str">
        <v>1000000634 RAIZEN ARGENTINA S.A.U.</v>
      </c>
    </row>
    <row r="410" spans="1:19" x14ac:dyDescent="0.3">
      <c r="A410" s="2" t="s">
        <v>14</v>
      </c>
      <c r="B410" s="3" t="s">
        <v>14</v>
      </c>
      <c r="C410" s="3" t="s">
        <v>340</v>
      </c>
      <c r="D410" s="3" t="s">
        <v>14</v>
      </c>
      <c r="E410" s="3" t="s">
        <v>107</v>
      </c>
      <c r="F410" s="4">
        <v>46204</v>
      </c>
      <c r="G410" s="3" t="s">
        <v>44</v>
      </c>
      <c r="H410" s="6">
        <v>-524990</v>
      </c>
      <c r="I410" s="3" t="s">
        <v>17</v>
      </c>
      <c r="J410" s="3" t="s">
        <v>14</v>
      </c>
      <c r="K410" s="3" t="s">
        <v>14</v>
      </c>
      <c r="L410" s="3" t="s">
        <v>108</v>
      </c>
      <c r="M410" s="4">
        <v>46204</v>
      </c>
      <c r="N410" s="3" t="s">
        <v>180</v>
      </c>
      <c r="O410" s="3" t="s">
        <v>34</v>
      </c>
      <c r="P410" t="str">
        <f t="shared" si="6"/>
        <v>450011911710</v>
      </c>
      <c r="Q410" s="9" cm="1">
        <f t="array" ref="Q410:S410">VLOOKUP(P410,Hoja1!C:F,{2,3,4},FALSE)</f>
        <v>46245</v>
      </c>
      <c r="R410" t="str">
        <v>C21</v>
      </c>
      <c r="S410" t="str">
        <v>1000001020 COMBUSTIBLES BARCELO S.R.L.</v>
      </c>
    </row>
    <row r="411" spans="1:19" x14ac:dyDescent="0.3">
      <c r="A411" s="2" t="s">
        <v>14</v>
      </c>
      <c r="B411" s="3" t="s">
        <v>14</v>
      </c>
      <c r="C411" s="3" t="s">
        <v>340</v>
      </c>
      <c r="D411" s="3" t="s">
        <v>14</v>
      </c>
      <c r="E411" s="3" t="s">
        <v>107</v>
      </c>
      <c r="F411" s="4">
        <v>46204</v>
      </c>
      <c r="G411" s="3" t="s">
        <v>44</v>
      </c>
      <c r="H411" s="6">
        <v>-59831</v>
      </c>
      <c r="I411" s="3" t="s">
        <v>17</v>
      </c>
      <c r="J411" s="3" t="s">
        <v>14</v>
      </c>
      <c r="K411" s="3" t="s">
        <v>14</v>
      </c>
      <c r="L411" s="3" t="s">
        <v>108</v>
      </c>
      <c r="M411" s="4">
        <v>46204</v>
      </c>
      <c r="N411" s="3" t="s">
        <v>180</v>
      </c>
      <c r="O411" s="3" t="s">
        <v>34</v>
      </c>
      <c r="P411" t="str">
        <f t="shared" si="6"/>
        <v>450011911710</v>
      </c>
      <c r="Q411" s="9" cm="1">
        <f t="array" ref="Q411:S411">VLOOKUP(P411,Hoja1!C:F,{2,3,4},FALSE)</f>
        <v>46245</v>
      </c>
      <c r="R411" t="str">
        <v>C21</v>
      </c>
      <c r="S411" t="str">
        <v>1000001020 COMBUSTIBLES BARCELO S.R.L.</v>
      </c>
    </row>
    <row r="412" spans="1:19" x14ac:dyDescent="0.3">
      <c r="A412" s="2" t="s">
        <v>14</v>
      </c>
      <c r="B412" s="3" t="s">
        <v>14</v>
      </c>
      <c r="C412" s="3" t="s">
        <v>341</v>
      </c>
      <c r="D412" s="3" t="s">
        <v>14</v>
      </c>
      <c r="E412" s="3" t="s">
        <v>107</v>
      </c>
      <c r="F412" s="4">
        <v>46203</v>
      </c>
      <c r="G412" s="3" t="s">
        <v>44</v>
      </c>
      <c r="H412" s="6">
        <v>-262522.2</v>
      </c>
      <c r="I412" s="3" t="s">
        <v>17</v>
      </c>
      <c r="J412" s="3" t="s">
        <v>14</v>
      </c>
      <c r="K412" s="3" t="s">
        <v>14</v>
      </c>
      <c r="L412" s="3" t="s">
        <v>163</v>
      </c>
      <c r="M412" s="4">
        <v>46204</v>
      </c>
      <c r="N412" s="3" t="s">
        <v>342</v>
      </c>
      <c r="O412" s="3" t="s">
        <v>34</v>
      </c>
      <c r="P412" t="str">
        <f t="shared" si="6"/>
        <v>450013085510</v>
      </c>
      <c r="Q412" s="9" cm="1">
        <f t="array" ref="Q412:S412">VLOOKUP(P412,Hoja1!C:F,{2,3,4},FALSE)</f>
        <v>46205</v>
      </c>
      <c r="R412" t="str">
        <v>C03</v>
      </c>
      <c r="S412" t="str">
        <v>1000000062 FINNING ARGENTINA S.A.</v>
      </c>
    </row>
    <row r="413" spans="1:19" x14ac:dyDescent="0.3">
      <c r="A413" s="2" t="s">
        <v>14</v>
      </c>
      <c r="B413" s="3" t="s">
        <v>14</v>
      </c>
      <c r="C413" s="3" t="s">
        <v>341</v>
      </c>
      <c r="D413" s="3" t="s">
        <v>14</v>
      </c>
      <c r="E413" s="3" t="s">
        <v>107</v>
      </c>
      <c r="F413" s="4">
        <v>46203</v>
      </c>
      <c r="G413" s="3" t="s">
        <v>44</v>
      </c>
      <c r="H413" s="6">
        <v>-52717.2</v>
      </c>
      <c r="I413" s="3" t="s">
        <v>17</v>
      </c>
      <c r="J413" s="3" t="s">
        <v>14</v>
      </c>
      <c r="K413" s="3" t="s">
        <v>14</v>
      </c>
      <c r="L413" s="3" t="s">
        <v>163</v>
      </c>
      <c r="M413" s="4">
        <v>46204</v>
      </c>
      <c r="N413" s="3" t="s">
        <v>342</v>
      </c>
      <c r="O413" s="3" t="s">
        <v>21</v>
      </c>
      <c r="P413" t="str">
        <f t="shared" si="6"/>
        <v>450013085520</v>
      </c>
      <c r="Q413" s="9" cm="1">
        <f t="array" ref="Q413:S413">VLOOKUP(P413,Hoja1!C:F,{2,3,4},FALSE)</f>
        <v>46205</v>
      </c>
      <c r="R413" t="str">
        <v>C03</v>
      </c>
      <c r="S413" t="str">
        <v>1000000062 FINNING ARGENTINA S.A.</v>
      </c>
    </row>
    <row r="414" spans="1:19" x14ac:dyDescent="0.3">
      <c r="A414" s="2" t="s">
        <v>14</v>
      </c>
      <c r="B414" s="3" t="s">
        <v>14</v>
      </c>
      <c r="C414" s="3" t="s">
        <v>341</v>
      </c>
      <c r="D414" s="3" t="s">
        <v>14</v>
      </c>
      <c r="E414" s="3" t="s">
        <v>107</v>
      </c>
      <c r="F414" s="4">
        <v>46203</v>
      </c>
      <c r="G414" s="3" t="s">
        <v>44</v>
      </c>
      <c r="H414" s="6">
        <v>-233592.75</v>
      </c>
      <c r="I414" s="3" t="s">
        <v>17</v>
      </c>
      <c r="J414" s="3" t="s">
        <v>14</v>
      </c>
      <c r="K414" s="3" t="s">
        <v>14</v>
      </c>
      <c r="L414" s="3" t="s">
        <v>163</v>
      </c>
      <c r="M414" s="4">
        <v>46204</v>
      </c>
      <c r="N414" s="3" t="s">
        <v>342</v>
      </c>
      <c r="O414" s="3" t="s">
        <v>22</v>
      </c>
      <c r="P414" t="str">
        <f t="shared" si="6"/>
        <v>450013085530</v>
      </c>
      <c r="Q414" s="9" cm="1">
        <f t="array" ref="Q414:S414">VLOOKUP(P414,Hoja1!C:F,{2,3,4},FALSE)</f>
        <v>46217</v>
      </c>
      <c r="R414" t="str">
        <v>C03</v>
      </c>
      <c r="S414" t="str">
        <v>1000000062 FINNING ARGENTINA S.A.</v>
      </c>
    </row>
    <row r="415" spans="1:19" x14ac:dyDescent="0.3">
      <c r="A415" s="2" t="s">
        <v>14</v>
      </c>
      <c r="B415" s="3" t="s">
        <v>14</v>
      </c>
      <c r="C415" s="3" t="s">
        <v>341</v>
      </c>
      <c r="D415" s="3" t="s">
        <v>14</v>
      </c>
      <c r="E415" s="3" t="s">
        <v>107</v>
      </c>
      <c r="F415" s="4">
        <v>46203</v>
      </c>
      <c r="G415" s="3" t="s">
        <v>44</v>
      </c>
      <c r="H415" s="6">
        <v>-38119.5</v>
      </c>
      <c r="I415" s="3" t="s">
        <v>17</v>
      </c>
      <c r="J415" s="3" t="s">
        <v>14</v>
      </c>
      <c r="K415" s="3" t="s">
        <v>14</v>
      </c>
      <c r="L415" s="3" t="s">
        <v>163</v>
      </c>
      <c r="M415" s="4">
        <v>46204</v>
      </c>
      <c r="N415" s="3" t="s">
        <v>342</v>
      </c>
      <c r="O415" s="3" t="s">
        <v>26</v>
      </c>
      <c r="P415" t="str">
        <f t="shared" si="6"/>
        <v>450013085540</v>
      </c>
      <c r="Q415" s="9" cm="1">
        <f t="array" ref="Q415:S415">VLOOKUP(P415,Hoja1!C:F,{2,3,4},FALSE)</f>
        <v>46205</v>
      </c>
      <c r="R415" t="str">
        <v>C03</v>
      </c>
      <c r="S415" t="str">
        <v>1000000062 FINNING ARGENTINA S.A.</v>
      </c>
    </row>
    <row r="416" spans="1:19" x14ac:dyDescent="0.3">
      <c r="A416" s="2" t="s">
        <v>14</v>
      </c>
      <c r="B416" s="3" t="s">
        <v>14</v>
      </c>
      <c r="C416" s="3" t="s">
        <v>341</v>
      </c>
      <c r="D416" s="3" t="s">
        <v>14</v>
      </c>
      <c r="E416" s="3" t="s">
        <v>107</v>
      </c>
      <c r="F416" s="4">
        <v>46203</v>
      </c>
      <c r="G416" s="3" t="s">
        <v>44</v>
      </c>
      <c r="H416" s="6">
        <v>-499158.6</v>
      </c>
      <c r="I416" s="3" t="s">
        <v>17</v>
      </c>
      <c r="J416" s="3" t="s">
        <v>14</v>
      </c>
      <c r="K416" s="3" t="s">
        <v>14</v>
      </c>
      <c r="L416" s="3" t="s">
        <v>163</v>
      </c>
      <c r="M416" s="4">
        <v>46204</v>
      </c>
      <c r="N416" s="3" t="s">
        <v>342</v>
      </c>
      <c r="O416" s="3" t="s">
        <v>23</v>
      </c>
      <c r="P416" t="str">
        <f t="shared" si="6"/>
        <v>450013085550</v>
      </c>
      <c r="Q416" s="9" cm="1">
        <f t="array" ref="Q416:S416">VLOOKUP(P416,Hoja1!C:F,{2,3,4},FALSE)</f>
        <v>46205</v>
      </c>
      <c r="R416" t="str">
        <v>C03</v>
      </c>
      <c r="S416" t="str">
        <v>1000000062 FINNING ARGENTINA S.A.</v>
      </c>
    </row>
    <row r="417" spans="1:19" x14ac:dyDescent="0.3">
      <c r="A417" s="2" t="s">
        <v>14</v>
      </c>
      <c r="B417" s="3" t="s">
        <v>14</v>
      </c>
      <c r="C417" s="3" t="s">
        <v>341</v>
      </c>
      <c r="D417" s="3" t="s">
        <v>14</v>
      </c>
      <c r="E417" s="3" t="s">
        <v>107</v>
      </c>
      <c r="F417" s="4">
        <v>46203</v>
      </c>
      <c r="G417" s="3" t="s">
        <v>44</v>
      </c>
      <c r="H417" s="6">
        <v>-3305758.5</v>
      </c>
      <c r="I417" s="3" t="s">
        <v>17</v>
      </c>
      <c r="J417" s="3" t="s">
        <v>14</v>
      </c>
      <c r="K417" s="3" t="s">
        <v>14</v>
      </c>
      <c r="L417" s="3" t="s">
        <v>163</v>
      </c>
      <c r="M417" s="4">
        <v>46204</v>
      </c>
      <c r="N417" s="3" t="s">
        <v>342</v>
      </c>
      <c r="O417" s="3" t="s">
        <v>25</v>
      </c>
      <c r="P417" t="str">
        <f t="shared" si="6"/>
        <v>450013085570</v>
      </c>
      <c r="Q417" s="9" cm="1">
        <f t="array" ref="Q417:S417">VLOOKUP(P417,Hoja1!C:F,{2,3,4},FALSE)</f>
        <v>46205</v>
      </c>
      <c r="R417" t="str">
        <v>C03</v>
      </c>
      <c r="S417" t="str">
        <v>1000000062 FINNING ARGENTINA S.A.</v>
      </c>
    </row>
    <row r="418" spans="1:19" x14ac:dyDescent="0.3">
      <c r="A418" s="2" t="s">
        <v>14</v>
      </c>
      <c r="B418" s="3" t="s">
        <v>14</v>
      </c>
      <c r="C418" s="3" t="s">
        <v>341</v>
      </c>
      <c r="D418" s="3" t="s">
        <v>14</v>
      </c>
      <c r="E418" s="3" t="s">
        <v>107</v>
      </c>
      <c r="F418" s="4">
        <v>46203</v>
      </c>
      <c r="G418" s="3" t="s">
        <v>44</v>
      </c>
      <c r="H418" s="6">
        <v>-288555.75</v>
      </c>
      <c r="I418" s="3" t="s">
        <v>17</v>
      </c>
      <c r="J418" s="3" t="s">
        <v>14</v>
      </c>
      <c r="K418" s="3" t="s">
        <v>14</v>
      </c>
      <c r="L418" s="3" t="s">
        <v>163</v>
      </c>
      <c r="M418" s="4">
        <v>46204</v>
      </c>
      <c r="N418" s="3" t="s">
        <v>342</v>
      </c>
      <c r="O418" s="3" t="s">
        <v>343</v>
      </c>
      <c r="P418" t="str">
        <f t="shared" si="6"/>
        <v>450013085580</v>
      </c>
      <c r="Q418" s="9" cm="1">
        <f t="array" ref="Q418:S418">VLOOKUP(P418,Hoja1!C:F,{2,3,4},FALSE)</f>
        <v>46205</v>
      </c>
      <c r="R418" t="str">
        <v>C03</v>
      </c>
      <c r="S418" t="str">
        <v>1000000062 FINNING ARGENTINA S.A.</v>
      </c>
    </row>
    <row r="419" spans="1:19" x14ac:dyDescent="0.3">
      <c r="A419" s="2" t="s">
        <v>14</v>
      </c>
      <c r="B419" s="3" t="s">
        <v>14</v>
      </c>
      <c r="C419" s="3" t="s">
        <v>341</v>
      </c>
      <c r="D419" s="3" t="s">
        <v>14</v>
      </c>
      <c r="E419" s="3" t="s">
        <v>107</v>
      </c>
      <c r="F419" s="4">
        <v>46203</v>
      </c>
      <c r="G419" s="3" t="s">
        <v>44</v>
      </c>
      <c r="H419" s="6">
        <v>-196507.5</v>
      </c>
      <c r="I419" s="3" t="s">
        <v>17</v>
      </c>
      <c r="J419" s="3" t="s">
        <v>14</v>
      </c>
      <c r="K419" s="3" t="s">
        <v>14</v>
      </c>
      <c r="L419" s="3" t="s">
        <v>163</v>
      </c>
      <c r="M419" s="4">
        <v>46204</v>
      </c>
      <c r="N419" s="3" t="s">
        <v>342</v>
      </c>
      <c r="O419" s="3" t="s">
        <v>344</v>
      </c>
      <c r="P419" t="str">
        <f t="shared" si="6"/>
        <v>450013085590</v>
      </c>
      <c r="Q419" s="9" cm="1">
        <f t="array" ref="Q419:S419">VLOOKUP(P419,Hoja1!C:F,{2,3,4},FALSE)</f>
        <v>46205</v>
      </c>
      <c r="R419" t="str">
        <v>C03</v>
      </c>
      <c r="S419" t="str">
        <v>1000000062 FINNING ARGENTINA S.A.</v>
      </c>
    </row>
    <row r="420" spans="1:19" x14ac:dyDescent="0.3">
      <c r="A420" s="2" t="s">
        <v>14</v>
      </c>
      <c r="B420" s="3" t="s">
        <v>14</v>
      </c>
      <c r="C420" s="3" t="s">
        <v>341</v>
      </c>
      <c r="D420" s="3" t="s">
        <v>14</v>
      </c>
      <c r="E420" s="3" t="s">
        <v>107</v>
      </c>
      <c r="F420" s="4">
        <v>46203</v>
      </c>
      <c r="G420" s="3" t="s">
        <v>44</v>
      </c>
      <c r="H420" s="6">
        <v>-260631</v>
      </c>
      <c r="I420" s="3" t="s">
        <v>17</v>
      </c>
      <c r="J420" s="3" t="s">
        <v>14</v>
      </c>
      <c r="K420" s="3" t="s">
        <v>14</v>
      </c>
      <c r="L420" s="3" t="s">
        <v>163</v>
      </c>
      <c r="M420" s="4">
        <v>46204</v>
      </c>
      <c r="N420" s="3" t="s">
        <v>342</v>
      </c>
      <c r="O420" s="3" t="s">
        <v>345</v>
      </c>
      <c r="P420" t="str">
        <f t="shared" si="6"/>
        <v>4500130855100</v>
      </c>
      <c r="Q420" s="9" cm="1">
        <f t="array" ref="Q420:S420">VLOOKUP(P420,Hoja1!C:F,{2,3,4},FALSE)</f>
        <v>46205</v>
      </c>
      <c r="R420" t="str">
        <v>C03</v>
      </c>
      <c r="S420" t="str">
        <v>1000000062 FINNING ARGENTINA S.A.</v>
      </c>
    </row>
    <row r="421" spans="1:19" x14ac:dyDescent="0.3">
      <c r="A421" s="2" t="s">
        <v>14</v>
      </c>
      <c r="B421" s="3" t="s">
        <v>14</v>
      </c>
      <c r="C421" s="3" t="s">
        <v>341</v>
      </c>
      <c r="D421" s="3" t="s">
        <v>14</v>
      </c>
      <c r="E421" s="3" t="s">
        <v>107</v>
      </c>
      <c r="F421" s="4">
        <v>46203</v>
      </c>
      <c r="G421" s="3" t="s">
        <v>44</v>
      </c>
      <c r="H421" s="6">
        <v>-17050.349999999999</v>
      </c>
      <c r="I421" s="3" t="s">
        <v>17</v>
      </c>
      <c r="J421" s="3" t="s">
        <v>14</v>
      </c>
      <c r="K421" s="3" t="s">
        <v>14</v>
      </c>
      <c r="L421" s="3" t="s">
        <v>163</v>
      </c>
      <c r="M421" s="4">
        <v>46204</v>
      </c>
      <c r="N421" s="3" t="s">
        <v>342</v>
      </c>
      <c r="O421" s="3" t="s">
        <v>193</v>
      </c>
      <c r="P421" t="str">
        <f t="shared" si="6"/>
        <v>4500130855110</v>
      </c>
      <c r="Q421" s="9" cm="1">
        <f t="array" ref="Q421:S421">VLOOKUP(P421,Hoja1!C:F,{2,3,4},FALSE)</f>
        <v>46205</v>
      </c>
      <c r="R421" t="str">
        <v>C03</v>
      </c>
      <c r="S421" t="str">
        <v>1000000062 FINNING ARGENTINA S.A.</v>
      </c>
    </row>
    <row r="422" spans="1:19" x14ac:dyDescent="0.3">
      <c r="A422" s="2" t="s">
        <v>14</v>
      </c>
      <c r="B422" s="3" t="s">
        <v>14</v>
      </c>
      <c r="C422" s="3" t="s">
        <v>341</v>
      </c>
      <c r="D422" s="3" t="s">
        <v>14</v>
      </c>
      <c r="E422" s="3" t="s">
        <v>107</v>
      </c>
      <c r="F422" s="4">
        <v>46203</v>
      </c>
      <c r="G422" s="3" t="s">
        <v>44</v>
      </c>
      <c r="H422" s="6">
        <v>-143583.45000000001</v>
      </c>
      <c r="I422" s="3" t="s">
        <v>17</v>
      </c>
      <c r="J422" s="3" t="s">
        <v>14</v>
      </c>
      <c r="K422" s="3" t="s">
        <v>14</v>
      </c>
      <c r="L422" s="3" t="s">
        <v>163</v>
      </c>
      <c r="M422" s="4">
        <v>46204</v>
      </c>
      <c r="N422" s="3" t="s">
        <v>342</v>
      </c>
      <c r="O422" s="3" t="s">
        <v>221</v>
      </c>
      <c r="P422" t="str">
        <f t="shared" si="6"/>
        <v>4500130855130</v>
      </c>
      <c r="Q422" s="9" cm="1">
        <f t="array" ref="Q422:S422">VLOOKUP(P422,Hoja1!C:F,{2,3,4},FALSE)</f>
        <v>46205</v>
      </c>
      <c r="R422" t="str">
        <v>C03</v>
      </c>
      <c r="S422" t="str">
        <v>1000000062 FINNING ARGENTINA S.A.</v>
      </c>
    </row>
    <row r="423" spans="1:19" x14ac:dyDescent="0.3">
      <c r="A423" s="2" t="s">
        <v>14</v>
      </c>
      <c r="B423" s="3" t="s">
        <v>14</v>
      </c>
      <c r="C423" s="3" t="s">
        <v>341</v>
      </c>
      <c r="D423" s="3" t="s">
        <v>14</v>
      </c>
      <c r="E423" s="3" t="s">
        <v>107</v>
      </c>
      <c r="F423" s="4">
        <v>46203</v>
      </c>
      <c r="G423" s="3" t="s">
        <v>44</v>
      </c>
      <c r="H423" s="6">
        <v>-820086.38</v>
      </c>
      <c r="I423" s="3" t="s">
        <v>17</v>
      </c>
      <c r="J423" s="3" t="s">
        <v>14</v>
      </c>
      <c r="K423" s="3" t="s">
        <v>14</v>
      </c>
      <c r="L423" s="3" t="s">
        <v>163</v>
      </c>
      <c r="M423" s="4">
        <v>46204</v>
      </c>
      <c r="N423" s="3" t="s">
        <v>342</v>
      </c>
      <c r="O423" s="3" t="s">
        <v>346</v>
      </c>
      <c r="P423" t="str">
        <f t="shared" si="6"/>
        <v>4500130855170</v>
      </c>
      <c r="Q423" s="9" cm="1">
        <f t="array" ref="Q423:S423">VLOOKUP(P423,Hoja1!C:F,{2,3,4},FALSE)</f>
        <v>46205</v>
      </c>
      <c r="R423" t="str">
        <v>C03</v>
      </c>
      <c r="S423" t="str">
        <v>1000000062 FINNING ARGENTINA S.A.</v>
      </c>
    </row>
    <row r="424" spans="1:19" x14ac:dyDescent="0.3">
      <c r="A424" s="2" t="s">
        <v>14</v>
      </c>
      <c r="B424" s="3" t="s">
        <v>14</v>
      </c>
      <c r="C424" s="3" t="s">
        <v>341</v>
      </c>
      <c r="D424" s="3" t="s">
        <v>14</v>
      </c>
      <c r="E424" s="3" t="s">
        <v>107</v>
      </c>
      <c r="F424" s="4">
        <v>46203</v>
      </c>
      <c r="G424" s="3" t="s">
        <v>44</v>
      </c>
      <c r="H424" s="6">
        <v>-823410.75</v>
      </c>
      <c r="I424" s="3" t="s">
        <v>17</v>
      </c>
      <c r="J424" s="3" t="s">
        <v>14</v>
      </c>
      <c r="K424" s="3" t="s">
        <v>14</v>
      </c>
      <c r="L424" s="3" t="s">
        <v>163</v>
      </c>
      <c r="M424" s="4">
        <v>46204</v>
      </c>
      <c r="N424" s="3" t="s">
        <v>342</v>
      </c>
      <c r="O424" s="3" t="s">
        <v>347</v>
      </c>
      <c r="P424" t="str">
        <f t="shared" si="6"/>
        <v>4500130855180</v>
      </c>
      <c r="Q424" s="9" cm="1">
        <f t="array" ref="Q424:S424">VLOOKUP(P424,Hoja1!C:F,{2,3,4},FALSE)</f>
        <v>46205</v>
      </c>
      <c r="R424" t="str">
        <v>C03</v>
      </c>
      <c r="S424" t="str">
        <v>1000000062 FINNING ARGENTINA S.A.</v>
      </c>
    </row>
    <row r="425" spans="1:19" x14ac:dyDescent="0.3">
      <c r="A425" s="2" t="s">
        <v>14</v>
      </c>
      <c r="B425" s="3" t="s">
        <v>14</v>
      </c>
      <c r="C425" s="3" t="s">
        <v>341</v>
      </c>
      <c r="D425" s="3" t="s">
        <v>14</v>
      </c>
      <c r="E425" s="3" t="s">
        <v>107</v>
      </c>
      <c r="F425" s="4">
        <v>46203</v>
      </c>
      <c r="G425" s="3" t="s">
        <v>44</v>
      </c>
      <c r="H425" s="6">
        <v>-270456.38</v>
      </c>
      <c r="I425" s="3" t="s">
        <v>17</v>
      </c>
      <c r="J425" s="3" t="s">
        <v>14</v>
      </c>
      <c r="K425" s="3" t="s">
        <v>14</v>
      </c>
      <c r="L425" s="3" t="s">
        <v>163</v>
      </c>
      <c r="M425" s="4">
        <v>46204</v>
      </c>
      <c r="N425" s="3" t="s">
        <v>342</v>
      </c>
      <c r="O425" s="3" t="s">
        <v>348</v>
      </c>
      <c r="P425" t="str">
        <f t="shared" si="6"/>
        <v>4500130855210</v>
      </c>
      <c r="Q425" s="9" cm="1">
        <f t="array" ref="Q425:S425">VLOOKUP(P425,Hoja1!C:F,{2,3,4},FALSE)</f>
        <v>46205</v>
      </c>
      <c r="R425" t="str">
        <v>C03</v>
      </c>
      <c r="S425" t="str">
        <v>1000000062 FINNING ARGENTINA S.A.</v>
      </c>
    </row>
    <row r="426" spans="1:19" x14ac:dyDescent="0.3">
      <c r="A426" s="2" t="s">
        <v>14</v>
      </c>
      <c r="B426" s="3" t="s">
        <v>14</v>
      </c>
      <c r="C426" s="3" t="s">
        <v>341</v>
      </c>
      <c r="D426" s="3" t="s">
        <v>14</v>
      </c>
      <c r="E426" s="3" t="s">
        <v>107</v>
      </c>
      <c r="F426" s="4">
        <v>46203</v>
      </c>
      <c r="G426" s="3" t="s">
        <v>44</v>
      </c>
      <c r="H426" s="6">
        <v>-1321741.95</v>
      </c>
      <c r="I426" s="3" t="s">
        <v>17</v>
      </c>
      <c r="J426" s="3" t="s">
        <v>14</v>
      </c>
      <c r="K426" s="3" t="s">
        <v>14</v>
      </c>
      <c r="L426" s="3" t="s">
        <v>163</v>
      </c>
      <c r="M426" s="4">
        <v>46204</v>
      </c>
      <c r="N426" s="3" t="s">
        <v>342</v>
      </c>
      <c r="O426" s="3" t="s">
        <v>349</v>
      </c>
      <c r="P426" t="str">
        <f t="shared" si="6"/>
        <v>4500130855230</v>
      </c>
      <c r="Q426" s="9" cm="1">
        <f t="array" ref="Q426:S426">VLOOKUP(P426,Hoja1!C:F,{2,3,4},FALSE)</f>
        <v>46205</v>
      </c>
      <c r="R426" t="str">
        <v>C03</v>
      </c>
      <c r="S426" t="str">
        <v>1000000062 FINNING ARGENTINA S.A.</v>
      </c>
    </row>
    <row r="427" spans="1:19" x14ac:dyDescent="0.3">
      <c r="A427" s="2" t="s">
        <v>14</v>
      </c>
      <c r="B427" s="3" t="s">
        <v>14</v>
      </c>
      <c r="C427" s="3" t="s">
        <v>341</v>
      </c>
      <c r="D427" s="3" t="s">
        <v>14</v>
      </c>
      <c r="E427" s="3" t="s">
        <v>107</v>
      </c>
      <c r="F427" s="4">
        <v>46203</v>
      </c>
      <c r="G427" s="3" t="s">
        <v>44</v>
      </c>
      <c r="H427" s="6">
        <v>-372699.38</v>
      </c>
      <c r="I427" s="3" t="s">
        <v>17</v>
      </c>
      <c r="J427" s="3" t="s">
        <v>14</v>
      </c>
      <c r="K427" s="3" t="s">
        <v>14</v>
      </c>
      <c r="L427" s="3" t="s">
        <v>163</v>
      </c>
      <c r="M427" s="4">
        <v>46204</v>
      </c>
      <c r="N427" s="3" t="s">
        <v>342</v>
      </c>
      <c r="O427" s="3" t="s">
        <v>350</v>
      </c>
      <c r="P427" t="str">
        <f t="shared" si="6"/>
        <v>4500130855240</v>
      </c>
      <c r="Q427" s="9" cm="1">
        <f t="array" ref="Q427:S427">VLOOKUP(P427,Hoja1!C:F,{2,3,4},FALSE)</f>
        <v>46205</v>
      </c>
      <c r="R427" t="str">
        <v>C03</v>
      </c>
      <c r="S427" t="str">
        <v>1000000062 FINNING ARGENTINA S.A.</v>
      </c>
    </row>
    <row r="428" spans="1:19" x14ac:dyDescent="0.3">
      <c r="A428" s="2" t="s">
        <v>14</v>
      </c>
      <c r="B428" s="3" t="s">
        <v>14</v>
      </c>
      <c r="C428" s="3" t="s">
        <v>341</v>
      </c>
      <c r="D428" s="3" t="s">
        <v>14</v>
      </c>
      <c r="E428" s="3" t="s">
        <v>107</v>
      </c>
      <c r="F428" s="4">
        <v>46203</v>
      </c>
      <c r="G428" s="3" t="s">
        <v>44</v>
      </c>
      <c r="H428" s="6">
        <v>-234095.1</v>
      </c>
      <c r="I428" s="3" t="s">
        <v>17</v>
      </c>
      <c r="J428" s="3" t="s">
        <v>14</v>
      </c>
      <c r="K428" s="3" t="s">
        <v>14</v>
      </c>
      <c r="L428" s="3" t="s">
        <v>163</v>
      </c>
      <c r="M428" s="4">
        <v>46204</v>
      </c>
      <c r="N428" s="3" t="s">
        <v>342</v>
      </c>
      <c r="O428" s="3" t="s">
        <v>351</v>
      </c>
      <c r="P428" t="str">
        <f t="shared" si="6"/>
        <v>4500130855250</v>
      </c>
      <c r="Q428" s="9" cm="1">
        <f t="array" ref="Q428:S428">VLOOKUP(P428,Hoja1!C:F,{2,3,4},FALSE)</f>
        <v>46205</v>
      </c>
      <c r="R428" t="str">
        <v>C03</v>
      </c>
      <c r="S428" t="str">
        <v>1000000062 FINNING ARGENTINA S.A.</v>
      </c>
    </row>
    <row r="429" spans="1:19" x14ac:dyDescent="0.3">
      <c r="A429" s="2" t="s">
        <v>14</v>
      </c>
      <c r="B429" s="3" t="s">
        <v>14</v>
      </c>
      <c r="C429" s="3" t="s">
        <v>341</v>
      </c>
      <c r="D429" s="3" t="s">
        <v>14</v>
      </c>
      <c r="E429" s="3" t="s">
        <v>107</v>
      </c>
      <c r="F429" s="4">
        <v>46203</v>
      </c>
      <c r="G429" s="3" t="s">
        <v>44</v>
      </c>
      <c r="H429" s="6">
        <v>-213557.85</v>
      </c>
      <c r="I429" s="3" t="s">
        <v>17</v>
      </c>
      <c r="J429" s="3" t="s">
        <v>14</v>
      </c>
      <c r="K429" s="3" t="s">
        <v>14</v>
      </c>
      <c r="L429" s="3" t="s">
        <v>163</v>
      </c>
      <c r="M429" s="4">
        <v>46204</v>
      </c>
      <c r="N429" s="3" t="s">
        <v>342</v>
      </c>
      <c r="O429" s="3" t="s">
        <v>352</v>
      </c>
      <c r="P429" t="str">
        <f t="shared" si="6"/>
        <v>4500130855260</v>
      </c>
      <c r="Q429" s="9" cm="1">
        <f t="array" ref="Q429:S429">VLOOKUP(P429,Hoja1!C:F,{2,3,4},FALSE)</f>
        <v>46205</v>
      </c>
      <c r="R429" t="str">
        <v>C03</v>
      </c>
      <c r="S429" t="str">
        <v>1000000062 FINNING ARGENTINA S.A.</v>
      </c>
    </row>
    <row r="430" spans="1:19" x14ac:dyDescent="0.3">
      <c r="A430" s="2" t="s">
        <v>14</v>
      </c>
      <c r="B430" s="3" t="s">
        <v>14</v>
      </c>
      <c r="C430" s="3" t="s">
        <v>353</v>
      </c>
      <c r="D430" s="3" t="s">
        <v>14</v>
      </c>
      <c r="E430" s="3" t="s">
        <v>107</v>
      </c>
      <c r="F430" s="4">
        <v>46205</v>
      </c>
      <c r="G430" s="3" t="s">
        <v>44</v>
      </c>
      <c r="H430" s="6">
        <v>-223.4</v>
      </c>
      <c r="I430" s="3" t="s">
        <v>17</v>
      </c>
      <c r="J430" s="3" t="s">
        <v>14</v>
      </c>
      <c r="K430" s="3" t="s">
        <v>14</v>
      </c>
      <c r="L430" s="3" t="s">
        <v>108</v>
      </c>
      <c r="M430" s="4">
        <v>46205</v>
      </c>
      <c r="N430" s="3" t="s">
        <v>354</v>
      </c>
      <c r="O430" s="3" t="s">
        <v>34</v>
      </c>
      <c r="P430" t="str">
        <f t="shared" si="6"/>
        <v>450013188410</v>
      </c>
      <c r="Q430" s="9" cm="1">
        <f t="array" ref="Q430:S430">VLOOKUP(P430,Hoja1!C:F,{2,3,4},FALSE)</f>
        <v>46245</v>
      </c>
      <c r="R430" t="str">
        <v>C21</v>
      </c>
      <c r="S430" t="str">
        <v>1000001020 COMBUSTIBLES BARCELO S.R.L.</v>
      </c>
    </row>
    <row r="431" spans="1:19" x14ac:dyDescent="0.3">
      <c r="A431" s="2" t="s">
        <v>14</v>
      </c>
      <c r="B431" s="3" t="s">
        <v>14</v>
      </c>
      <c r="C431" s="3" t="s">
        <v>353</v>
      </c>
      <c r="D431" s="3" t="s">
        <v>14</v>
      </c>
      <c r="E431" s="3" t="s">
        <v>107</v>
      </c>
      <c r="F431" s="4">
        <v>46205</v>
      </c>
      <c r="G431" s="3" t="s">
        <v>44</v>
      </c>
      <c r="H431" s="6">
        <v>-25.46</v>
      </c>
      <c r="I431" s="3" t="s">
        <v>17</v>
      </c>
      <c r="J431" s="3" t="s">
        <v>14</v>
      </c>
      <c r="K431" s="3" t="s">
        <v>14</v>
      </c>
      <c r="L431" s="3" t="s">
        <v>108</v>
      </c>
      <c r="M431" s="4">
        <v>46205</v>
      </c>
      <c r="N431" s="3" t="s">
        <v>354</v>
      </c>
      <c r="O431" s="3" t="s">
        <v>34</v>
      </c>
      <c r="P431" t="str">
        <f t="shared" si="6"/>
        <v>450013188410</v>
      </c>
      <c r="Q431" s="9" cm="1">
        <f t="array" ref="Q431:S431">VLOOKUP(P431,Hoja1!C:F,{2,3,4},FALSE)</f>
        <v>46245</v>
      </c>
      <c r="R431" t="str">
        <v>C21</v>
      </c>
      <c r="S431" t="str">
        <v>1000001020 COMBUSTIBLES BARCELO S.R.L.</v>
      </c>
    </row>
    <row r="432" spans="1:19" x14ac:dyDescent="0.3">
      <c r="A432" s="2" t="s">
        <v>14</v>
      </c>
      <c r="B432" s="3" t="s">
        <v>14</v>
      </c>
      <c r="C432" s="3" t="s">
        <v>355</v>
      </c>
      <c r="D432" s="3" t="s">
        <v>14</v>
      </c>
      <c r="E432" s="3" t="s">
        <v>107</v>
      </c>
      <c r="F432" s="4">
        <v>46206</v>
      </c>
      <c r="G432" s="3" t="s">
        <v>44</v>
      </c>
      <c r="H432" s="6">
        <v>-10281300</v>
      </c>
      <c r="I432" s="3" t="s">
        <v>17</v>
      </c>
      <c r="J432" s="3" t="s">
        <v>14</v>
      </c>
      <c r="K432" s="3" t="s">
        <v>14</v>
      </c>
      <c r="L432" s="3" t="s">
        <v>121</v>
      </c>
      <c r="M432" s="4">
        <v>46206</v>
      </c>
      <c r="N432" s="3" t="s">
        <v>312</v>
      </c>
      <c r="O432" s="3" t="s">
        <v>34</v>
      </c>
      <c r="P432" t="str">
        <f t="shared" si="6"/>
        <v>450012941210</v>
      </c>
      <c r="Q432" s="9" cm="1">
        <f t="array" ref="Q432:S432">VLOOKUP(P432,Hoja1!C:F,{2,3,4},FALSE)</f>
        <v>46325</v>
      </c>
      <c r="R432" t="str">
        <v>C21</v>
      </c>
      <c r="S432" t="str">
        <v>1000000634 RAIZEN ARGENTINA S.A.U.</v>
      </c>
    </row>
    <row r="433" spans="1:19" x14ac:dyDescent="0.3">
      <c r="A433" s="2" t="s">
        <v>14</v>
      </c>
      <c r="B433" s="3" t="s">
        <v>14</v>
      </c>
      <c r="C433" s="3" t="s">
        <v>355</v>
      </c>
      <c r="D433" s="3" t="s">
        <v>14</v>
      </c>
      <c r="E433" s="3" t="s">
        <v>107</v>
      </c>
      <c r="F433" s="4">
        <v>46206</v>
      </c>
      <c r="G433" s="3" t="s">
        <v>44</v>
      </c>
      <c r="H433" s="6">
        <v>-1171750</v>
      </c>
      <c r="I433" s="3" t="s">
        <v>17</v>
      </c>
      <c r="J433" s="3" t="s">
        <v>14</v>
      </c>
      <c r="K433" s="3" t="s">
        <v>14</v>
      </c>
      <c r="L433" s="3" t="s">
        <v>121</v>
      </c>
      <c r="M433" s="4">
        <v>46206</v>
      </c>
      <c r="N433" s="3" t="s">
        <v>312</v>
      </c>
      <c r="O433" s="3" t="s">
        <v>34</v>
      </c>
      <c r="P433" t="str">
        <f t="shared" si="6"/>
        <v>450012941210</v>
      </c>
      <c r="Q433" s="9" cm="1">
        <f t="array" ref="Q433:S433">VLOOKUP(P433,Hoja1!C:F,{2,3,4},FALSE)</f>
        <v>46325</v>
      </c>
      <c r="R433" t="str">
        <v>C21</v>
      </c>
      <c r="S433" t="str">
        <v>1000000634 RAIZEN ARGENTINA S.A.U.</v>
      </c>
    </row>
    <row r="434" spans="1:19" x14ac:dyDescent="0.3">
      <c r="A434" s="2" t="s">
        <v>14</v>
      </c>
      <c r="B434" s="3" t="s">
        <v>14</v>
      </c>
      <c r="C434" s="3" t="s">
        <v>356</v>
      </c>
      <c r="D434" s="3" t="s">
        <v>14</v>
      </c>
      <c r="E434" s="3" t="s">
        <v>107</v>
      </c>
      <c r="F434" s="4">
        <v>46206</v>
      </c>
      <c r="G434" s="3" t="s">
        <v>44</v>
      </c>
      <c r="H434" s="6">
        <v>-19715.72</v>
      </c>
      <c r="I434" s="3" t="s">
        <v>17</v>
      </c>
      <c r="J434" s="3" t="s">
        <v>14</v>
      </c>
      <c r="K434" s="3" t="s">
        <v>14</v>
      </c>
      <c r="L434" s="3" t="s">
        <v>357</v>
      </c>
      <c r="M434" s="4">
        <v>46206</v>
      </c>
      <c r="N434" s="3" t="s">
        <v>358</v>
      </c>
      <c r="O434" s="3" t="s">
        <v>34</v>
      </c>
      <c r="P434" t="str">
        <f t="shared" si="6"/>
        <v>450013196510</v>
      </c>
      <c r="Q434" s="9" cm="1">
        <f t="array" ref="Q434:S434">VLOOKUP(P434,Hoja1!C:F,{2,3,4},FALSE)</f>
        <v>46213</v>
      </c>
      <c r="R434" t="str">
        <v>C43</v>
      </c>
      <c r="S434" t="str">
        <v>1000000183 SEGUFER S.A.</v>
      </c>
    </row>
    <row r="435" spans="1:19" x14ac:dyDescent="0.3">
      <c r="A435" s="2" t="s">
        <v>14</v>
      </c>
      <c r="B435" s="3" t="s">
        <v>14</v>
      </c>
      <c r="C435" s="3" t="s">
        <v>356</v>
      </c>
      <c r="D435" s="3" t="s">
        <v>14</v>
      </c>
      <c r="E435" s="3" t="s">
        <v>107</v>
      </c>
      <c r="F435" s="4">
        <v>46206</v>
      </c>
      <c r="G435" s="3" t="s">
        <v>44</v>
      </c>
      <c r="H435" s="6">
        <v>-24804.12</v>
      </c>
      <c r="I435" s="3" t="s">
        <v>17</v>
      </c>
      <c r="J435" s="3" t="s">
        <v>14</v>
      </c>
      <c r="K435" s="3" t="s">
        <v>14</v>
      </c>
      <c r="L435" s="3" t="s">
        <v>357</v>
      </c>
      <c r="M435" s="4">
        <v>46206</v>
      </c>
      <c r="N435" s="3" t="s">
        <v>358</v>
      </c>
      <c r="O435" s="3" t="s">
        <v>21</v>
      </c>
      <c r="P435" t="str">
        <f t="shared" si="6"/>
        <v>450013196520</v>
      </c>
      <c r="Q435" s="9" cm="1">
        <f t="array" ref="Q435:S435">VLOOKUP(P435,Hoja1!C:F,{2,3,4},FALSE)</f>
        <v>46213</v>
      </c>
      <c r="R435" t="str">
        <v>C43</v>
      </c>
      <c r="S435" t="str">
        <v>1000000183 SEGUFER S.A.</v>
      </c>
    </row>
    <row r="436" spans="1:19" x14ac:dyDescent="0.3">
      <c r="A436" s="2" t="s">
        <v>14</v>
      </c>
      <c r="B436" s="3" t="s">
        <v>14</v>
      </c>
      <c r="C436" s="3" t="s">
        <v>359</v>
      </c>
      <c r="D436" s="3" t="s">
        <v>14</v>
      </c>
      <c r="E436" s="3" t="s">
        <v>107</v>
      </c>
      <c r="F436" s="4">
        <v>46206</v>
      </c>
      <c r="G436" s="3" t="s">
        <v>44</v>
      </c>
      <c r="H436" s="6">
        <v>-330723.12</v>
      </c>
      <c r="I436" s="3" t="s">
        <v>17</v>
      </c>
      <c r="J436" s="3" t="s">
        <v>14</v>
      </c>
      <c r="K436" s="3" t="s">
        <v>14</v>
      </c>
      <c r="L436" s="3" t="s">
        <v>163</v>
      </c>
      <c r="M436" s="4">
        <v>46210</v>
      </c>
      <c r="N436" s="3" t="s">
        <v>360</v>
      </c>
      <c r="O436" s="3" t="s">
        <v>22</v>
      </c>
      <c r="P436" t="str">
        <f t="shared" si="6"/>
        <v>450013023830</v>
      </c>
      <c r="Q436" s="9" cm="1">
        <f t="array" ref="Q436:S436">VLOOKUP(P436,Hoja1!C:F,{2,3,4},FALSE)</f>
        <v>46206</v>
      </c>
      <c r="R436" t="str">
        <v>C03</v>
      </c>
      <c r="S436" t="str">
        <v>1000000062 FINNING ARGENTINA S.A.</v>
      </c>
    </row>
    <row r="437" spans="1:19" x14ac:dyDescent="0.3">
      <c r="A437" s="2" t="s">
        <v>14</v>
      </c>
      <c r="B437" s="3" t="s">
        <v>14</v>
      </c>
      <c r="C437" s="3" t="s">
        <v>359</v>
      </c>
      <c r="D437" s="3" t="s">
        <v>14</v>
      </c>
      <c r="E437" s="3" t="s">
        <v>107</v>
      </c>
      <c r="F437" s="4">
        <v>46206</v>
      </c>
      <c r="G437" s="3" t="s">
        <v>44</v>
      </c>
      <c r="H437" s="6">
        <v>-165361.56</v>
      </c>
      <c r="I437" s="3" t="s">
        <v>17</v>
      </c>
      <c r="J437" s="3" t="s">
        <v>14</v>
      </c>
      <c r="K437" s="3" t="s">
        <v>14</v>
      </c>
      <c r="L437" s="3" t="s">
        <v>163</v>
      </c>
      <c r="M437" s="4">
        <v>46210</v>
      </c>
      <c r="N437" s="3" t="s">
        <v>360</v>
      </c>
      <c r="O437" s="3" t="s">
        <v>26</v>
      </c>
      <c r="P437" t="str">
        <f t="shared" si="6"/>
        <v>450013023840</v>
      </c>
      <c r="Q437" s="9" cm="1">
        <f t="array" ref="Q437:S437">VLOOKUP(P437,Hoja1!C:F,{2,3,4},FALSE)</f>
        <v>46206</v>
      </c>
      <c r="R437" t="str">
        <v>C03</v>
      </c>
      <c r="S437" t="str">
        <v>1000000062 FINNING ARGENTINA S.A.</v>
      </c>
    </row>
    <row r="438" spans="1:19" x14ac:dyDescent="0.3">
      <c r="A438" s="2" t="s">
        <v>14</v>
      </c>
      <c r="B438" s="3" t="s">
        <v>14</v>
      </c>
      <c r="C438" s="3" t="s">
        <v>361</v>
      </c>
      <c r="D438" s="3" t="s">
        <v>14</v>
      </c>
      <c r="E438" s="3" t="s">
        <v>107</v>
      </c>
      <c r="F438" s="4">
        <v>46210</v>
      </c>
      <c r="G438" s="3" t="s">
        <v>44</v>
      </c>
      <c r="H438" s="6">
        <v>-888000</v>
      </c>
      <c r="I438" s="3" t="s">
        <v>17</v>
      </c>
      <c r="J438" s="3" t="s">
        <v>14</v>
      </c>
      <c r="K438" s="3" t="s">
        <v>14</v>
      </c>
      <c r="L438" s="3" t="s">
        <v>362</v>
      </c>
      <c r="M438" s="4">
        <v>46211</v>
      </c>
      <c r="N438" s="3" t="s">
        <v>363</v>
      </c>
      <c r="O438" s="3" t="s">
        <v>34</v>
      </c>
      <c r="P438" t="str">
        <f t="shared" si="6"/>
        <v>450013169610</v>
      </c>
      <c r="Q438" s="9" cm="1">
        <f t="array" ref="Q438:S438">VLOOKUP(P438,Hoja1!C:F,{2,3,4},FALSE)</f>
        <v>46213</v>
      </c>
      <c r="R438" t="str">
        <v>C43</v>
      </c>
      <c r="S438" t="str">
        <v>1000008168 MADERAS GÜIDO SRL</v>
      </c>
    </row>
    <row r="439" spans="1:19" x14ac:dyDescent="0.3">
      <c r="A439" s="2" t="s">
        <v>14</v>
      </c>
      <c r="B439" s="3" t="s">
        <v>14</v>
      </c>
      <c r="C439" s="3" t="s">
        <v>364</v>
      </c>
      <c r="D439" s="3" t="s">
        <v>14</v>
      </c>
      <c r="E439" s="3" t="s">
        <v>107</v>
      </c>
      <c r="F439" s="4">
        <v>46211</v>
      </c>
      <c r="G439" s="3" t="s">
        <v>44</v>
      </c>
      <c r="H439" s="6">
        <v>-218752.16</v>
      </c>
      <c r="I439" s="3" t="s">
        <v>17</v>
      </c>
      <c r="J439" s="3" t="s">
        <v>14</v>
      </c>
      <c r="K439" s="3" t="s">
        <v>14</v>
      </c>
      <c r="L439" s="3" t="s">
        <v>67</v>
      </c>
      <c r="M439" s="4">
        <v>46211</v>
      </c>
      <c r="N439" s="3" t="s">
        <v>365</v>
      </c>
      <c r="O439" s="3" t="s">
        <v>34</v>
      </c>
      <c r="P439" t="str">
        <f t="shared" si="6"/>
        <v>450013225710</v>
      </c>
      <c r="Q439" s="9" cm="1">
        <f t="array" ref="Q439:S439">VLOOKUP(P439,Hoja1!C:F,{2,3,4},FALSE)</f>
        <v>46231</v>
      </c>
      <c r="R439" t="str">
        <v>C43</v>
      </c>
      <c r="S439" t="str">
        <v>1000003378 PINTURERIA CENTRAL SRL</v>
      </c>
    </row>
    <row r="440" spans="1:19" x14ac:dyDescent="0.3">
      <c r="A440" s="2" t="s">
        <v>14</v>
      </c>
      <c r="B440" s="3" t="s">
        <v>14</v>
      </c>
      <c r="C440" s="3" t="s">
        <v>366</v>
      </c>
      <c r="D440" s="3" t="s">
        <v>14</v>
      </c>
      <c r="E440" s="3" t="s">
        <v>107</v>
      </c>
      <c r="F440" s="4">
        <v>46212</v>
      </c>
      <c r="G440" s="3" t="s">
        <v>44</v>
      </c>
      <c r="H440" s="6">
        <v>-10042200</v>
      </c>
      <c r="I440" s="3" t="s">
        <v>17</v>
      </c>
      <c r="J440" s="3" t="s">
        <v>14</v>
      </c>
      <c r="K440" s="3" t="s">
        <v>14</v>
      </c>
      <c r="L440" s="3" t="s">
        <v>121</v>
      </c>
      <c r="M440" s="4">
        <v>46212</v>
      </c>
      <c r="N440" s="3" t="s">
        <v>312</v>
      </c>
      <c r="O440" s="3" t="s">
        <v>34</v>
      </c>
      <c r="P440" t="str">
        <f t="shared" si="6"/>
        <v>450012941210</v>
      </c>
      <c r="Q440" s="9" cm="1">
        <f t="array" ref="Q440:S440">VLOOKUP(P440,Hoja1!C:F,{2,3,4},FALSE)</f>
        <v>46325</v>
      </c>
      <c r="R440" t="str">
        <v>C21</v>
      </c>
      <c r="S440" t="str">
        <v>1000000634 RAIZEN ARGENTINA S.A.U.</v>
      </c>
    </row>
    <row r="441" spans="1:19" x14ac:dyDescent="0.3">
      <c r="A441" s="2" t="s">
        <v>14</v>
      </c>
      <c r="B441" s="3" t="s">
        <v>14</v>
      </c>
      <c r="C441" s="3" t="s">
        <v>366</v>
      </c>
      <c r="D441" s="3" t="s">
        <v>14</v>
      </c>
      <c r="E441" s="3" t="s">
        <v>107</v>
      </c>
      <c r="F441" s="4">
        <v>46212</v>
      </c>
      <c r="G441" s="3" t="s">
        <v>44</v>
      </c>
      <c r="H441" s="6">
        <v>-1144500</v>
      </c>
      <c r="I441" s="3" t="s">
        <v>17</v>
      </c>
      <c r="J441" s="3" t="s">
        <v>14</v>
      </c>
      <c r="K441" s="3" t="s">
        <v>14</v>
      </c>
      <c r="L441" s="3" t="s">
        <v>121</v>
      </c>
      <c r="M441" s="4">
        <v>46212</v>
      </c>
      <c r="N441" s="3" t="s">
        <v>312</v>
      </c>
      <c r="O441" s="3" t="s">
        <v>34</v>
      </c>
      <c r="P441" t="str">
        <f t="shared" si="6"/>
        <v>450012941210</v>
      </c>
      <c r="Q441" s="9" cm="1">
        <f t="array" ref="Q441:S441">VLOOKUP(P441,Hoja1!C:F,{2,3,4},FALSE)</f>
        <v>46325</v>
      </c>
      <c r="R441" t="str">
        <v>C21</v>
      </c>
      <c r="S441" t="str">
        <v>1000000634 RAIZEN ARGENTINA S.A.U.</v>
      </c>
    </row>
    <row r="442" spans="1:19" x14ac:dyDescent="0.3">
      <c r="A442" s="2" t="s">
        <v>14</v>
      </c>
      <c r="B442" s="3" t="s">
        <v>14</v>
      </c>
      <c r="C442" s="3" t="s">
        <v>367</v>
      </c>
      <c r="D442" s="3" t="s">
        <v>14</v>
      </c>
      <c r="E442" s="3" t="s">
        <v>107</v>
      </c>
      <c r="F442" s="4">
        <v>46217</v>
      </c>
      <c r="G442" s="3" t="s">
        <v>44</v>
      </c>
      <c r="H442" s="6">
        <v>-818181.82</v>
      </c>
      <c r="I442" s="3" t="s">
        <v>17</v>
      </c>
      <c r="J442" s="3" t="s">
        <v>14</v>
      </c>
      <c r="K442" s="3" t="s">
        <v>14</v>
      </c>
      <c r="L442" s="3" t="s">
        <v>368</v>
      </c>
      <c r="M442" s="4">
        <v>46217</v>
      </c>
      <c r="N442" s="3" t="s">
        <v>369</v>
      </c>
      <c r="O442" s="3" t="s">
        <v>34</v>
      </c>
      <c r="P442" t="str">
        <f t="shared" si="6"/>
        <v>450012187310</v>
      </c>
      <c r="Q442" s="9" cm="1">
        <f t="array" ref="Q442:S442">VLOOKUP(P442,Hoja1!C:F,{2,3,4},FALSE)</f>
        <v>46095</v>
      </c>
      <c r="R442" t="str">
        <v>EFO</v>
      </c>
      <c r="S442" t="str">
        <v>1000009851 CUPER S. R. L.</v>
      </c>
    </row>
    <row r="443" spans="1:19" x14ac:dyDescent="0.3">
      <c r="A443" s="2" t="s">
        <v>14</v>
      </c>
      <c r="B443" s="3" t="s">
        <v>14</v>
      </c>
      <c r="C443" s="3" t="s">
        <v>370</v>
      </c>
      <c r="D443" s="3" t="s">
        <v>14</v>
      </c>
      <c r="E443" s="3" t="s">
        <v>107</v>
      </c>
      <c r="F443" s="4">
        <v>46217</v>
      </c>
      <c r="G443" s="3" t="s">
        <v>44</v>
      </c>
      <c r="H443" s="6">
        <v>-10281300</v>
      </c>
      <c r="I443" s="3" t="s">
        <v>17</v>
      </c>
      <c r="J443" s="3" t="s">
        <v>14</v>
      </c>
      <c r="K443" s="3" t="s">
        <v>14</v>
      </c>
      <c r="L443" s="3" t="s">
        <v>121</v>
      </c>
      <c r="M443" s="4">
        <v>46217</v>
      </c>
      <c r="N443" s="3" t="s">
        <v>312</v>
      </c>
      <c r="O443" s="3" t="s">
        <v>34</v>
      </c>
      <c r="P443" t="str">
        <f t="shared" si="6"/>
        <v>450012941210</v>
      </c>
      <c r="Q443" s="9" cm="1">
        <f t="array" ref="Q443:S443">VLOOKUP(P443,Hoja1!C:F,{2,3,4},FALSE)</f>
        <v>46325</v>
      </c>
      <c r="R443" t="str">
        <v>C21</v>
      </c>
      <c r="S443" t="str">
        <v>1000000634 RAIZEN ARGENTINA S.A.U.</v>
      </c>
    </row>
    <row r="444" spans="1:19" x14ac:dyDescent="0.3">
      <c r="A444" s="2" t="s">
        <v>14</v>
      </c>
      <c r="B444" s="3" t="s">
        <v>14</v>
      </c>
      <c r="C444" s="3" t="s">
        <v>370</v>
      </c>
      <c r="D444" s="3" t="s">
        <v>14</v>
      </c>
      <c r="E444" s="3" t="s">
        <v>107</v>
      </c>
      <c r="F444" s="4">
        <v>46217</v>
      </c>
      <c r="G444" s="3" t="s">
        <v>44</v>
      </c>
      <c r="H444" s="6">
        <v>-1171750</v>
      </c>
      <c r="I444" s="3" t="s">
        <v>17</v>
      </c>
      <c r="J444" s="3" t="s">
        <v>14</v>
      </c>
      <c r="K444" s="3" t="s">
        <v>14</v>
      </c>
      <c r="L444" s="3" t="s">
        <v>121</v>
      </c>
      <c r="M444" s="4">
        <v>46217</v>
      </c>
      <c r="N444" s="3" t="s">
        <v>312</v>
      </c>
      <c r="O444" s="3" t="s">
        <v>34</v>
      </c>
      <c r="P444" t="str">
        <f t="shared" si="6"/>
        <v>450012941210</v>
      </c>
      <c r="Q444" s="9" cm="1">
        <f t="array" ref="Q444:S444">VLOOKUP(P444,Hoja1!C:F,{2,3,4},FALSE)</f>
        <v>46325</v>
      </c>
      <c r="R444" t="str">
        <v>C21</v>
      </c>
      <c r="S444" t="str">
        <v>1000000634 RAIZEN ARGENTINA S.A.U.</v>
      </c>
    </row>
    <row r="445" spans="1:19" x14ac:dyDescent="0.3">
      <c r="A445" s="2" t="s">
        <v>14</v>
      </c>
      <c r="B445" s="3" t="s">
        <v>14</v>
      </c>
      <c r="C445" s="3" t="s">
        <v>371</v>
      </c>
      <c r="D445" s="3" t="s">
        <v>14</v>
      </c>
      <c r="E445" s="3" t="s">
        <v>107</v>
      </c>
      <c r="F445" s="4">
        <v>46219</v>
      </c>
      <c r="G445" s="3" t="s">
        <v>44</v>
      </c>
      <c r="H445" s="6">
        <v>-10281300</v>
      </c>
      <c r="I445" s="3" t="s">
        <v>17</v>
      </c>
      <c r="J445" s="3" t="s">
        <v>14</v>
      </c>
      <c r="K445" s="3" t="s">
        <v>14</v>
      </c>
      <c r="L445" s="3" t="s">
        <v>121</v>
      </c>
      <c r="M445" s="4">
        <v>46219</v>
      </c>
      <c r="N445" s="3" t="s">
        <v>312</v>
      </c>
      <c r="O445" s="3" t="s">
        <v>34</v>
      </c>
      <c r="P445" t="str">
        <f t="shared" si="6"/>
        <v>450012941210</v>
      </c>
      <c r="Q445" s="9" cm="1">
        <f t="array" ref="Q445:S445">VLOOKUP(P445,Hoja1!C:F,{2,3,4},FALSE)</f>
        <v>46325</v>
      </c>
      <c r="R445" t="str">
        <v>C21</v>
      </c>
      <c r="S445" t="str">
        <v>1000000634 RAIZEN ARGENTINA S.A.U.</v>
      </c>
    </row>
    <row r="446" spans="1:19" x14ac:dyDescent="0.3">
      <c r="A446" s="2" t="s">
        <v>14</v>
      </c>
      <c r="B446" s="3" t="s">
        <v>14</v>
      </c>
      <c r="C446" s="3" t="s">
        <v>371</v>
      </c>
      <c r="D446" s="3" t="s">
        <v>14</v>
      </c>
      <c r="E446" s="3" t="s">
        <v>107</v>
      </c>
      <c r="F446" s="4">
        <v>46219</v>
      </c>
      <c r="G446" s="3" t="s">
        <v>44</v>
      </c>
      <c r="H446" s="6">
        <v>-1171750</v>
      </c>
      <c r="I446" s="3" t="s">
        <v>17</v>
      </c>
      <c r="J446" s="3" t="s">
        <v>14</v>
      </c>
      <c r="K446" s="3" t="s">
        <v>14</v>
      </c>
      <c r="L446" s="3" t="s">
        <v>121</v>
      </c>
      <c r="M446" s="4">
        <v>46219</v>
      </c>
      <c r="N446" s="3" t="s">
        <v>312</v>
      </c>
      <c r="O446" s="3" t="s">
        <v>34</v>
      </c>
      <c r="P446" t="str">
        <f t="shared" si="6"/>
        <v>450012941210</v>
      </c>
      <c r="Q446" s="9" cm="1">
        <f t="array" ref="Q446:S446">VLOOKUP(P446,Hoja1!C:F,{2,3,4},FALSE)</f>
        <v>46325</v>
      </c>
      <c r="R446" t="str">
        <v>C21</v>
      </c>
      <c r="S446" t="str">
        <v>1000000634 RAIZEN ARGENTINA S.A.U.</v>
      </c>
    </row>
    <row r="447" spans="1:19" x14ac:dyDescent="0.3">
      <c r="A447" s="2" t="s">
        <v>14</v>
      </c>
      <c r="B447" s="3" t="s">
        <v>14</v>
      </c>
      <c r="C447" s="3" t="s">
        <v>372</v>
      </c>
      <c r="D447" s="3" t="s">
        <v>14</v>
      </c>
      <c r="E447" s="3" t="s">
        <v>107</v>
      </c>
      <c r="F447" s="4">
        <v>46224</v>
      </c>
      <c r="G447" s="3" t="s">
        <v>44</v>
      </c>
      <c r="H447" s="6">
        <v>-184304.4</v>
      </c>
      <c r="I447" s="3" t="s">
        <v>17</v>
      </c>
      <c r="J447" s="3" t="s">
        <v>14</v>
      </c>
      <c r="K447" s="3" t="s">
        <v>14</v>
      </c>
      <c r="L447" s="3" t="s">
        <v>67</v>
      </c>
      <c r="M447" s="4">
        <v>46224</v>
      </c>
      <c r="N447" s="3" t="s">
        <v>373</v>
      </c>
      <c r="O447" s="3" t="s">
        <v>34</v>
      </c>
      <c r="P447" t="str">
        <f t="shared" si="6"/>
        <v>450013317710</v>
      </c>
      <c r="Q447" s="9" cm="1">
        <f t="array" ref="Q447:S447">VLOOKUP(P447,Hoja1!C:F,{2,3,4},FALSE)</f>
        <v>46301</v>
      </c>
      <c r="R447" t="str">
        <v>C43</v>
      </c>
      <c r="S447" t="str">
        <v>1000003378 PINTURERIA CENTRAL SRL</v>
      </c>
    </row>
    <row r="448" spans="1:19" x14ac:dyDescent="0.3">
      <c r="A448" s="2" t="s">
        <v>14</v>
      </c>
      <c r="B448" s="3" t="s">
        <v>14</v>
      </c>
      <c r="C448" s="3" t="s">
        <v>374</v>
      </c>
      <c r="D448" s="3" t="s">
        <v>14</v>
      </c>
      <c r="E448" s="3" t="s">
        <v>107</v>
      </c>
      <c r="F448" s="4">
        <v>46223</v>
      </c>
      <c r="G448" s="3" t="s">
        <v>44</v>
      </c>
      <c r="H448" s="6">
        <v>-540628</v>
      </c>
      <c r="I448" s="3" t="s">
        <v>17</v>
      </c>
      <c r="J448" s="3" t="s">
        <v>14</v>
      </c>
      <c r="K448" s="3" t="s">
        <v>14</v>
      </c>
      <c r="L448" s="3" t="s">
        <v>108</v>
      </c>
      <c r="M448" s="4">
        <v>46224</v>
      </c>
      <c r="N448" s="3" t="s">
        <v>375</v>
      </c>
      <c r="O448" s="3" t="s">
        <v>34</v>
      </c>
      <c r="P448" t="str">
        <f t="shared" si="6"/>
        <v>450013040410</v>
      </c>
      <c r="Q448" s="9" cm="1">
        <f t="array" ref="Q448:S448">VLOOKUP(P448,Hoja1!C:F,{2,3,4},FALSE)</f>
        <v>46296</v>
      </c>
      <c r="R448" t="str">
        <v>C21</v>
      </c>
      <c r="S448" t="str">
        <v>1000001020 COMBUSTIBLES BARCELO S.R.L.</v>
      </c>
    </row>
    <row r="449" spans="1:19" x14ac:dyDescent="0.3">
      <c r="A449" s="2" t="s">
        <v>14</v>
      </c>
      <c r="B449" s="3" t="s">
        <v>14</v>
      </c>
      <c r="C449" s="3" t="s">
        <v>374</v>
      </c>
      <c r="D449" s="3" t="s">
        <v>14</v>
      </c>
      <c r="E449" s="3" t="s">
        <v>107</v>
      </c>
      <c r="F449" s="4">
        <v>46223</v>
      </c>
      <c r="G449" s="3" t="s">
        <v>44</v>
      </c>
      <c r="H449" s="6">
        <v>-61622</v>
      </c>
      <c r="I449" s="3" t="s">
        <v>17</v>
      </c>
      <c r="J449" s="3" t="s">
        <v>14</v>
      </c>
      <c r="K449" s="3" t="s">
        <v>14</v>
      </c>
      <c r="L449" s="3" t="s">
        <v>108</v>
      </c>
      <c r="M449" s="4">
        <v>46224</v>
      </c>
      <c r="N449" s="3" t="s">
        <v>375</v>
      </c>
      <c r="O449" s="3" t="s">
        <v>34</v>
      </c>
      <c r="P449" t="str">
        <f t="shared" si="6"/>
        <v>450013040410</v>
      </c>
      <c r="Q449" s="9" cm="1">
        <f t="array" ref="Q449:S449">VLOOKUP(P449,Hoja1!C:F,{2,3,4},FALSE)</f>
        <v>46296</v>
      </c>
      <c r="R449" t="str">
        <v>C21</v>
      </c>
      <c r="S449" t="str">
        <v>1000001020 COMBUSTIBLES BARCELO S.R.L.</v>
      </c>
    </row>
    <row r="450" spans="1:19" x14ac:dyDescent="0.3">
      <c r="A450" s="2" t="s">
        <v>14</v>
      </c>
      <c r="B450" s="3" t="s">
        <v>14</v>
      </c>
      <c r="C450" s="3" t="s">
        <v>376</v>
      </c>
      <c r="D450" s="3" t="s">
        <v>14</v>
      </c>
      <c r="E450" s="3" t="s">
        <v>107</v>
      </c>
      <c r="F450" s="4">
        <v>46223</v>
      </c>
      <c r="G450" s="3" t="s">
        <v>44</v>
      </c>
      <c r="H450" s="6">
        <v>-64463.99</v>
      </c>
      <c r="I450" s="3" t="s">
        <v>17</v>
      </c>
      <c r="J450" s="3" t="s">
        <v>14</v>
      </c>
      <c r="K450" s="3" t="s">
        <v>14</v>
      </c>
      <c r="L450" s="3" t="s">
        <v>19</v>
      </c>
      <c r="M450" s="4">
        <v>46224</v>
      </c>
      <c r="N450" s="3" t="s">
        <v>377</v>
      </c>
      <c r="O450" s="3" t="s">
        <v>34</v>
      </c>
      <c r="P450" t="str">
        <f t="shared" si="6"/>
        <v>450013213710</v>
      </c>
      <c r="Q450" s="9" cm="1">
        <f t="array" ref="Q450:S450">VLOOKUP(P450,Hoja1!C:F,{2,3,4},FALSE)</f>
        <v>46226</v>
      </c>
      <c r="R450" t="str">
        <v>C29</v>
      </c>
      <c r="S450" t="str">
        <v>1000001470 SUDAMERICANA CAMIONES SA</v>
      </c>
    </row>
    <row r="451" spans="1:19" x14ac:dyDescent="0.3">
      <c r="A451" s="2" t="s">
        <v>14</v>
      </c>
      <c r="B451" s="3" t="s">
        <v>14</v>
      </c>
      <c r="C451" s="3" t="s">
        <v>376</v>
      </c>
      <c r="D451" s="3" t="s">
        <v>14</v>
      </c>
      <c r="E451" s="3" t="s">
        <v>107</v>
      </c>
      <c r="F451" s="4">
        <v>46223</v>
      </c>
      <c r="G451" s="3" t="s">
        <v>44</v>
      </c>
      <c r="H451" s="6">
        <v>-411589.14</v>
      </c>
      <c r="I451" s="3" t="s">
        <v>17</v>
      </c>
      <c r="J451" s="3" t="s">
        <v>14</v>
      </c>
      <c r="K451" s="3" t="s">
        <v>14</v>
      </c>
      <c r="L451" s="3" t="s">
        <v>19</v>
      </c>
      <c r="M451" s="4">
        <v>46224</v>
      </c>
      <c r="N451" s="3" t="s">
        <v>377</v>
      </c>
      <c r="O451" s="3" t="s">
        <v>23</v>
      </c>
      <c r="P451" t="str">
        <f t="shared" ref="P451:P514" si="7">_xlfn.CONCAT(N451:O451)</f>
        <v>450013213750</v>
      </c>
      <c r="Q451" s="9" cm="1">
        <f t="array" ref="Q451:S451">VLOOKUP(P451,Hoja1!C:F,{2,3,4},FALSE)</f>
        <v>46226</v>
      </c>
      <c r="R451" t="str">
        <v>C29</v>
      </c>
      <c r="S451" t="str">
        <v>1000001470 SUDAMERICANA CAMIONES SA</v>
      </c>
    </row>
    <row r="452" spans="1:19" x14ac:dyDescent="0.3">
      <c r="A452" s="2" t="s">
        <v>14</v>
      </c>
      <c r="B452" s="3" t="s">
        <v>14</v>
      </c>
      <c r="C452" s="3" t="s">
        <v>378</v>
      </c>
      <c r="D452" s="3" t="s">
        <v>14</v>
      </c>
      <c r="E452" s="3" t="s">
        <v>107</v>
      </c>
      <c r="F452" s="4">
        <v>46225</v>
      </c>
      <c r="G452" s="3" t="s">
        <v>44</v>
      </c>
      <c r="H452" s="6">
        <v>-722355.37</v>
      </c>
      <c r="I452" s="3" t="s">
        <v>17</v>
      </c>
      <c r="J452" s="3" t="s">
        <v>14</v>
      </c>
      <c r="K452" s="3" t="s">
        <v>14</v>
      </c>
      <c r="L452" s="3" t="s">
        <v>368</v>
      </c>
      <c r="M452" s="4">
        <v>46225</v>
      </c>
      <c r="N452" s="3" t="s">
        <v>379</v>
      </c>
      <c r="O452" s="3" t="s">
        <v>34</v>
      </c>
      <c r="P452" t="str">
        <f t="shared" si="7"/>
        <v>450013334610</v>
      </c>
      <c r="Q452" s="9" cm="1">
        <f t="array" ref="Q452:S452">VLOOKUP(P452,Hoja1!C:F,{2,3,4},FALSE)</f>
        <v>46228</v>
      </c>
      <c r="R452" t="str">
        <v>C39</v>
      </c>
      <c r="S452" t="str">
        <v>1000009851 CUPER S. R. L.</v>
      </c>
    </row>
    <row r="453" spans="1:19" x14ac:dyDescent="0.3">
      <c r="A453" s="2" t="s">
        <v>14</v>
      </c>
      <c r="B453" s="3" t="s">
        <v>14</v>
      </c>
      <c r="C453" s="3" t="s">
        <v>380</v>
      </c>
      <c r="D453" s="3" t="s">
        <v>14</v>
      </c>
      <c r="E453" s="3" t="s">
        <v>107</v>
      </c>
      <c r="F453" s="4">
        <v>46225</v>
      </c>
      <c r="G453" s="3" t="s">
        <v>44</v>
      </c>
      <c r="H453" s="6">
        <v>-10042200</v>
      </c>
      <c r="I453" s="3" t="s">
        <v>17</v>
      </c>
      <c r="J453" s="3" t="s">
        <v>14</v>
      </c>
      <c r="K453" s="3" t="s">
        <v>14</v>
      </c>
      <c r="L453" s="3" t="s">
        <v>121</v>
      </c>
      <c r="M453" s="4">
        <v>46225</v>
      </c>
      <c r="N453" s="3" t="s">
        <v>312</v>
      </c>
      <c r="O453" s="3" t="s">
        <v>34</v>
      </c>
      <c r="P453" t="str">
        <f t="shared" si="7"/>
        <v>450012941210</v>
      </c>
      <c r="Q453" s="9" cm="1">
        <f t="array" ref="Q453:S453">VLOOKUP(P453,Hoja1!C:F,{2,3,4},FALSE)</f>
        <v>46325</v>
      </c>
      <c r="R453" t="str">
        <v>C21</v>
      </c>
      <c r="S453" t="str">
        <v>1000000634 RAIZEN ARGENTINA S.A.U.</v>
      </c>
    </row>
    <row r="454" spans="1:19" x14ac:dyDescent="0.3">
      <c r="A454" s="2" t="s">
        <v>14</v>
      </c>
      <c r="B454" s="3" t="s">
        <v>14</v>
      </c>
      <c r="C454" s="3" t="s">
        <v>380</v>
      </c>
      <c r="D454" s="3" t="s">
        <v>14</v>
      </c>
      <c r="E454" s="3" t="s">
        <v>107</v>
      </c>
      <c r="F454" s="4">
        <v>46225</v>
      </c>
      <c r="G454" s="3" t="s">
        <v>44</v>
      </c>
      <c r="H454" s="6">
        <v>-1144500</v>
      </c>
      <c r="I454" s="3" t="s">
        <v>17</v>
      </c>
      <c r="J454" s="3" t="s">
        <v>14</v>
      </c>
      <c r="K454" s="3" t="s">
        <v>14</v>
      </c>
      <c r="L454" s="3" t="s">
        <v>121</v>
      </c>
      <c r="M454" s="4">
        <v>46225</v>
      </c>
      <c r="N454" s="3" t="s">
        <v>312</v>
      </c>
      <c r="O454" s="3" t="s">
        <v>34</v>
      </c>
      <c r="P454" t="str">
        <f t="shared" si="7"/>
        <v>450012941210</v>
      </c>
      <c r="Q454" s="9" cm="1">
        <f t="array" ref="Q454:S454">VLOOKUP(P454,Hoja1!C:F,{2,3,4},FALSE)</f>
        <v>46325</v>
      </c>
      <c r="R454" t="str">
        <v>C21</v>
      </c>
      <c r="S454" t="str">
        <v>1000000634 RAIZEN ARGENTINA S.A.U.</v>
      </c>
    </row>
    <row r="455" spans="1:19" x14ac:dyDescent="0.3">
      <c r="A455" s="2" t="s">
        <v>14</v>
      </c>
      <c r="B455" s="3" t="s">
        <v>14</v>
      </c>
      <c r="C455" s="3" t="s">
        <v>381</v>
      </c>
      <c r="D455" s="3" t="s">
        <v>14</v>
      </c>
      <c r="E455" s="3" t="s">
        <v>107</v>
      </c>
      <c r="F455" s="4">
        <v>46225</v>
      </c>
      <c r="G455" s="3" t="s">
        <v>44</v>
      </c>
      <c r="H455" s="6">
        <v>-204752.07</v>
      </c>
      <c r="I455" s="3" t="s">
        <v>17</v>
      </c>
      <c r="J455" s="3" t="s">
        <v>14</v>
      </c>
      <c r="K455" s="3" t="s">
        <v>14</v>
      </c>
      <c r="L455" s="3" t="s">
        <v>368</v>
      </c>
      <c r="M455" s="4">
        <v>46225</v>
      </c>
      <c r="N455" s="3" t="s">
        <v>382</v>
      </c>
      <c r="O455" s="3" t="s">
        <v>34</v>
      </c>
      <c r="P455" t="str">
        <f t="shared" si="7"/>
        <v>450013346210</v>
      </c>
      <c r="Q455" s="9" cm="1">
        <f t="array" ref="Q455:S455">VLOOKUP(P455,Hoja1!C:F,{2,3,4},FALSE)</f>
        <v>46234</v>
      </c>
      <c r="R455" t="str">
        <v>C39</v>
      </c>
      <c r="S455" t="str">
        <v>1000009851 CUPER S. R. L.</v>
      </c>
    </row>
    <row r="456" spans="1:19" x14ac:dyDescent="0.3">
      <c r="A456" s="2" t="s">
        <v>14</v>
      </c>
      <c r="B456" s="3" t="s">
        <v>14</v>
      </c>
      <c r="C456" s="3" t="s">
        <v>383</v>
      </c>
      <c r="D456" s="3" t="s">
        <v>14</v>
      </c>
      <c r="E456" s="3" t="s">
        <v>107</v>
      </c>
      <c r="F456" s="4">
        <v>46226</v>
      </c>
      <c r="G456" s="3" t="s">
        <v>44</v>
      </c>
      <c r="H456" s="6">
        <v>-10042200</v>
      </c>
      <c r="I456" s="3" t="s">
        <v>17</v>
      </c>
      <c r="J456" s="3" t="s">
        <v>14</v>
      </c>
      <c r="K456" s="3" t="s">
        <v>14</v>
      </c>
      <c r="L456" s="3" t="s">
        <v>121</v>
      </c>
      <c r="M456" s="4">
        <v>46226</v>
      </c>
      <c r="N456" s="3" t="s">
        <v>312</v>
      </c>
      <c r="O456" s="3" t="s">
        <v>34</v>
      </c>
      <c r="P456" t="str">
        <f t="shared" si="7"/>
        <v>450012941210</v>
      </c>
      <c r="Q456" s="9" cm="1">
        <f t="array" ref="Q456:S456">VLOOKUP(P456,Hoja1!C:F,{2,3,4},FALSE)</f>
        <v>46325</v>
      </c>
      <c r="R456" t="str">
        <v>C21</v>
      </c>
      <c r="S456" t="str">
        <v>1000000634 RAIZEN ARGENTINA S.A.U.</v>
      </c>
    </row>
    <row r="457" spans="1:19" x14ac:dyDescent="0.3">
      <c r="A457" s="2" t="s">
        <v>14</v>
      </c>
      <c r="B457" s="3" t="s">
        <v>14</v>
      </c>
      <c r="C457" s="3" t="s">
        <v>383</v>
      </c>
      <c r="D457" s="3" t="s">
        <v>14</v>
      </c>
      <c r="E457" s="3" t="s">
        <v>107</v>
      </c>
      <c r="F457" s="4">
        <v>46226</v>
      </c>
      <c r="G457" s="3" t="s">
        <v>44</v>
      </c>
      <c r="H457" s="6">
        <v>-1144500</v>
      </c>
      <c r="I457" s="3" t="s">
        <v>17</v>
      </c>
      <c r="J457" s="3" t="s">
        <v>14</v>
      </c>
      <c r="K457" s="3" t="s">
        <v>14</v>
      </c>
      <c r="L457" s="3" t="s">
        <v>121</v>
      </c>
      <c r="M457" s="4">
        <v>46226</v>
      </c>
      <c r="N457" s="3" t="s">
        <v>312</v>
      </c>
      <c r="O457" s="3" t="s">
        <v>34</v>
      </c>
      <c r="P457" t="str">
        <f t="shared" si="7"/>
        <v>450012941210</v>
      </c>
      <c r="Q457" s="9" cm="1">
        <f t="array" ref="Q457:S457">VLOOKUP(P457,Hoja1!C:F,{2,3,4},FALSE)</f>
        <v>46325</v>
      </c>
      <c r="R457" t="str">
        <v>C21</v>
      </c>
      <c r="S457" t="str">
        <v>1000000634 RAIZEN ARGENTINA S.A.U.</v>
      </c>
    </row>
    <row r="458" spans="1:19" x14ac:dyDescent="0.3">
      <c r="A458" s="2" t="s">
        <v>14</v>
      </c>
      <c r="B458" s="3" t="s">
        <v>14</v>
      </c>
      <c r="C458" s="3" t="s">
        <v>384</v>
      </c>
      <c r="D458" s="3" t="s">
        <v>14</v>
      </c>
      <c r="E458" s="3" t="s">
        <v>107</v>
      </c>
      <c r="F458" s="4">
        <v>46226</v>
      </c>
      <c r="G458" s="3" t="s">
        <v>44</v>
      </c>
      <c r="H458" s="6">
        <v>-22452.639999999999</v>
      </c>
      <c r="I458" s="3" t="s">
        <v>17</v>
      </c>
      <c r="J458" s="3" t="s">
        <v>14</v>
      </c>
      <c r="K458" s="3" t="s">
        <v>14</v>
      </c>
      <c r="L458" s="3" t="s">
        <v>67</v>
      </c>
      <c r="M458" s="4">
        <v>46226</v>
      </c>
      <c r="N458" s="3" t="s">
        <v>385</v>
      </c>
      <c r="O458" s="3" t="s">
        <v>34</v>
      </c>
      <c r="P458" t="str">
        <f t="shared" si="7"/>
        <v>450013343710</v>
      </c>
      <c r="Q458" s="9" cm="1">
        <f t="array" ref="Q458:S458">VLOOKUP(P458,Hoja1!C:F,{2,3,4},FALSE)</f>
        <v>46244</v>
      </c>
      <c r="R458" t="str">
        <v>C43</v>
      </c>
      <c r="S458" t="str">
        <v>1000003378 PINTURERIA CENTRAL SRL</v>
      </c>
    </row>
    <row r="459" spans="1:19" x14ac:dyDescent="0.3">
      <c r="A459" s="2" t="s">
        <v>14</v>
      </c>
      <c r="B459" s="3" t="s">
        <v>14</v>
      </c>
      <c r="C459" s="3" t="s">
        <v>386</v>
      </c>
      <c r="D459" s="3" t="s">
        <v>14</v>
      </c>
      <c r="E459" s="3" t="s">
        <v>107</v>
      </c>
      <c r="F459" s="4">
        <v>46230</v>
      </c>
      <c r="G459" s="3" t="s">
        <v>44</v>
      </c>
      <c r="H459" s="6">
        <v>-3223800</v>
      </c>
      <c r="I459" s="3" t="s">
        <v>17</v>
      </c>
      <c r="J459" s="3" t="s">
        <v>14</v>
      </c>
      <c r="K459" s="3" t="s">
        <v>14</v>
      </c>
      <c r="L459" s="3" t="s">
        <v>19</v>
      </c>
      <c r="M459" s="4">
        <v>46230</v>
      </c>
      <c r="N459" s="3" t="s">
        <v>387</v>
      </c>
      <c r="O459" s="3" t="s">
        <v>34</v>
      </c>
      <c r="P459" t="str">
        <f t="shared" si="7"/>
        <v>450013283310</v>
      </c>
      <c r="Q459" s="9" cm="1">
        <f t="array" ref="Q459:S459">VLOOKUP(P459,Hoja1!C:F,{2,3,4},FALSE)</f>
        <v>46216</v>
      </c>
      <c r="R459" t="str">
        <v>EFO</v>
      </c>
      <c r="S459" t="str">
        <v>1000001470 SUDAMERICANA CAMIONES SA</v>
      </c>
    </row>
    <row r="460" spans="1:19" x14ac:dyDescent="0.3">
      <c r="A460" s="2" t="s">
        <v>14</v>
      </c>
      <c r="B460" s="3" t="s">
        <v>14</v>
      </c>
      <c r="C460" s="3" t="s">
        <v>388</v>
      </c>
      <c r="D460" s="3" t="s">
        <v>14</v>
      </c>
      <c r="E460" s="3" t="s">
        <v>107</v>
      </c>
      <c r="F460" s="4">
        <v>46227</v>
      </c>
      <c r="G460" s="3" t="s">
        <v>44</v>
      </c>
      <c r="H460" s="6">
        <v>-959838</v>
      </c>
      <c r="I460" s="3" t="s">
        <v>17</v>
      </c>
      <c r="J460" s="3" t="s">
        <v>14</v>
      </c>
      <c r="K460" s="3" t="s">
        <v>14</v>
      </c>
      <c r="L460" s="3" t="s">
        <v>389</v>
      </c>
      <c r="M460" s="4">
        <v>46230</v>
      </c>
      <c r="N460" s="3" t="s">
        <v>390</v>
      </c>
      <c r="O460" s="3" t="s">
        <v>34</v>
      </c>
      <c r="P460" t="str">
        <f t="shared" si="7"/>
        <v>450013216210</v>
      </c>
      <c r="Q460" s="9" cm="1">
        <f t="array" ref="Q460:S460">VLOOKUP(P460,Hoja1!C:F,{2,3,4},FALSE)</f>
        <v>46231</v>
      </c>
      <c r="R460" t="str">
        <v>C43</v>
      </c>
      <c r="S460" t="str">
        <v>1000003377 ROYON HNOS SRL</v>
      </c>
    </row>
    <row r="461" spans="1:19" x14ac:dyDescent="0.3">
      <c r="A461" s="2" t="s">
        <v>14</v>
      </c>
      <c r="B461" s="3" t="s">
        <v>14</v>
      </c>
      <c r="C461" s="3" t="s">
        <v>391</v>
      </c>
      <c r="D461" s="3" t="s">
        <v>14</v>
      </c>
      <c r="E461" s="3" t="s">
        <v>107</v>
      </c>
      <c r="F461" s="4">
        <v>46231</v>
      </c>
      <c r="G461" s="3" t="s">
        <v>44</v>
      </c>
      <c r="H461" s="6">
        <v>-859187.48</v>
      </c>
      <c r="I461" s="3" t="s">
        <v>17</v>
      </c>
      <c r="J461" s="3" t="s">
        <v>14</v>
      </c>
      <c r="K461" s="3" t="s">
        <v>14</v>
      </c>
      <c r="L461" s="3" t="s">
        <v>392</v>
      </c>
      <c r="M461" s="4">
        <v>46231</v>
      </c>
      <c r="N461" s="3" t="s">
        <v>393</v>
      </c>
      <c r="O461" s="3" t="s">
        <v>345</v>
      </c>
      <c r="P461" t="str">
        <f t="shared" si="7"/>
        <v>4500116389100</v>
      </c>
      <c r="Q461" s="9" cm="1">
        <f t="array" ref="Q461:S461">VLOOKUP(P461,Hoja1!C:F,{2,3,4},FALSE)</f>
        <v>46238</v>
      </c>
      <c r="R461" t="str">
        <v>C03</v>
      </c>
      <c r="S461" t="str">
        <v>2000000023 MILLENNIUM MACHINERY P&amp;S, CORP</v>
      </c>
    </row>
    <row r="462" spans="1:19" x14ac:dyDescent="0.3">
      <c r="A462" s="2" t="s">
        <v>14</v>
      </c>
      <c r="B462" s="3" t="s">
        <v>14</v>
      </c>
      <c r="C462" s="3" t="s">
        <v>394</v>
      </c>
      <c r="D462" s="3" t="s">
        <v>14</v>
      </c>
      <c r="E462" s="3" t="s">
        <v>107</v>
      </c>
      <c r="F462" s="4">
        <v>46231</v>
      </c>
      <c r="G462" s="3" t="s">
        <v>44</v>
      </c>
      <c r="H462" s="6">
        <v>-10042200</v>
      </c>
      <c r="I462" s="3" t="s">
        <v>17</v>
      </c>
      <c r="J462" s="3" t="s">
        <v>14</v>
      </c>
      <c r="K462" s="3" t="s">
        <v>14</v>
      </c>
      <c r="L462" s="3" t="s">
        <v>121</v>
      </c>
      <c r="M462" s="4">
        <v>46231</v>
      </c>
      <c r="N462" s="3" t="s">
        <v>312</v>
      </c>
      <c r="O462" s="3" t="s">
        <v>34</v>
      </c>
      <c r="P462" t="str">
        <f t="shared" si="7"/>
        <v>450012941210</v>
      </c>
      <c r="Q462" s="9" cm="1">
        <f t="array" ref="Q462:S462">VLOOKUP(P462,Hoja1!C:F,{2,3,4},FALSE)</f>
        <v>46325</v>
      </c>
      <c r="R462" t="str">
        <v>C21</v>
      </c>
      <c r="S462" t="str">
        <v>1000000634 RAIZEN ARGENTINA S.A.U.</v>
      </c>
    </row>
    <row r="463" spans="1:19" x14ac:dyDescent="0.3">
      <c r="A463" s="2" t="s">
        <v>14</v>
      </c>
      <c r="B463" s="3" t="s">
        <v>14</v>
      </c>
      <c r="C463" s="3" t="s">
        <v>394</v>
      </c>
      <c r="D463" s="3" t="s">
        <v>14</v>
      </c>
      <c r="E463" s="3" t="s">
        <v>107</v>
      </c>
      <c r="F463" s="4">
        <v>46231</v>
      </c>
      <c r="G463" s="3" t="s">
        <v>44</v>
      </c>
      <c r="H463" s="6">
        <v>-1144500</v>
      </c>
      <c r="I463" s="3" t="s">
        <v>17</v>
      </c>
      <c r="J463" s="3" t="s">
        <v>14</v>
      </c>
      <c r="K463" s="3" t="s">
        <v>14</v>
      </c>
      <c r="L463" s="3" t="s">
        <v>121</v>
      </c>
      <c r="M463" s="4">
        <v>46231</v>
      </c>
      <c r="N463" s="3" t="s">
        <v>312</v>
      </c>
      <c r="O463" s="3" t="s">
        <v>34</v>
      </c>
      <c r="P463" t="str">
        <f t="shared" si="7"/>
        <v>450012941210</v>
      </c>
      <c r="Q463" s="9" cm="1">
        <f t="array" ref="Q463:S463">VLOOKUP(P463,Hoja1!C:F,{2,3,4},FALSE)</f>
        <v>46325</v>
      </c>
      <c r="R463" t="str">
        <v>C21</v>
      </c>
      <c r="S463" t="str">
        <v>1000000634 RAIZEN ARGENTINA S.A.U.</v>
      </c>
    </row>
    <row r="464" spans="1:19" x14ac:dyDescent="0.3">
      <c r="A464" s="2" t="s">
        <v>14</v>
      </c>
      <c r="B464" s="3" t="s">
        <v>14</v>
      </c>
      <c r="C464" s="3" t="s">
        <v>395</v>
      </c>
      <c r="D464" s="3" t="s">
        <v>14</v>
      </c>
      <c r="E464" s="3" t="s">
        <v>107</v>
      </c>
      <c r="F464" s="4">
        <v>46231</v>
      </c>
      <c r="G464" s="3" t="s">
        <v>44</v>
      </c>
      <c r="H464" s="6">
        <v>-899038.92</v>
      </c>
      <c r="I464" s="3" t="s">
        <v>17</v>
      </c>
      <c r="J464" s="3" t="s">
        <v>14</v>
      </c>
      <c r="K464" s="3" t="s">
        <v>14</v>
      </c>
      <c r="L464" s="3" t="s">
        <v>19</v>
      </c>
      <c r="M464" s="4">
        <v>46233</v>
      </c>
      <c r="N464" s="3" t="s">
        <v>377</v>
      </c>
      <c r="O464" s="3" t="s">
        <v>22</v>
      </c>
      <c r="P464" t="str">
        <f t="shared" si="7"/>
        <v>450013213730</v>
      </c>
      <c r="Q464" s="9" cm="1">
        <f t="array" ref="Q464:S464">VLOOKUP(P464,Hoja1!C:F,{2,3,4},FALSE)</f>
        <v>46226</v>
      </c>
      <c r="R464" t="str">
        <v>C29</v>
      </c>
      <c r="S464" t="str">
        <v>1000001470 SUDAMERICANA CAMIONES SA</v>
      </c>
    </row>
    <row r="465" spans="1:19" x14ac:dyDescent="0.3">
      <c r="A465" s="2" t="s">
        <v>14</v>
      </c>
      <c r="B465" s="3" t="s">
        <v>14</v>
      </c>
      <c r="C465" s="3" t="s">
        <v>396</v>
      </c>
      <c r="D465" s="3" t="s">
        <v>14</v>
      </c>
      <c r="E465" s="3" t="s">
        <v>107</v>
      </c>
      <c r="F465" s="4">
        <v>46233</v>
      </c>
      <c r="G465" s="3" t="s">
        <v>44</v>
      </c>
      <c r="H465" s="6">
        <v>-10281300</v>
      </c>
      <c r="I465" s="3" t="s">
        <v>17</v>
      </c>
      <c r="J465" s="3" t="s">
        <v>14</v>
      </c>
      <c r="K465" s="3" t="s">
        <v>14</v>
      </c>
      <c r="L465" s="3" t="s">
        <v>121</v>
      </c>
      <c r="M465" s="4">
        <v>46233</v>
      </c>
      <c r="N465" s="3" t="s">
        <v>312</v>
      </c>
      <c r="O465" s="3" t="s">
        <v>34</v>
      </c>
      <c r="P465" t="str">
        <f t="shared" si="7"/>
        <v>450012941210</v>
      </c>
      <c r="Q465" s="9" cm="1">
        <f t="array" ref="Q465:S465">VLOOKUP(P465,Hoja1!C:F,{2,3,4},FALSE)</f>
        <v>46325</v>
      </c>
      <c r="R465" t="str">
        <v>C21</v>
      </c>
      <c r="S465" t="str">
        <v>1000000634 RAIZEN ARGENTINA S.A.U.</v>
      </c>
    </row>
    <row r="466" spans="1:19" x14ac:dyDescent="0.3">
      <c r="A466" s="2" t="s">
        <v>14</v>
      </c>
      <c r="B466" s="3" t="s">
        <v>14</v>
      </c>
      <c r="C466" s="3" t="s">
        <v>396</v>
      </c>
      <c r="D466" s="3" t="s">
        <v>14</v>
      </c>
      <c r="E466" s="3" t="s">
        <v>107</v>
      </c>
      <c r="F466" s="4">
        <v>46233</v>
      </c>
      <c r="G466" s="3" t="s">
        <v>44</v>
      </c>
      <c r="H466" s="6">
        <v>-1171750</v>
      </c>
      <c r="I466" s="3" t="s">
        <v>17</v>
      </c>
      <c r="J466" s="3" t="s">
        <v>14</v>
      </c>
      <c r="K466" s="3" t="s">
        <v>14</v>
      </c>
      <c r="L466" s="3" t="s">
        <v>121</v>
      </c>
      <c r="M466" s="4">
        <v>46233</v>
      </c>
      <c r="N466" s="3" t="s">
        <v>312</v>
      </c>
      <c r="O466" s="3" t="s">
        <v>34</v>
      </c>
      <c r="P466" t="str">
        <f t="shared" si="7"/>
        <v>450012941210</v>
      </c>
      <c r="Q466" s="9" cm="1">
        <f t="array" ref="Q466:S466">VLOOKUP(P466,Hoja1!C:F,{2,3,4},FALSE)</f>
        <v>46325</v>
      </c>
      <c r="R466" t="str">
        <v>C21</v>
      </c>
      <c r="S466" t="str">
        <v>1000000634 RAIZEN ARGENTINA S.A.U.</v>
      </c>
    </row>
    <row r="467" spans="1:19" x14ac:dyDescent="0.3">
      <c r="A467" s="2" t="s">
        <v>14</v>
      </c>
      <c r="B467" s="3" t="s">
        <v>14</v>
      </c>
      <c r="C467" s="3" t="s">
        <v>397</v>
      </c>
      <c r="D467" s="3" t="s">
        <v>14</v>
      </c>
      <c r="E467" s="3" t="s">
        <v>107</v>
      </c>
      <c r="F467" s="4">
        <v>46234</v>
      </c>
      <c r="G467" s="3" t="s">
        <v>44</v>
      </c>
      <c r="H467" s="6">
        <v>-10042200</v>
      </c>
      <c r="I467" s="3" t="s">
        <v>17</v>
      </c>
      <c r="J467" s="3" t="s">
        <v>14</v>
      </c>
      <c r="K467" s="3" t="s">
        <v>14</v>
      </c>
      <c r="L467" s="3" t="s">
        <v>121</v>
      </c>
      <c r="M467" s="4">
        <v>46234</v>
      </c>
      <c r="N467" s="3" t="s">
        <v>312</v>
      </c>
      <c r="O467" s="3" t="s">
        <v>34</v>
      </c>
      <c r="P467" t="str">
        <f t="shared" si="7"/>
        <v>450012941210</v>
      </c>
      <c r="Q467" s="9" cm="1">
        <f t="array" ref="Q467:S467">VLOOKUP(P467,Hoja1!C:F,{2,3,4},FALSE)</f>
        <v>46325</v>
      </c>
      <c r="R467" t="str">
        <v>C21</v>
      </c>
      <c r="S467" t="str">
        <v>1000000634 RAIZEN ARGENTINA S.A.U.</v>
      </c>
    </row>
    <row r="468" spans="1:19" x14ac:dyDescent="0.3">
      <c r="A468" s="2" t="s">
        <v>14</v>
      </c>
      <c r="B468" s="3" t="s">
        <v>14</v>
      </c>
      <c r="C468" s="3" t="s">
        <v>397</v>
      </c>
      <c r="D468" s="3" t="s">
        <v>14</v>
      </c>
      <c r="E468" s="3" t="s">
        <v>107</v>
      </c>
      <c r="F468" s="4">
        <v>46234</v>
      </c>
      <c r="G468" s="3" t="s">
        <v>44</v>
      </c>
      <c r="H468" s="6">
        <v>-1144500</v>
      </c>
      <c r="I468" s="3" t="s">
        <v>17</v>
      </c>
      <c r="J468" s="3" t="s">
        <v>14</v>
      </c>
      <c r="K468" s="3" t="s">
        <v>14</v>
      </c>
      <c r="L468" s="3" t="s">
        <v>121</v>
      </c>
      <c r="M468" s="4">
        <v>46234</v>
      </c>
      <c r="N468" s="3" t="s">
        <v>312</v>
      </c>
      <c r="O468" s="3" t="s">
        <v>34</v>
      </c>
      <c r="P468" t="str">
        <f t="shared" si="7"/>
        <v>450012941210</v>
      </c>
      <c r="Q468" s="9" cm="1">
        <f t="array" ref="Q468:S468">VLOOKUP(P468,Hoja1!C:F,{2,3,4},FALSE)</f>
        <v>46325</v>
      </c>
      <c r="R468" t="str">
        <v>C21</v>
      </c>
      <c r="S468" t="str">
        <v>1000000634 RAIZEN ARGENTINA S.A.U.</v>
      </c>
    </row>
    <row r="469" spans="1:19" x14ac:dyDescent="0.3">
      <c r="A469" s="2" t="s">
        <v>14</v>
      </c>
      <c r="B469" s="3" t="s">
        <v>14</v>
      </c>
      <c r="C469" s="3" t="s">
        <v>398</v>
      </c>
      <c r="D469" s="3" t="s">
        <v>14</v>
      </c>
      <c r="E469" s="3" t="s">
        <v>107</v>
      </c>
      <c r="F469" s="4">
        <v>46233</v>
      </c>
      <c r="G469" s="3" t="s">
        <v>44</v>
      </c>
      <c r="H469" s="6">
        <v>-595773.6</v>
      </c>
      <c r="I469" s="3" t="s">
        <v>17</v>
      </c>
      <c r="J469" s="3" t="s">
        <v>14</v>
      </c>
      <c r="K469" s="3" t="s">
        <v>14</v>
      </c>
      <c r="L469" s="3" t="s">
        <v>19</v>
      </c>
      <c r="M469" s="4">
        <v>46234</v>
      </c>
      <c r="N469" s="3" t="s">
        <v>399</v>
      </c>
      <c r="O469" s="3" t="s">
        <v>34</v>
      </c>
      <c r="P469" t="str">
        <f t="shared" si="7"/>
        <v>450013279110</v>
      </c>
      <c r="Q469" s="9" cm="1">
        <f t="array" ref="Q469:S469">VLOOKUP(P469,Hoja1!C:F,{2,3,4},FALSE)</f>
        <v>46238</v>
      </c>
      <c r="R469" t="str">
        <v>C03</v>
      </c>
      <c r="S469" t="str">
        <v>1000001470 SUDAMERICANA CAMIONES SA</v>
      </c>
    </row>
    <row r="470" spans="1:19" x14ac:dyDescent="0.3">
      <c r="A470" s="2" t="s">
        <v>14</v>
      </c>
      <c r="B470" s="3" t="s">
        <v>14</v>
      </c>
      <c r="C470" s="3" t="s">
        <v>398</v>
      </c>
      <c r="D470" s="3" t="s">
        <v>14</v>
      </c>
      <c r="E470" s="3" t="s">
        <v>107</v>
      </c>
      <c r="F470" s="4">
        <v>46233</v>
      </c>
      <c r="G470" s="3" t="s">
        <v>44</v>
      </c>
      <c r="H470" s="6">
        <v>-171354.14</v>
      </c>
      <c r="I470" s="3" t="s">
        <v>17</v>
      </c>
      <c r="J470" s="3" t="s">
        <v>14</v>
      </c>
      <c r="K470" s="3" t="s">
        <v>14</v>
      </c>
      <c r="L470" s="3" t="s">
        <v>19</v>
      </c>
      <c r="M470" s="4">
        <v>46234</v>
      </c>
      <c r="N470" s="3" t="s">
        <v>399</v>
      </c>
      <c r="O470" s="3" t="s">
        <v>21</v>
      </c>
      <c r="P470" t="str">
        <f t="shared" si="7"/>
        <v>450013279120</v>
      </c>
      <c r="Q470" s="9" cm="1">
        <f t="array" ref="Q470:S470">VLOOKUP(P470,Hoja1!C:F,{2,3,4},FALSE)</f>
        <v>46238</v>
      </c>
      <c r="R470" t="str">
        <v>C03</v>
      </c>
      <c r="S470" t="str">
        <v>1000001470 SUDAMERICANA CAMIONES SA</v>
      </c>
    </row>
    <row r="471" spans="1:19" x14ac:dyDescent="0.3">
      <c r="A471" s="2" t="s">
        <v>14</v>
      </c>
      <c r="B471" s="3" t="s">
        <v>14</v>
      </c>
      <c r="C471" s="3" t="s">
        <v>398</v>
      </c>
      <c r="D471" s="3" t="s">
        <v>14</v>
      </c>
      <c r="E471" s="3" t="s">
        <v>107</v>
      </c>
      <c r="F471" s="4">
        <v>46233</v>
      </c>
      <c r="G471" s="3" t="s">
        <v>44</v>
      </c>
      <c r="H471" s="6">
        <v>-1668121.58</v>
      </c>
      <c r="I471" s="3" t="s">
        <v>17</v>
      </c>
      <c r="J471" s="3" t="s">
        <v>14</v>
      </c>
      <c r="K471" s="3" t="s">
        <v>14</v>
      </c>
      <c r="L471" s="3" t="s">
        <v>19</v>
      </c>
      <c r="M471" s="4">
        <v>46234</v>
      </c>
      <c r="N471" s="3" t="s">
        <v>399</v>
      </c>
      <c r="O471" s="3" t="s">
        <v>22</v>
      </c>
      <c r="P471" t="str">
        <f t="shared" si="7"/>
        <v>450013279130</v>
      </c>
      <c r="Q471" s="9" cm="1">
        <f t="array" ref="Q471:S471">VLOOKUP(P471,Hoja1!C:F,{2,3,4},FALSE)</f>
        <v>46238</v>
      </c>
      <c r="R471" t="str">
        <v>C03</v>
      </c>
      <c r="S471" t="str">
        <v>1000001470 SUDAMERICANA CAMIONES SA</v>
      </c>
    </row>
    <row r="472" spans="1:19" x14ac:dyDescent="0.3">
      <c r="A472" s="2" t="s">
        <v>14</v>
      </c>
      <c r="B472" s="3" t="s">
        <v>14</v>
      </c>
      <c r="C472" s="3" t="s">
        <v>398</v>
      </c>
      <c r="D472" s="3" t="s">
        <v>14</v>
      </c>
      <c r="E472" s="3" t="s">
        <v>107</v>
      </c>
      <c r="F472" s="4">
        <v>46233</v>
      </c>
      <c r="G472" s="3" t="s">
        <v>44</v>
      </c>
      <c r="H472" s="6">
        <v>-390457.2</v>
      </c>
      <c r="I472" s="3" t="s">
        <v>17</v>
      </c>
      <c r="J472" s="3" t="s">
        <v>14</v>
      </c>
      <c r="K472" s="3" t="s">
        <v>14</v>
      </c>
      <c r="L472" s="3" t="s">
        <v>19</v>
      </c>
      <c r="M472" s="4">
        <v>46234</v>
      </c>
      <c r="N472" s="3" t="s">
        <v>399</v>
      </c>
      <c r="O472" s="3" t="s">
        <v>26</v>
      </c>
      <c r="P472" t="str">
        <f t="shared" si="7"/>
        <v>450013279140</v>
      </c>
      <c r="Q472" s="9" cm="1">
        <f t="array" ref="Q472:S472">VLOOKUP(P472,Hoja1!C:F,{2,3,4},FALSE)</f>
        <v>46238</v>
      </c>
      <c r="R472" t="str">
        <v>C03</v>
      </c>
      <c r="S472" t="str">
        <v>1000001470 SUDAMERICANA CAMIONES SA</v>
      </c>
    </row>
    <row r="473" spans="1:19" x14ac:dyDescent="0.3">
      <c r="A473" s="2" t="s">
        <v>14</v>
      </c>
      <c r="B473" s="3" t="s">
        <v>14</v>
      </c>
      <c r="C473" s="3" t="s">
        <v>398</v>
      </c>
      <c r="D473" s="3" t="s">
        <v>14</v>
      </c>
      <c r="E473" s="3" t="s">
        <v>107</v>
      </c>
      <c r="F473" s="4">
        <v>46233</v>
      </c>
      <c r="G473" s="3" t="s">
        <v>44</v>
      </c>
      <c r="H473" s="6">
        <v>-2753479.85</v>
      </c>
      <c r="I473" s="3" t="s">
        <v>17</v>
      </c>
      <c r="J473" s="3" t="s">
        <v>14</v>
      </c>
      <c r="K473" s="3" t="s">
        <v>14</v>
      </c>
      <c r="L473" s="3" t="s">
        <v>19</v>
      </c>
      <c r="M473" s="4">
        <v>46234</v>
      </c>
      <c r="N473" s="3" t="s">
        <v>399</v>
      </c>
      <c r="O473" s="3" t="s">
        <v>23</v>
      </c>
      <c r="P473" t="str">
        <f t="shared" si="7"/>
        <v>450013279150</v>
      </c>
      <c r="Q473" s="9" cm="1">
        <f t="array" ref="Q473:S473">VLOOKUP(P473,Hoja1!C:F,{2,3,4},FALSE)</f>
        <v>46238</v>
      </c>
      <c r="R473" t="str">
        <v>C03</v>
      </c>
      <c r="S473" t="str">
        <v>1000001470 SUDAMERICANA CAMIONES SA</v>
      </c>
    </row>
    <row r="474" spans="1:19" x14ac:dyDescent="0.3">
      <c r="A474" s="2" t="s">
        <v>14</v>
      </c>
      <c r="B474" s="3" t="s">
        <v>14</v>
      </c>
      <c r="C474" s="3" t="s">
        <v>398</v>
      </c>
      <c r="D474" s="3" t="s">
        <v>14</v>
      </c>
      <c r="E474" s="3" t="s">
        <v>107</v>
      </c>
      <c r="F474" s="4">
        <v>46233</v>
      </c>
      <c r="G474" s="3" t="s">
        <v>44</v>
      </c>
      <c r="H474" s="6">
        <v>-201444.47</v>
      </c>
      <c r="I474" s="3" t="s">
        <v>17</v>
      </c>
      <c r="J474" s="3" t="s">
        <v>14</v>
      </c>
      <c r="K474" s="3" t="s">
        <v>14</v>
      </c>
      <c r="L474" s="3" t="s">
        <v>19</v>
      </c>
      <c r="M474" s="4">
        <v>46234</v>
      </c>
      <c r="N474" s="3" t="s">
        <v>399</v>
      </c>
      <c r="O474" s="3" t="s">
        <v>24</v>
      </c>
      <c r="P474" t="str">
        <f t="shared" si="7"/>
        <v>450013279160</v>
      </c>
      <c r="Q474" s="9" cm="1">
        <f t="array" ref="Q474:S474">VLOOKUP(P474,Hoja1!C:F,{2,3,4},FALSE)</f>
        <v>46238</v>
      </c>
      <c r="R474" t="str">
        <v>C03</v>
      </c>
      <c r="S474" t="str">
        <v>1000001470 SUDAMERICANA CAMIONES SA</v>
      </c>
    </row>
    <row r="475" spans="1:19" x14ac:dyDescent="0.3">
      <c r="A475" s="2" t="s">
        <v>14</v>
      </c>
      <c r="B475" s="3" t="s">
        <v>14</v>
      </c>
      <c r="C475" s="3" t="s">
        <v>398</v>
      </c>
      <c r="D475" s="3" t="s">
        <v>14</v>
      </c>
      <c r="E475" s="3" t="s">
        <v>107</v>
      </c>
      <c r="F475" s="4">
        <v>46233</v>
      </c>
      <c r="G475" s="3" t="s">
        <v>44</v>
      </c>
      <c r="H475" s="6">
        <v>-104126.87</v>
      </c>
      <c r="I475" s="3" t="s">
        <v>17</v>
      </c>
      <c r="J475" s="3" t="s">
        <v>14</v>
      </c>
      <c r="K475" s="3" t="s">
        <v>14</v>
      </c>
      <c r="L475" s="3" t="s">
        <v>19</v>
      </c>
      <c r="M475" s="4">
        <v>46234</v>
      </c>
      <c r="N475" s="3" t="s">
        <v>399</v>
      </c>
      <c r="O475" s="3" t="s">
        <v>25</v>
      </c>
      <c r="P475" t="str">
        <f t="shared" si="7"/>
        <v>450013279170</v>
      </c>
      <c r="Q475" s="9" cm="1">
        <f t="array" ref="Q475:S475">VLOOKUP(P475,Hoja1!C:F,{2,3,4},FALSE)</f>
        <v>46238</v>
      </c>
      <c r="R475" t="str">
        <v>C03</v>
      </c>
      <c r="S475" t="str">
        <v>1000001470 SUDAMERICANA CAMIONES SA</v>
      </c>
    </row>
    <row r="476" spans="1:19" x14ac:dyDescent="0.3">
      <c r="A476" s="2" t="s">
        <v>14</v>
      </c>
      <c r="B476" s="3" t="s">
        <v>14</v>
      </c>
      <c r="C476" s="3" t="s">
        <v>398</v>
      </c>
      <c r="D476" s="3" t="s">
        <v>14</v>
      </c>
      <c r="E476" s="3" t="s">
        <v>107</v>
      </c>
      <c r="F476" s="4">
        <v>46233</v>
      </c>
      <c r="G476" s="3" t="s">
        <v>44</v>
      </c>
      <c r="H476" s="6">
        <v>-919799.67</v>
      </c>
      <c r="I476" s="3" t="s">
        <v>17</v>
      </c>
      <c r="J476" s="3" t="s">
        <v>14</v>
      </c>
      <c r="K476" s="3" t="s">
        <v>14</v>
      </c>
      <c r="L476" s="3" t="s">
        <v>19</v>
      </c>
      <c r="M476" s="4">
        <v>46234</v>
      </c>
      <c r="N476" s="3" t="s">
        <v>399</v>
      </c>
      <c r="O476" s="3" t="s">
        <v>343</v>
      </c>
      <c r="P476" t="str">
        <f t="shared" si="7"/>
        <v>450013279180</v>
      </c>
      <c r="Q476" s="9" cm="1">
        <f t="array" ref="Q476:S476">VLOOKUP(P476,Hoja1!C:F,{2,3,4},FALSE)</f>
        <v>46238</v>
      </c>
      <c r="R476" t="str">
        <v>C03</v>
      </c>
      <c r="S476" t="str">
        <v>1000001470 SUDAMERICANA CAMIONES SA</v>
      </c>
    </row>
    <row r="477" spans="1:19" x14ac:dyDescent="0.3">
      <c r="A477" s="2" t="s">
        <v>14</v>
      </c>
      <c r="B477" s="3" t="s">
        <v>14</v>
      </c>
      <c r="C477" s="3" t="s">
        <v>398</v>
      </c>
      <c r="D477" s="3" t="s">
        <v>14</v>
      </c>
      <c r="E477" s="3" t="s">
        <v>107</v>
      </c>
      <c r="F477" s="4">
        <v>46233</v>
      </c>
      <c r="G477" s="3" t="s">
        <v>44</v>
      </c>
      <c r="H477" s="6">
        <v>-216872.87</v>
      </c>
      <c r="I477" s="3" t="s">
        <v>17</v>
      </c>
      <c r="J477" s="3" t="s">
        <v>14</v>
      </c>
      <c r="K477" s="3" t="s">
        <v>14</v>
      </c>
      <c r="L477" s="3" t="s">
        <v>19</v>
      </c>
      <c r="M477" s="4">
        <v>46234</v>
      </c>
      <c r="N477" s="3" t="s">
        <v>399</v>
      </c>
      <c r="O477" s="3" t="s">
        <v>193</v>
      </c>
      <c r="P477" t="str">
        <f t="shared" si="7"/>
        <v>4500132791110</v>
      </c>
      <c r="Q477" s="9" cm="1">
        <f t="array" ref="Q477:S477">VLOOKUP(P477,Hoja1!C:F,{2,3,4},FALSE)</f>
        <v>46266</v>
      </c>
      <c r="R477" t="str">
        <v>C03</v>
      </c>
      <c r="S477" t="str">
        <v>1000001470 SUDAMERICANA CAMIONES SA</v>
      </c>
    </row>
    <row r="478" spans="1:19" x14ac:dyDescent="0.3">
      <c r="A478" s="2" t="s">
        <v>14</v>
      </c>
      <c r="B478" s="3" t="s">
        <v>14</v>
      </c>
      <c r="C478" s="3" t="s">
        <v>398</v>
      </c>
      <c r="D478" s="3" t="s">
        <v>14</v>
      </c>
      <c r="E478" s="3" t="s">
        <v>107</v>
      </c>
      <c r="F478" s="4">
        <v>46233</v>
      </c>
      <c r="G478" s="3" t="s">
        <v>44</v>
      </c>
      <c r="H478" s="6">
        <v>-214914.65</v>
      </c>
      <c r="I478" s="3" t="s">
        <v>17</v>
      </c>
      <c r="J478" s="3" t="s">
        <v>14</v>
      </c>
      <c r="K478" s="3" t="s">
        <v>14</v>
      </c>
      <c r="L478" s="3" t="s">
        <v>19</v>
      </c>
      <c r="M478" s="4">
        <v>46234</v>
      </c>
      <c r="N478" s="3" t="s">
        <v>399</v>
      </c>
      <c r="O478" s="3" t="s">
        <v>400</v>
      </c>
      <c r="P478" t="str">
        <f t="shared" si="7"/>
        <v>4500132791120</v>
      </c>
      <c r="Q478" s="9" cm="1">
        <f t="array" ref="Q478:S478">VLOOKUP(P478,Hoja1!C:F,{2,3,4},FALSE)</f>
        <v>46315</v>
      </c>
      <c r="R478" t="str">
        <v>C03</v>
      </c>
      <c r="S478" t="str">
        <v>1000001470 SUDAMERICANA CAMIONES SA</v>
      </c>
    </row>
    <row r="479" spans="1:19" x14ac:dyDescent="0.3">
      <c r="A479" s="2" t="s">
        <v>14</v>
      </c>
      <c r="B479" s="3" t="s">
        <v>14</v>
      </c>
      <c r="C479" s="3" t="s">
        <v>398</v>
      </c>
      <c r="D479" s="3" t="s">
        <v>14</v>
      </c>
      <c r="E479" s="3" t="s">
        <v>107</v>
      </c>
      <c r="F479" s="4">
        <v>46233</v>
      </c>
      <c r="G479" s="3" t="s">
        <v>44</v>
      </c>
      <c r="H479" s="6">
        <v>-128441.43</v>
      </c>
      <c r="I479" s="3" t="s">
        <v>17</v>
      </c>
      <c r="J479" s="3" t="s">
        <v>14</v>
      </c>
      <c r="K479" s="3" t="s">
        <v>14</v>
      </c>
      <c r="L479" s="3" t="s">
        <v>19</v>
      </c>
      <c r="M479" s="4">
        <v>46234</v>
      </c>
      <c r="N479" s="3" t="s">
        <v>399</v>
      </c>
      <c r="O479" s="3" t="s">
        <v>221</v>
      </c>
      <c r="P479" t="str">
        <f t="shared" si="7"/>
        <v>4500132791130</v>
      </c>
      <c r="Q479" s="9" cm="1">
        <f t="array" ref="Q479:S479">VLOOKUP(P479,Hoja1!C:F,{2,3,4},FALSE)</f>
        <v>46238</v>
      </c>
      <c r="R479" t="str">
        <v>C03</v>
      </c>
      <c r="S479" t="str">
        <v>1000001470 SUDAMERICANA CAMIONES SA</v>
      </c>
    </row>
    <row r="480" spans="1:19" x14ac:dyDescent="0.3">
      <c r="A480" s="2" t="s">
        <v>14</v>
      </c>
      <c r="B480" s="3" t="s">
        <v>14</v>
      </c>
      <c r="C480" s="3" t="s">
        <v>398</v>
      </c>
      <c r="D480" s="3" t="s">
        <v>14</v>
      </c>
      <c r="E480" s="3" t="s">
        <v>107</v>
      </c>
      <c r="F480" s="4">
        <v>46233</v>
      </c>
      <c r="G480" s="3" t="s">
        <v>44</v>
      </c>
      <c r="H480" s="6">
        <v>-931326.47</v>
      </c>
      <c r="I480" s="3" t="s">
        <v>17</v>
      </c>
      <c r="J480" s="3" t="s">
        <v>14</v>
      </c>
      <c r="K480" s="3" t="s">
        <v>14</v>
      </c>
      <c r="L480" s="3" t="s">
        <v>19</v>
      </c>
      <c r="M480" s="4">
        <v>46234</v>
      </c>
      <c r="N480" s="3" t="s">
        <v>399</v>
      </c>
      <c r="O480" s="3" t="s">
        <v>401</v>
      </c>
      <c r="P480" t="str">
        <f t="shared" si="7"/>
        <v>4500132791140</v>
      </c>
      <c r="Q480" s="9" cm="1">
        <f t="array" ref="Q480:S480">VLOOKUP(P480,Hoja1!C:F,{2,3,4},FALSE)</f>
        <v>46238</v>
      </c>
      <c r="R480" t="str">
        <v>C03</v>
      </c>
      <c r="S480" t="str">
        <v>1000001470 SUDAMERICANA CAMIONES SA</v>
      </c>
    </row>
    <row r="481" spans="1:19" x14ac:dyDescent="0.3">
      <c r="A481" s="2" t="s">
        <v>14</v>
      </c>
      <c r="B481" s="3" t="s">
        <v>14</v>
      </c>
      <c r="C481" s="3" t="s">
        <v>398</v>
      </c>
      <c r="D481" s="3" t="s">
        <v>14</v>
      </c>
      <c r="E481" s="3" t="s">
        <v>107</v>
      </c>
      <c r="F481" s="4">
        <v>46233</v>
      </c>
      <c r="G481" s="3" t="s">
        <v>44</v>
      </c>
      <c r="H481" s="6">
        <v>-681327.05</v>
      </c>
      <c r="I481" s="3" t="s">
        <v>17</v>
      </c>
      <c r="J481" s="3" t="s">
        <v>14</v>
      </c>
      <c r="K481" s="3" t="s">
        <v>14</v>
      </c>
      <c r="L481" s="3" t="s">
        <v>19</v>
      </c>
      <c r="M481" s="4">
        <v>46234</v>
      </c>
      <c r="N481" s="3" t="s">
        <v>399</v>
      </c>
      <c r="O481" s="3" t="s">
        <v>402</v>
      </c>
      <c r="P481" t="str">
        <f t="shared" si="7"/>
        <v>4500132791150</v>
      </c>
      <c r="Q481" s="9" cm="1">
        <f t="array" ref="Q481:S481">VLOOKUP(P481,Hoja1!C:F,{2,3,4},FALSE)</f>
        <v>46238</v>
      </c>
      <c r="R481" t="str">
        <v>C03</v>
      </c>
      <c r="S481" t="str">
        <v>1000001470 SUDAMERICANA CAMIONES SA</v>
      </c>
    </row>
    <row r="482" spans="1:19" x14ac:dyDescent="0.3">
      <c r="A482" s="2" t="s">
        <v>14</v>
      </c>
      <c r="B482" s="3" t="s">
        <v>14</v>
      </c>
      <c r="C482" s="3" t="s">
        <v>398</v>
      </c>
      <c r="D482" s="3" t="s">
        <v>14</v>
      </c>
      <c r="E482" s="3" t="s">
        <v>107</v>
      </c>
      <c r="F482" s="4">
        <v>46233</v>
      </c>
      <c r="G482" s="3" t="s">
        <v>44</v>
      </c>
      <c r="H482" s="6">
        <v>-420216.21</v>
      </c>
      <c r="I482" s="3" t="s">
        <v>17</v>
      </c>
      <c r="J482" s="3" t="s">
        <v>14</v>
      </c>
      <c r="K482" s="3" t="s">
        <v>14</v>
      </c>
      <c r="L482" s="3" t="s">
        <v>19</v>
      </c>
      <c r="M482" s="4">
        <v>46234</v>
      </c>
      <c r="N482" s="3" t="s">
        <v>399</v>
      </c>
      <c r="O482" s="3" t="s">
        <v>403</v>
      </c>
      <c r="P482" t="str">
        <f t="shared" si="7"/>
        <v>4500132791160</v>
      </c>
      <c r="Q482" s="9" cm="1">
        <f t="array" ref="Q482:S482">VLOOKUP(P482,Hoja1!C:F,{2,3,4},FALSE)</f>
        <v>46238</v>
      </c>
      <c r="R482" t="str">
        <v>C03</v>
      </c>
      <c r="S482" t="str">
        <v>1000001470 SUDAMERICANA CAMIONES SA</v>
      </c>
    </row>
    <row r="483" spans="1:19" x14ac:dyDescent="0.3">
      <c r="A483" s="2" t="s">
        <v>14</v>
      </c>
      <c r="B483" s="3" t="s">
        <v>14</v>
      </c>
      <c r="C483" s="3" t="s">
        <v>398</v>
      </c>
      <c r="D483" s="3" t="s">
        <v>14</v>
      </c>
      <c r="E483" s="3" t="s">
        <v>107</v>
      </c>
      <c r="F483" s="4">
        <v>46233</v>
      </c>
      <c r="G483" s="3" t="s">
        <v>44</v>
      </c>
      <c r="H483" s="6">
        <v>-1062972.26</v>
      </c>
      <c r="I483" s="3" t="s">
        <v>17</v>
      </c>
      <c r="J483" s="3" t="s">
        <v>14</v>
      </c>
      <c r="K483" s="3" t="s">
        <v>14</v>
      </c>
      <c r="L483" s="3" t="s">
        <v>19</v>
      </c>
      <c r="M483" s="4">
        <v>46234</v>
      </c>
      <c r="N483" s="3" t="s">
        <v>399</v>
      </c>
      <c r="O483" s="3" t="s">
        <v>346</v>
      </c>
      <c r="P483" t="str">
        <f t="shared" si="7"/>
        <v>4500132791170</v>
      </c>
      <c r="Q483" s="9" cm="1">
        <f t="array" ref="Q483:S483">VLOOKUP(P483,Hoja1!C:F,{2,3,4},FALSE)</f>
        <v>46238</v>
      </c>
      <c r="R483" t="str">
        <v>C03</v>
      </c>
      <c r="S483" t="str">
        <v>1000001470 SUDAMERICANA CAMIONES SA</v>
      </c>
    </row>
    <row r="484" spans="1:19" x14ac:dyDescent="0.3">
      <c r="A484" s="2" t="s">
        <v>14</v>
      </c>
      <c r="B484" s="3" t="s">
        <v>14</v>
      </c>
      <c r="C484" s="3" t="s">
        <v>398</v>
      </c>
      <c r="D484" s="3" t="s">
        <v>14</v>
      </c>
      <c r="E484" s="3" t="s">
        <v>107</v>
      </c>
      <c r="F484" s="4">
        <v>46233</v>
      </c>
      <c r="G484" s="3" t="s">
        <v>44</v>
      </c>
      <c r="H484" s="6">
        <v>-1172232.03</v>
      </c>
      <c r="I484" s="3" t="s">
        <v>17</v>
      </c>
      <c r="J484" s="3" t="s">
        <v>14</v>
      </c>
      <c r="K484" s="3" t="s">
        <v>14</v>
      </c>
      <c r="L484" s="3" t="s">
        <v>19</v>
      </c>
      <c r="M484" s="4">
        <v>46234</v>
      </c>
      <c r="N484" s="3" t="s">
        <v>399</v>
      </c>
      <c r="O484" s="3" t="s">
        <v>347</v>
      </c>
      <c r="P484" t="str">
        <f t="shared" si="7"/>
        <v>4500132791180</v>
      </c>
      <c r="Q484" s="9" cm="1">
        <f t="array" ref="Q484:S484">VLOOKUP(P484,Hoja1!C:F,{2,3,4},FALSE)</f>
        <v>46238</v>
      </c>
      <c r="R484" t="str">
        <v>C03</v>
      </c>
      <c r="S484" t="str">
        <v>1000001470 SUDAMERICANA CAMIONES SA</v>
      </c>
    </row>
    <row r="485" spans="1:19" x14ac:dyDescent="0.3">
      <c r="A485" s="2" t="s">
        <v>14</v>
      </c>
      <c r="B485" s="3" t="s">
        <v>14</v>
      </c>
      <c r="C485" s="3" t="s">
        <v>398</v>
      </c>
      <c r="D485" s="3" t="s">
        <v>14</v>
      </c>
      <c r="E485" s="3" t="s">
        <v>107</v>
      </c>
      <c r="F485" s="4">
        <v>46233</v>
      </c>
      <c r="G485" s="3" t="s">
        <v>44</v>
      </c>
      <c r="H485" s="6">
        <v>-16526.189999999999</v>
      </c>
      <c r="I485" s="3" t="s">
        <v>17</v>
      </c>
      <c r="J485" s="3" t="s">
        <v>14</v>
      </c>
      <c r="K485" s="3" t="s">
        <v>14</v>
      </c>
      <c r="L485" s="3" t="s">
        <v>19</v>
      </c>
      <c r="M485" s="4">
        <v>46234</v>
      </c>
      <c r="N485" s="3" t="s">
        <v>399</v>
      </c>
      <c r="O485" s="3" t="s">
        <v>404</v>
      </c>
      <c r="P485" t="str">
        <f t="shared" si="7"/>
        <v>4500132791190</v>
      </c>
      <c r="Q485" s="9" cm="1">
        <f t="array" ref="Q485:S485">VLOOKUP(P485,Hoja1!C:F,{2,3,4},FALSE)</f>
        <v>46238</v>
      </c>
      <c r="R485" t="str">
        <v>C03</v>
      </c>
      <c r="S485" t="str">
        <v>1000001470 SUDAMERICANA CAMIONES SA</v>
      </c>
    </row>
    <row r="486" spans="1:19" x14ac:dyDescent="0.3">
      <c r="A486" s="2" t="s">
        <v>14</v>
      </c>
      <c r="B486" s="3" t="s">
        <v>14</v>
      </c>
      <c r="C486" s="3" t="s">
        <v>398</v>
      </c>
      <c r="D486" s="3" t="s">
        <v>14</v>
      </c>
      <c r="E486" s="3" t="s">
        <v>107</v>
      </c>
      <c r="F486" s="4">
        <v>46233</v>
      </c>
      <c r="G486" s="3" t="s">
        <v>44</v>
      </c>
      <c r="H486" s="6">
        <v>-43451.72</v>
      </c>
      <c r="I486" s="3" t="s">
        <v>17</v>
      </c>
      <c r="J486" s="3" t="s">
        <v>14</v>
      </c>
      <c r="K486" s="3" t="s">
        <v>14</v>
      </c>
      <c r="L486" s="3" t="s">
        <v>19</v>
      </c>
      <c r="M486" s="4">
        <v>46234</v>
      </c>
      <c r="N486" s="3" t="s">
        <v>399</v>
      </c>
      <c r="O486" s="3" t="s">
        <v>405</v>
      </c>
      <c r="P486" t="str">
        <f t="shared" si="7"/>
        <v>4500132791200</v>
      </c>
      <c r="Q486" s="9" cm="1">
        <f t="array" ref="Q486:S486">VLOOKUP(P486,Hoja1!C:F,{2,3,4},FALSE)</f>
        <v>46238</v>
      </c>
      <c r="R486" t="str">
        <v>C03</v>
      </c>
      <c r="S486" t="str">
        <v>1000001470 SUDAMERICANA CAMIONES SA</v>
      </c>
    </row>
    <row r="487" spans="1:19" x14ac:dyDescent="0.3">
      <c r="A487" s="2" t="s">
        <v>14</v>
      </c>
      <c r="B487" s="3" t="s">
        <v>14</v>
      </c>
      <c r="C487" s="3" t="s">
        <v>398</v>
      </c>
      <c r="D487" s="3" t="s">
        <v>14</v>
      </c>
      <c r="E487" s="3" t="s">
        <v>107</v>
      </c>
      <c r="F487" s="4">
        <v>46233</v>
      </c>
      <c r="G487" s="3" t="s">
        <v>44</v>
      </c>
      <c r="H487" s="6">
        <v>-13544.36</v>
      </c>
      <c r="I487" s="3" t="s">
        <v>17</v>
      </c>
      <c r="J487" s="3" t="s">
        <v>14</v>
      </c>
      <c r="K487" s="3" t="s">
        <v>14</v>
      </c>
      <c r="L487" s="3" t="s">
        <v>19</v>
      </c>
      <c r="M487" s="4">
        <v>46234</v>
      </c>
      <c r="N487" s="3" t="s">
        <v>399</v>
      </c>
      <c r="O487" s="3" t="s">
        <v>348</v>
      </c>
      <c r="P487" t="str">
        <f t="shared" si="7"/>
        <v>4500132791210</v>
      </c>
      <c r="Q487" s="9" cm="1">
        <f t="array" ref="Q487:S487">VLOOKUP(P487,Hoja1!C:F,{2,3,4},FALSE)</f>
        <v>46238</v>
      </c>
      <c r="R487" t="str">
        <v>C03</v>
      </c>
      <c r="S487" t="str">
        <v>1000001470 SUDAMERICANA CAMIONES SA</v>
      </c>
    </row>
    <row r="488" spans="1:19" x14ac:dyDescent="0.3">
      <c r="A488" s="2" t="s">
        <v>14</v>
      </c>
      <c r="B488" s="3" t="s">
        <v>14</v>
      </c>
      <c r="C488" s="3" t="s">
        <v>406</v>
      </c>
      <c r="D488" s="3" t="s">
        <v>14</v>
      </c>
      <c r="E488" s="3" t="s">
        <v>107</v>
      </c>
      <c r="F488" s="4">
        <v>46233</v>
      </c>
      <c r="G488" s="3" t="s">
        <v>44</v>
      </c>
      <c r="H488" s="6">
        <v>-677573.04</v>
      </c>
      <c r="I488" s="3" t="s">
        <v>17</v>
      </c>
      <c r="J488" s="3" t="s">
        <v>14</v>
      </c>
      <c r="K488" s="3" t="s">
        <v>14</v>
      </c>
      <c r="L488" s="3" t="s">
        <v>19</v>
      </c>
      <c r="M488" s="4">
        <v>46237</v>
      </c>
      <c r="N488" s="3" t="s">
        <v>399</v>
      </c>
      <c r="O488" s="3" t="s">
        <v>344</v>
      </c>
      <c r="P488" t="str">
        <f t="shared" si="7"/>
        <v>450013279190</v>
      </c>
      <c r="Q488" s="9" cm="1">
        <f t="array" ref="Q488:S488">VLOOKUP(P488,Hoja1!C:F,{2,3,4},FALSE)</f>
        <v>46266</v>
      </c>
      <c r="R488" t="str">
        <v>C03</v>
      </c>
      <c r="S488" t="str">
        <v>1000001470 SUDAMERICANA CAMIONES SA</v>
      </c>
    </row>
    <row r="489" spans="1:19" x14ac:dyDescent="0.3">
      <c r="A489" s="2" t="s">
        <v>14</v>
      </c>
      <c r="B489" s="3" t="s">
        <v>14</v>
      </c>
      <c r="C489" s="3" t="s">
        <v>407</v>
      </c>
      <c r="D489" s="3" t="s">
        <v>14</v>
      </c>
      <c r="E489" s="3" t="s">
        <v>107</v>
      </c>
      <c r="F489" s="4">
        <v>46238</v>
      </c>
      <c r="G489" s="3" t="s">
        <v>44</v>
      </c>
      <c r="H489" s="6">
        <v>-761794</v>
      </c>
      <c r="I489" s="3" t="s">
        <v>17</v>
      </c>
      <c r="J489" s="3" t="s">
        <v>14</v>
      </c>
      <c r="K489" s="3" t="s">
        <v>14</v>
      </c>
      <c r="L489" s="3" t="s">
        <v>108</v>
      </c>
      <c r="M489" s="4">
        <v>46238</v>
      </c>
      <c r="N489" s="3" t="s">
        <v>375</v>
      </c>
      <c r="O489" s="3" t="s">
        <v>34</v>
      </c>
      <c r="P489" t="str">
        <f t="shared" si="7"/>
        <v>450013040410</v>
      </c>
      <c r="Q489" s="9" cm="1">
        <f t="array" ref="Q489:S489">VLOOKUP(P489,Hoja1!C:F,{2,3,4},FALSE)</f>
        <v>46296</v>
      </c>
      <c r="R489" t="str">
        <v>C21</v>
      </c>
      <c r="S489" t="str">
        <v>1000001020 COMBUSTIBLES BARCELO S.R.L.</v>
      </c>
    </row>
    <row r="490" spans="1:19" x14ac:dyDescent="0.3">
      <c r="A490" s="2" t="s">
        <v>14</v>
      </c>
      <c r="B490" s="3" t="s">
        <v>14</v>
      </c>
      <c r="C490" s="3" t="s">
        <v>407</v>
      </c>
      <c r="D490" s="3" t="s">
        <v>14</v>
      </c>
      <c r="E490" s="3" t="s">
        <v>107</v>
      </c>
      <c r="F490" s="4">
        <v>46238</v>
      </c>
      <c r="G490" s="3" t="s">
        <v>44</v>
      </c>
      <c r="H490" s="6">
        <v>-86831</v>
      </c>
      <c r="I490" s="3" t="s">
        <v>17</v>
      </c>
      <c r="J490" s="3" t="s">
        <v>14</v>
      </c>
      <c r="K490" s="3" t="s">
        <v>14</v>
      </c>
      <c r="L490" s="3" t="s">
        <v>108</v>
      </c>
      <c r="M490" s="4">
        <v>46238</v>
      </c>
      <c r="N490" s="3" t="s">
        <v>375</v>
      </c>
      <c r="O490" s="3" t="s">
        <v>34</v>
      </c>
      <c r="P490" t="str">
        <f t="shared" si="7"/>
        <v>450013040410</v>
      </c>
      <c r="Q490" s="9" cm="1">
        <f t="array" ref="Q490:S490">VLOOKUP(P490,Hoja1!C:F,{2,3,4},FALSE)</f>
        <v>46296</v>
      </c>
      <c r="R490" t="str">
        <v>C21</v>
      </c>
      <c r="S490" t="str">
        <v>1000001020 COMBUSTIBLES BARCELO S.R.L.</v>
      </c>
    </row>
    <row r="491" spans="1:19" x14ac:dyDescent="0.3">
      <c r="A491" s="2" t="s">
        <v>14</v>
      </c>
      <c r="B491" s="3" t="s">
        <v>14</v>
      </c>
      <c r="C491" s="3" t="s">
        <v>408</v>
      </c>
      <c r="D491" s="3" t="s">
        <v>14</v>
      </c>
      <c r="E491" s="3" t="s">
        <v>107</v>
      </c>
      <c r="F491" s="4">
        <v>46238</v>
      </c>
      <c r="G491" s="3" t="s">
        <v>44</v>
      </c>
      <c r="H491" s="6">
        <v>-2202135</v>
      </c>
      <c r="I491" s="3" t="s">
        <v>17</v>
      </c>
      <c r="J491" s="3" t="s">
        <v>14</v>
      </c>
      <c r="K491" s="3" t="s">
        <v>14</v>
      </c>
      <c r="L491" s="3" t="s">
        <v>47</v>
      </c>
      <c r="M491" s="4">
        <v>46238</v>
      </c>
      <c r="N491" s="3" t="s">
        <v>76</v>
      </c>
      <c r="O491" s="3" t="s">
        <v>34</v>
      </c>
      <c r="P491" t="str">
        <f t="shared" si="7"/>
        <v>450013335210</v>
      </c>
      <c r="Q491" s="9" cm="1">
        <f t="array" ref="Q491:S491">VLOOKUP(P491,Hoja1!C:F,{2,3,4},FALSE)</f>
        <v>46240</v>
      </c>
      <c r="R491" t="str">
        <v>C43</v>
      </c>
      <c r="S491" t="str">
        <v>1000001841 AONA SA</v>
      </c>
    </row>
    <row r="492" spans="1:19" x14ac:dyDescent="0.3">
      <c r="A492" s="2" t="s">
        <v>14</v>
      </c>
      <c r="B492" s="3" t="s">
        <v>14</v>
      </c>
      <c r="C492" s="3" t="s">
        <v>409</v>
      </c>
      <c r="D492" s="3" t="s">
        <v>14</v>
      </c>
      <c r="E492" s="3" t="s">
        <v>107</v>
      </c>
      <c r="F492" s="4">
        <v>46238</v>
      </c>
      <c r="G492" s="3" t="s">
        <v>44</v>
      </c>
      <c r="H492" s="6">
        <v>-2202135</v>
      </c>
      <c r="I492" s="3" t="s">
        <v>17</v>
      </c>
      <c r="J492" s="3" t="s">
        <v>14</v>
      </c>
      <c r="K492" s="3" t="s">
        <v>14</v>
      </c>
      <c r="L492" s="3" t="s">
        <v>47</v>
      </c>
      <c r="M492" s="4">
        <v>46238</v>
      </c>
      <c r="N492" s="3" t="s">
        <v>77</v>
      </c>
      <c r="O492" s="3" t="s">
        <v>34</v>
      </c>
      <c r="P492" t="str">
        <f t="shared" si="7"/>
        <v>450013335310</v>
      </c>
      <c r="Q492" s="9" cm="1">
        <f t="array" ref="Q492:S492">VLOOKUP(P492,Hoja1!C:F,{2,3,4},FALSE)</f>
        <v>46240</v>
      </c>
      <c r="R492" t="str">
        <v>C43</v>
      </c>
      <c r="S492" t="str">
        <v>1000001841 AONA SA</v>
      </c>
    </row>
    <row r="493" spans="1:19" x14ac:dyDescent="0.3">
      <c r="A493" s="2" t="s">
        <v>14</v>
      </c>
      <c r="B493" s="3" t="s">
        <v>14</v>
      </c>
      <c r="C493" s="3" t="s">
        <v>410</v>
      </c>
      <c r="D493" s="3" t="s">
        <v>14</v>
      </c>
      <c r="E493" s="3" t="s">
        <v>107</v>
      </c>
      <c r="F493" s="4">
        <v>46238</v>
      </c>
      <c r="G493" s="3" t="s">
        <v>44</v>
      </c>
      <c r="H493" s="6">
        <v>-2202135</v>
      </c>
      <c r="I493" s="3" t="s">
        <v>17</v>
      </c>
      <c r="J493" s="3" t="s">
        <v>14</v>
      </c>
      <c r="K493" s="3" t="s">
        <v>14</v>
      </c>
      <c r="L493" s="3" t="s">
        <v>47</v>
      </c>
      <c r="M493" s="4">
        <v>46238</v>
      </c>
      <c r="N493" s="3" t="s">
        <v>78</v>
      </c>
      <c r="O493" s="3" t="s">
        <v>34</v>
      </c>
      <c r="P493" t="str">
        <f t="shared" si="7"/>
        <v>450013335410</v>
      </c>
      <c r="Q493" s="9" cm="1">
        <f t="array" ref="Q493:S493">VLOOKUP(P493,Hoja1!C:F,{2,3,4},FALSE)</f>
        <v>46240</v>
      </c>
      <c r="R493" t="str">
        <v>C43</v>
      </c>
      <c r="S493" t="str">
        <v>1000001841 AONA SA</v>
      </c>
    </row>
    <row r="494" spans="1:19" x14ac:dyDescent="0.3">
      <c r="A494" s="2" t="s">
        <v>14</v>
      </c>
      <c r="B494" s="3" t="s">
        <v>14</v>
      </c>
      <c r="C494" s="3" t="s">
        <v>411</v>
      </c>
      <c r="D494" s="3" t="s">
        <v>14</v>
      </c>
      <c r="E494" s="3" t="s">
        <v>107</v>
      </c>
      <c r="F494" s="4">
        <v>46237</v>
      </c>
      <c r="G494" s="3" t="s">
        <v>44</v>
      </c>
      <c r="H494" s="6">
        <v>-214761.09</v>
      </c>
      <c r="I494" s="3" t="s">
        <v>17</v>
      </c>
      <c r="J494" s="3" t="s">
        <v>14</v>
      </c>
      <c r="K494" s="3" t="s">
        <v>14</v>
      </c>
      <c r="L494" s="3" t="s">
        <v>89</v>
      </c>
      <c r="M494" s="4">
        <v>46239</v>
      </c>
      <c r="N494" s="3" t="s">
        <v>90</v>
      </c>
      <c r="O494" s="3" t="s">
        <v>34</v>
      </c>
      <c r="P494" t="str">
        <f t="shared" si="7"/>
        <v>450013335110</v>
      </c>
      <c r="Q494" s="9" cm="1">
        <f t="array" ref="Q494:S494">VLOOKUP(P494,Hoja1!C:F,{2,3,4},FALSE)</f>
        <v>46245</v>
      </c>
      <c r="R494" t="str">
        <v>C28</v>
      </c>
      <c r="S494" t="str">
        <v>1000001028 SOSTEN S.A.</v>
      </c>
    </row>
    <row r="495" spans="1:19" x14ac:dyDescent="0.3">
      <c r="A495" s="2" t="s">
        <v>14</v>
      </c>
      <c r="B495" s="3" t="s">
        <v>14</v>
      </c>
      <c r="C495" s="3" t="s">
        <v>412</v>
      </c>
      <c r="D495" s="3" t="s">
        <v>14</v>
      </c>
      <c r="E495" s="3" t="s">
        <v>107</v>
      </c>
      <c r="F495" s="4">
        <v>46239</v>
      </c>
      <c r="G495" s="3" t="s">
        <v>44</v>
      </c>
      <c r="H495" s="6">
        <v>-10563.36</v>
      </c>
      <c r="I495" s="3" t="s">
        <v>17</v>
      </c>
      <c r="J495" s="3" t="s">
        <v>14</v>
      </c>
      <c r="K495" s="3" t="s">
        <v>14</v>
      </c>
      <c r="L495" s="3" t="s">
        <v>163</v>
      </c>
      <c r="M495" s="4">
        <v>46240</v>
      </c>
      <c r="N495" s="3" t="s">
        <v>413</v>
      </c>
      <c r="O495" s="3" t="s">
        <v>345</v>
      </c>
      <c r="P495" t="str">
        <f t="shared" si="7"/>
        <v>4500124041100</v>
      </c>
      <c r="Q495" s="9" cm="1">
        <f t="array" ref="Q495:S495">VLOOKUP(P495,Hoja1!C:F,{2,3,4},FALSE)</f>
        <v>46240</v>
      </c>
      <c r="R495" t="str">
        <v>C03</v>
      </c>
      <c r="S495" t="str">
        <v>1000000062 FINNING ARGENTINA S.A.</v>
      </c>
    </row>
    <row r="496" spans="1:19" x14ac:dyDescent="0.3">
      <c r="A496" s="2" t="s">
        <v>14</v>
      </c>
      <c r="B496" s="3" t="s">
        <v>14</v>
      </c>
      <c r="C496" s="3" t="s">
        <v>414</v>
      </c>
      <c r="D496" s="3" t="s">
        <v>14</v>
      </c>
      <c r="E496" s="3" t="s">
        <v>107</v>
      </c>
      <c r="F496" s="4">
        <v>46240</v>
      </c>
      <c r="G496" s="3" t="s">
        <v>44</v>
      </c>
      <c r="H496" s="6">
        <v>-10281300</v>
      </c>
      <c r="I496" s="3" t="s">
        <v>17</v>
      </c>
      <c r="J496" s="3" t="s">
        <v>14</v>
      </c>
      <c r="K496" s="3" t="s">
        <v>14</v>
      </c>
      <c r="L496" s="3" t="s">
        <v>121</v>
      </c>
      <c r="M496" s="4">
        <v>46240</v>
      </c>
      <c r="N496" s="3" t="s">
        <v>312</v>
      </c>
      <c r="O496" s="3" t="s">
        <v>34</v>
      </c>
      <c r="P496" t="str">
        <f t="shared" si="7"/>
        <v>450012941210</v>
      </c>
      <c r="Q496" s="9" cm="1">
        <f t="array" ref="Q496:S496">VLOOKUP(P496,Hoja1!C:F,{2,3,4},FALSE)</f>
        <v>46325</v>
      </c>
      <c r="R496" t="str">
        <v>C21</v>
      </c>
      <c r="S496" t="str">
        <v>1000000634 RAIZEN ARGENTINA S.A.U.</v>
      </c>
    </row>
    <row r="497" spans="1:19" x14ac:dyDescent="0.3">
      <c r="A497" s="2" t="s">
        <v>14</v>
      </c>
      <c r="B497" s="3" t="s">
        <v>14</v>
      </c>
      <c r="C497" s="3" t="s">
        <v>414</v>
      </c>
      <c r="D497" s="3" t="s">
        <v>14</v>
      </c>
      <c r="E497" s="3" t="s">
        <v>107</v>
      </c>
      <c r="F497" s="4">
        <v>46240</v>
      </c>
      <c r="G497" s="3" t="s">
        <v>44</v>
      </c>
      <c r="H497" s="6">
        <v>-1171750</v>
      </c>
      <c r="I497" s="3" t="s">
        <v>17</v>
      </c>
      <c r="J497" s="3" t="s">
        <v>14</v>
      </c>
      <c r="K497" s="3" t="s">
        <v>14</v>
      </c>
      <c r="L497" s="3" t="s">
        <v>121</v>
      </c>
      <c r="M497" s="4">
        <v>46240</v>
      </c>
      <c r="N497" s="3" t="s">
        <v>312</v>
      </c>
      <c r="O497" s="3" t="s">
        <v>34</v>
      </c>
      <c r="P497" t="str">
        <f t="shared" si="7"/>
        <v>450012941210</v>
      </c>
      <c r="Q497" s="9" cm="1">
        <f t="array" ref="Q497:S497">VLOOKUP(P497,Hoja1!C:F,{2,3,4},FALSE)</f>
        <v>46325</v>
      </c>
      <c r="R497" t="str">
        <v>C21</v>
      </c>
      <c r="S497" t="str">
        <v>1000000634 RAIZEN ARGENTINA S.A.U.</v>
      </c>
    </row>
    <row r="498" spans="1:19" x14ac:dyDescent="0.3">
      <c r="A498" s="2" t="s">
        <v>14</v>
      </c>
      <c r="B498" s="3" t="s">
        <v>14</v>
      </c>
      <c r="C498" s="3" t="s">
        <v>415</v>
      </c>
      <c r="D498" s="3" t="s">
        <v>14</v>
      </c>
      <c r="E498" s="3" t="s">
        <v>107</v>
      </c>
      <c r="F498" s="4">
        <v>46241</v>
      </c>
      <c r="G498" s="3" t="s">
        <v>44</v>
      </c>
      <c r="H498" s="6">
        <v>-589776</v>
      </c>
      <c r="I498" s="3" t="s">
        <v>17</v>
      </c>
      <c r="J498" s="3" t="s">
        <v>14</v>
      </c>
      <c r="K498" s="3" t="s">
        <v>14</v>
      </c>
      <c r="L498" s="3" t="s">
        <v>108</v>
      </c>
      <c r="M498" s="4">
        <v>46241</v>
      </c>
      <c r="N498" s="3" t="s">
        <v>375</v>
      </c>
      <c r="O498" s="3" t="s">
        <v>34</v>
      </c>
      <c r="P498" t="str">
        <f t="shared" si="7"/>
        <v>450013040410</v>
      </c>
      <c r="Q498" s="9" cm="1">
        <f t="array" ref="Q498:S498">VLOOKUP(P498,Hoja1!C:F,{2,3,4},FALSE)</f>
        <v>46296</v>
      </c>
      <c r="R498" t="str">
        <v>C21</v>
      </c>
      <c r="S498" t="str">
        <v>1000001020 COMBUSTIBLES BARCELO S.R.L.</v>
      </c>
    </row>
    <row r="499" spans="1:19" x14ac:dyDescent="0.3">
      <c r="A499" s="2" t="s">
        <v>14</v>
      </c>
      <c r="B499" s="3" t="s">
        <v>14</v>
      </c>
      <c r="C499" s="3" t="s">
        <v>415</v>
      </c>
      <c r="D499" s="3" t="s">
        <v>14</v>
      </c>
      <c r="E499" s="3" t="s">
        <v>107</v>
      </c>
      <c r="F499" s="4">
        <v>46241</v>
      </c>
      <c r="G499" s="3" t="s">
        <v>44</v>
      </c>
      <c r="H499" s="6">
        <v>-67224</v>
      </c>
      <c r="I499" s="3" t="s">
        <v>17</v>
      </c>
      <c r="J499" s="3" t="s">
        <v>14</v>
      </c>
      <c r="K499" s="3" t="s">
        <v>14</v>
      </c>
      <c r="L499" s="3" t="s">
        <v>108</v>
      </c>
      <c r="M499" s="4">
        <v>46241</v>
      </c>
      <c r="N499" s="3" t="s">
        <v>375</v>
      </c>
      <c r="O499" s="3" t="s">
        <v>34</v>
      </c>
      <c r="P499" t="str">
        <f t="shared" si="7"/>
        <v>450013040410</v>
      </c>
      <c r="Q499" s="9" cm="1">
        <f t="array" ref="Q499:S499">VLOOKUP(P499,Hoja1!C:F,{2,3,4},FALSE)</f>
        <v>46296</v>
      </c>
      <c r="R499" t="str">
        <v>C21</v>
      </c>
      <c r="S499" t="str">
        <v>1000001020 COMBUSTIBLES BARCELO S.R.L.</v>
      </c>
    </row>
    <row r="500" spans="1:19" x14ac:dyDescent="0.3">
      <c r="A500" s="2" t="s">
        <v>14</v>
      </c>
      <c r="B500" s="3" t="s">
        <v>14</v>
      </c>
      <c r="C500" s="3" t="s">
        <v>416</v>
      </c>
      <c r="D500" s="3" t="s">
        <v>14</v>
      </c>
      <c r="E500" s="3" t="s">
        <v>107</v>
      </c>
      <c r="F500" s="4">
        <v>46241</v>
      </c>
      <c r="G500" s="3" t="s">
        <v>44</v>
      </c>
      <c r="H500" s="6">
        <v>-10896694.199999999</v>
      </c>
      <c r="I500" s="3" t="s">
        <v>17</v>
      </c>
      <c r="J500" s="3" t="s">
        <v>14</v>
      </c>
      <c r="K500" s="3" t="s">
        <v>14</v>
      </c>
      <c r="L500" s="3" t="s">
        <v>417</v>
      </c>
      <c r="M500" s="4">
        <v>46241</v>
      </c>
      <c r="N500" s="3" t="s">
        <v>418</v>
      </c>
      <c r="O500" s="3" t="s">
        <v>34</v>
      </c>
      <c r="P500" t="str">
        <f t="shared" si="7"/>
        <v>450013443810</v>
      </c>
      <c r="Q500" s="9" cm="1">
        <f t="array" ref="Q500:S500">VLOOKUP(P500,Hoja1!C:F,{2,3,4},FALSE)</f>
        <v>46264</v>
      </c>
      <c r="R500" t="str">
        <v>C48</v>
      </c>
      <c r="S500" t="str">
        <v>1000000279 NEUMATICOS VERONA S.R.L.</v>
      </c>
    </row>
    <row r="501" spans="1:19" x14ac:dyDescent="0.3">
      <c r="A501" s="2" t="s">
        <v>14</v>
      </c>
      <c r="B501" s="3" t="s">
        <v>14</v>
      </c>
      <c r="C501" s="3" t="s">
        <v>419</v>
      </c>
      <c r="D501" s="3" t="s">
        <v>14</v>
      </c>
      <c r="E501" s="3" t="s">
        <v>107</v>
      </c>
      <c r="F501" s="4">
        <v>46241</v>
      </c>
      <c r="G501" s="3" t="s">
        <v>44</v>
      </c>
      <c r="H501" s="6">
        <v>-1076400</v>
      </c>
      <c r="I501" s="3" t="s">
        <v>17</v>
      </c>
      <c r="J501" s="3" t="s">
        <v>14</v>
      </c>
      <c r="K501" s="3" t="s">
        <v>14</v>
      </c>
      <c r="L501" s="3" t="s">
        <v>159</v>
      </c>
      <c r="M501" s="4">
        <v>46241</v>
      </c>
      <c r="N501" s="3" t="s">
        <v>420</v>
      </c>
      <c r="O501" s="3" t="s">
        <v>34</v>
      </c>
      <c r="P501" t="str">
        <f t="shared" si="7"/>
        <v>450013482110</v>
      </c>
      <c r="Q501" s="9" cm="1">
        <f t="array" ref="Q501:S501">VLOOKUP(P501,Hoja1!C:F,{2,3,4},FALSE)</f>
        <v>46244</v>
      </c>
      <c r="R501" t="str">
        <v>C39</v>
      </c>
      <c r="S501" t="str">
        <v>1000010438 TURBOS T&amp;T S.R.L</v>
      </c>
    </row>
    <row r="502" spans="1:19" x14ac:dyDescent="0.3">
      <c r="A502" s="2" t="s">
        <v>14</v>
      </c>
      <c r="B502" s="3" t="s">
        <v>14</v>
      </c>
      <c r="C502" s="3" t="s">
        <v>421</v>
      </c>
      <c r="D502" s="3" t="s">
        <v>14</v>
      </c>
      <c r="E502" s="3" t="s">
        <v>107</v>
      </c>
      <c r="F502" s="4">
        <v>46241</v>
      </c>
      <c r="G502" s="3" t="s">
        <v>44</v>
      </c>
      <c r="H502" s="6">
        <v>-672300</v>
      </c>
      <c r="I502" s="3" t="s">
        <v>17</v>
      </c>
      <c r="J502" s="3" t="s">
        <v>14</v>
      </c>
      <c r="K502" s="3" t="s">
        <v>14</v>
      </c>
      <c r="L502" s="3" t="s">
        <v>159</v>
      </c>
      <c r="M502" s="4">
        <v>46242</v>
      </c>
      <c r="N502" s="3" t="s">
        <v>422</v>
      </c>
      <c r="O502" s="3" t="s">
        <v>34</v>
      </c>
      <c r="P502" t="str">
        <f t="shared" si="7"/>
        <v>450013482310</v>
      </c>
      <c r="Q502" s="9" cm="1">
        <f t="array" ref="Q502:S502">VLOOKUP(P502,Hoja1!C:F,{2,3,4},FALSE)</f>
        <v>46252</v>
      </c>
      <c r="R502" t="str">
        <v>C39</v>
      </c>
      <c r="S502" t="str">
        <v>1000010438 TURBOS T&amp;T S.R.L</v>
      </c>
    </row>
    <row r="503" spans="1:19" x14ac:dyDescent="0.3">
      <c r="A503" s="2" t="s">
        <v>14</v>
      </c>
      <c r="B503" s="3" t="s">
        <v>14</v>
      </c>
      <c r="C503" s="3" t="s">
        <v>423</v>
      </c>
      <c r="D503" s="3" t="s">
        <v>14</v>
      </c>
      <c r="E503" s="3" t="s">
        <v>107</v>
      </c>
      <c r="F503" s="4">
        <v>46238</v>
      </c>
      <c r="G503" s="3" t="s">
        <v>44</v>
      </c>
      <c r="H503" s="6">
        <v>-12520035</v>
      </c>
      <c r="I503" s="3" t="s">
        <v>17</v>
      </c>
      <c r="J503" s="3" t="s">
        <v>14</v>
      </c>
      <c r="K503" s="3" t="s">
        <v>14</v>
      </c>
      <c r="L503" s="3" t="s">
        <v>424</v>
      </c>
      <c r="M503" s="4">
        <v>46242</v>
      </c>
      <c r="N503" s="3" t="s">
        <v>425</v>
      </c>
      <c r="O503" s="3" t="s">
        <v>347</v>
      </c>
      <c r="P503" t="str">
        <f t="shared" si="7"/>
        <v>4500133974180</v>
      </c>
      <c r="Q503" s="9" cm="1">
        <f t="array" ref="Q503:S503">VLOOKUP(P503,Hoja1!C:F,{2,3,4},FALSE)</f>
        <v>46295</v>
      </c>
      <c r="R503" t="str">
        <v>C03</v>
      </c>
      <c r="S503" t="str">
        <v>1000000754 AURELIA SACIYF</v>
      </c>
    </row>
    <row r="504" spans="1:19" x14ac:dyDescent="0.3">
      <c r="A504" s="2" t="s">
        <v>14</v>
      </c>
      <c r="B504" s="3" t="s">
        <v>14</v>
      </c>
      <c r="C504" s="3" t="s">
        <v>423</v>
      </c>
      <c r="D504" s="3" t="s">
        <v>14</v>
      </c>
      <c r="E504" s="3" t="s">
        <v>107</v>
      </c>
      <c r="F504" s="4">
        <v>46238</v>
      </c>
      <c r="G504" s="3" t="s">
        <v>44</v>
      </c>
      <c r="H504" s="6">
        <v>-1300060</v>
      </c>
      <c r="I504" s="3" t="s">
        <v>17</v>
      </c>
      <c r="J504" s="3" t="s">
        <v>14</v>
      </c>
      <c r="K504" s="3" t="s">
        <v>14</v>
      </c>
      <c r="L504" s="3" t="s">
        <v>424</v>
      </c>
      <c r="M504" s="4">
        <v>46242</v>
      </c>
      <c r="N504" s="3" t="s">
        <v>425</v>
      </c>
      <c r="O504" s="3" t="s">
        <v>352</v>
      </c>
      <c r="P504" t="str">
        <f t="shared" si="7"/>
        <v>4500133974260</v>
      </c>
      <c r="Q504" s="9" cm="1">
        <f t="array" ref="Q504:S504">VLOOKUP(P504,Hoja1!C:F,{2,3,4},FALSE)</f>
        <v>46249</v>
      </c>
      <c r="R504" t="str">
        <v>C03</v>
      </c>
      <c r="S504" t="str">
        <v>1000000754 AURELIA SACIYF</v>
      </c>
    </row>
    <row r="505" spans="1:19" x14ac:dyDescent="0.3">
      <c r="A505" s="2" t="s">
        <v>14</v>
      </c>
      <c r="B505" s="3" t="s">
        <v>14</v>
      </c>
      <c r="C505" s="3" t="s">
        <v>426</v>
      </c>
      <c r="D505" s="3" t="s">
        <v>14</v>
      </c>
      <c r="E505" s="3" t="s">
        <v>107</v>
      </c>
      <c r="F505" s="4">
        <v>46242</v>
      </c>
      <c r="G505" s="3" t="s">
        <v>44</v>
      </c>
      <c r="H505" s="6">
        <v>-10281300</v>
      </c>
      <c r="I505" s="3" t="s">
        <v>17</v>
      </c>
      <c r="J505" s="3" t="s">
        <v>14</v>
      </c>
      <c r="K505" s="3" t="s">
        <v>14</v>
      </c>
      <c r="L505" s="3" t="s">
        <v>121</v>
      </c>
      <c r="M505" s="4">
        <v>46242</v>
      </c>
      <c r="N505" s="3" t="s">
        <v>312</v>
      </c>
      <c r="O505" s="3" t="s">
        <v>34</v>
      </c>
      <c r="P505" t="str">
        <f t="shared" si="7"/>
        <v>450012941210</v>
      </c>
      <c r="Q505" s="9" cm="1">
        <f t="array" ref="Q505:S505">VLOOKUP(P505,Hoja1!C:F,{2,3,4},FALSE)</f>
        <v>46325</v>
      </c>
      <c r="R505" t="str">
        <v>C21</v>
      </c>
      <c r="S505" t="str">
        <v>1000000634 RAIZEN ARGENTINA S.A.U.</v>
      </c>
    </row>
    <row r="506" spans="1:19" x14ac:dyDescent="0.3">
      <c r="A506" s="2" t="s">
        <v>14</v>
      </c>
      <c r="B506" s="3" t="s">
        <v>14</v>
      </c>
      <c r="C506" s="3" t="s">
        <v>426</v>
      </c>
      <c r="D506" s="3" t="s">
        <v>14</v>
      </c>
      <c r="E506" s="3" t="s">
        <v>107</v>
      </c>
      <c r="F506" s="4">
        <v>46242</v>
      </c>
      <c r="G506" s="3" t="s">
        <v>44</v>
      </c>
      <c r="H506" s="6">
        <v>-1171750</v>
      </c>
      <c r="I506" s="3" t="s">
        <v>17</v>
      </c>
      <c r="J506" s="3" t="s">
        <v>14</v>
      </c>
      <c r="K506" s="3" t="s">
        <v>14</v>
      </c>
      <c r="L506" s="3" t="s">
        <v>121</v>
      </c>
      <c r="M506" s="4">
        <v>46242</v>
      </c>
      <c r="N506" s="3" t="s">
        <v>312</v>
      </c>
      <c r="O506" s="3" t="s">
        <v>34</v>
      </c>
      <c r="P506" t="str">
        <f t="shared" si="7"/>
        <v>450012941210</v>
      </c>
      <c r="Q506" s="9" cm="1">
        <f t="array" ref="Q506:S506">VLOOKUP(P506,Hoja1!C:F,{2,3,4},FALSE)</f>
        <v>46325</v>
      </c>
      <c r="R506" t="str">
        <v>C21</v>
      </c>
      <c r="S506" t="str">
        <v>1000000634 RAIZEN ARGENTINA S.A.U.</v>
      </c>
    </row>
    <row r="507" spans="1:19" x14ac:dyDescent="0.3">
      <c r="A507" s="2" t="s">
        <v>14</v>
      </c>
      <c r="B507" s="3" t="s">
        <v>14</v>
      </c>
      <c r="C507" s="3" t="s">
        <v>427</v>
      </c>
      <c r="D507" s="3" t="s">
        <v>14</v>
      </c>
      <c r="E507" s="3" t="s">
        <v>107</v>
      </c>
      <c r="F507" s="4">
        <v>46244</v>
      </c>
      <c r="G507" s="3" t="s">
        <v>44</v>
      </c>
      <c r="H507" s="6">
        <v>-1016846.28</v>
      </c>
      <c r="I507" s="3" t="s">
        <v>17</v>
      </c>
      <c r="J507" s="3" t="s">
        <v>14</v>
      </c>
      <c r="K507" s="3" t="s">
        <v>14</v>
      </c>
      <c r="L507" s="3" t="s">
        <v>163</v>
      </c>
      <c r="M507" s="4">
        <v>46244</v>
      </c>
      <c r="N507" s="3" t="s">
        <v>428</v>
      </c>
      <c r="O507" s="3" t="s">
        <v>21</v>
      </c>
      <c r="P507" t="str">
        <f t="shared" si="7"/>
        <v>450013402120</v>
      </c>
      <c r="Q507" s="9" cm="1">
        <f t="array" ref="Q507:S507">VLOOKUP(P507,Hoja1!C:F,{2,3,4},FALSE)</f>
        <v>46237</v>
      </c>
      <c r="R507" t="str">
        <v>C03</v>
      </c>
      <c r="S507" t="str">
        <v>1000000062 FINNING ARGENTINA S.A.</v>
      </c>
    </row>
    <row r="508" spans="1:19" x14ac:dyDescent="0.3">
      <c r="A508" s="2" t="s">
        <v>14</v>
      </c>
      <c r="B508" s="3" t="s">
        <v>14</v>
      </c>
      <c r="C508" s="3" t="s">
        <v>429</v>
      </c>
      <c r="D508" s="3" t="s">
        <v>14</v>
      </c>
      <c r="E508" s="3" t="s">
        <v>107</v>
      </c>
      <c r="F508" s="4">
        <v>46245</v>
      </c>
      <c r="G508" s="3" t="s">
        <v>44</v>
      </c>
      <c r="H508" s="6">
        <v>-1446270</v>
      </c>
      <c r="I508" s="3" t="s">
        <v>17</v>
      </c>
      <c r="J508" s="3" t="s">
        <v>14</v>
      </c>
      <c r="K508" s="3" t="s">
        <v>14</v>
      </c>
      <c r="L508" s="3" t="s">
        <v>159</v>
      </c>
      <c r="M508" s="4">
        <v>46245</v>
      </c>
      <c r="N508" s="3" t="s">
        <v>430</v>
      </c>
      <c r="O508" s="3" t="s">
        <v>21</v>
      </c>
      <c r="P508" t="str">
        <f t="shared" si="7"/>
        <v>450013527520</v>
      </c>
      <c r="Q508" s="9" cm="1">
        <f t="array" ref="Q508:S508">VLOOKUP(P508,Hoja1!C:F,{2,3,4},FALSE)</f>
        <v>46254</v>
      </c>
      <c r="R508" t="str">
        <v>C38</v>
      </c>
      <c r="S508" t="str">
        <v>1000010438 TURBOS T&amp;T S.R.L</v>
      </c>
    </row>
    <row r="509" spans="1:19" x14ac:dyDescent="0.3">
      <c r="A509" s="2" t="s">
        <v>14</v>
      </c>
      <c r="B509" s="3" t="s">
        <v>14</v>
      </c>
      <c r="C509" s="3" t="s">
        <v>431</v>
      </c>
      <c r="D509" s="3" t="s">
        <v>14</v>
      </c>
      <c r="E509" s="3" t="s">
        <v>107</v>
      </c>
      <c r="F509" s="4">
        <v>46246</v>
      </c>
      <c r="G509" s="3" t="s">
        <v>44</v>
      </c>
      <c r="H509" s="6">
        <v>-10042200</v>
      </c>
      <c r="I509" s="3" t="s">
        <v>17</v>
      </c>
      <c r="J509" s="3" t="s">
        <v>14</v>
      </c>
      <c r="K509" s="3" t="s">
        <v>14</v>
      </c>
      <c r="L509" s="3" t="s">
        <v>121</v>
      </c>
      <c r="M509" s="4">
        <v>46246</v>
      </c>
      <c r="N509" s="3" t="s">
        <v>312</v>
      </c>
      <c r="O509" s="3" t="s">
        <v>34</v>
      </c>
      <c r="P509" t="str">
        <f t="shared" si="7"/>
        <v>450012941210</v>
      </c>
      <c r="Q509" s="9" cm="1">
        <f t="array" ref="Q509:S509">VLOOKUP(P509,Hoja1!C:F,{2,3,4},FALSE)</f>
        <v>46325</v>
      </c>
      <c r="R509" t="str">
        <v>C21</v>
      </c>
      <c r="S509" t="str">
        <v>1000000634 RAIZEN ARGENTINA S.A.U.</v>
      </c>
    </row>
    <row r="510" spans="1:19" x14ac:dyDescent="0.3">
      <c r="A510" s="2" t="s">
        <v>14</v>
      </c>
      <c r="B510" s="3" t="s">
        <v>14</v>
      </c>
      <c r="C510" s="3" t="s">
        <v>431</v>
      </c>
      <c r="D510" s="3" t="s">
        <v>14</v>
      </c>
      <c r="E510" s="3" t="s">
        <v>107</v>
      </c>
      <c r="F510" s="4">
        <v>46246</v>
      </c>
      <c r="G510" s="3" t="s">
        <v>44</v>
      </c>
      <c r="H510" s="6">
        <v>-1144500</v>
      </c>
      <c r="I510" s="3" t="s">
        <v>17</v>
      </c>
      <c r="J510" s="3" t="s">
        <v>14</v>
      </c>
      <c r="K510" s="3" t="s">
        <v>14</v>
      </c>
      <c r="L510" s="3" t="s">
        <v>121</v>
      </c>
      <c r="M510" s="4">
        <v>46246</v>
      </c>
      <c r="N510" s="3" t="s">
        <v>312</v>
      </c>
      <c r="O510" s="3" t="s">
        <v>34</v>
      </c>
      <c r="P510" t="str">
        <f t="shared" si="7"/>
        <v>450012941210</v>
      </c>
      <c r="Q510" s="9" cm="1">
        <f t="array" ref="Q510:S510">VLOOKUP(P510,Hoja1!C:F,{2,3,4},FALSE)</f>
        <v>46325</v>
      </c>
      <c r="R510" t="str">
        <v>C21</v>
      </c>
      <c r="S510" t="str">
        <v>1000000634 RAIZEN ARGENTINA S.A.U.</v>
      </c>
    </row>
    <row r="511" spans="1:19" x14ac:dyDescent="0.3">
      <c r="A511" s="2" t="s">
        <v>14</v>
      </c>
      <c r="B511" s="3" t="s">
        <v>14</v>
      </c>
      <c r="C511" s="3" t="s">
        <v>432</v>
      </c>
      <c r="D511" s="3" t="s">
        <v>14</v>
      </c>
      <c r="E511" s="3" t="s">
        <v>107</v>
      </c>
      <c r="F511" s="4">
        <v>46246</v>
      </c>
      <c r="G511" s="3" t="s">
        <v>44</v>
      </c>
      <c r="H511" s="6">
        <v>-726446.28</v>
      </c>
      <c r="I511" s="3" t="s">
        <v>17</v>
      </c>
      <c r="J511" s="3" t="s">
        <v>14</v>
      </c>
      <c r="K511" s="3" t="s">
        <v>14</v>
      </c>
      <c r="L511" s="3" t="s">
        <v>417</v>
      </c>
      <c r="M511" s="4">
        <v>46246</v>
      </c>
      <c r="N511" s="3" t="s">
        <v>418</v>
      </c>
      <c r="O511" s="3" t="s">
        <v>34</v>
      </c>
      <c r="P511" t="str">
        <f t="shared" si="7"/>
        <v>450013443810</v>
      </c>
      <c r="Q511" s="9" cm="1">
        <f t="array" ref="Q511:S511">VLOOKUP(P511,Hoja1!C:F,{2,3,4},FALSE)</f>
        <v>46264</v>
      </c>
      <c r="R511" t="str">
        <v>C48</v>
      </c>
      <c r="S511" t="str">
        <v>1000000279 NEUMATICOS VERONA S.R.L.</v>
      </c>
    </row>
    <row r="512" spans="1:19" x14ac:dyDescent="0.3">
      <c r="A512" s="2" t="s">
        <v>14</v>
      </c>
      <c r="B512" s="3" t="s">
        <v>14</v>
      </c>
      <c r="C512" s="3" t="s">
        <v>433</v>
      </c>
      <c r="D512" s="3" t="s">
        <v>14</v>
      </c>
      <c r="E512" s="3" t="s">
        <v>107</v>
      </c>
      <c r="F512" s="4">
        <v>46248</v>
      </c>
      <c r="G512" s="3" t="s">
        <v>44</v>
      </c>
      <c r="H512" s="6">
        <v>-2156875</v>
      </c>
      <c r="I512" s="3" t="s">
        <v>17</v>
      </c>
      <c r="J512" s="3" t="s">
        <v>14</v>
      </c>
      <c r="K512" s="3" t="s">
        <v>14</v>
      </c>
      <c r="L512" s="3" t="s">
        <v>159</v>
      </c>
      <c r="M512" s="4">
        <v>46248</v>
      </c>
      <c r="N512" s="3" t="s">
        <v>434</v>
      </c>
      <c r="O512" s="3" t="s">
        <v>34</v>
      </c>
      <c r="P512" t="str">
        <f t="shared" si="7"/>
        <v>450013552910</v>
      </c>
      <c r="Q512" s="9" cm="1">
        <f t="array" ref="Q512:S512">VLOOKUP(P512,Hoja1!C:F,{2,3,4},FALSE)</f>
        <v>46254</v>
      </c>
      <c r="R512" t="str">
        <v>C39</v>
      </c>
      <c r="S512" t="str">
        <v>1000010438 TURBOS T&amp;T S.R.L</v>
      </c>
    </row>
    <row r="513" spans="1:19" x14ac:dyDescent="0.3">
      <c r="A513" s="2" t="s">
        <v>14</v>
      </c>
      <c r="B513" s="3" t="s">
        <v>14</v>
      </c>
      <c r="C513" s="3" t="s">
        <v>435</v>
      </c>
      <c r="D513" s="3" t="s">
        <v>14</v>
      </c>
      <c r="E513" s="3" t="s">
        <v>107</v>
      </c>
      <c r="F513" s="4">
        <v>46246</v>
      </c>
      <c r="G513" s="3" t="s">
        <v>44</v>
      </c>
      <c r="H513" s="6">
        <v>-1264375</v>
      </c>
      <c r="I513" s="3" t="s">
        <v>17</v>
      </c>
      <c r="J513" s="3" t="s">
        <v>14</v>
      </c>
      <c r="K513" s="3" t="s">
        <v>14</v>
      </c>
      <c r="L513" s="3" t="s">
        <v>159</v>
      </c>
      <c r="M513" s="4">
        <v>46248</v>
      </c>
      <c r="N513" s="3" t="s">
        <v>436</v>
      </c>
      <c r="O513" s="3" t="s">
        <v>34</v>
      </c>
      <c r="P513" t="str">
        <f t="shared" si="7"/>
        <v>450013528210</v>
      </c>
      <c r="Q513" s="9" cm="1">
        <f t="array" ref="Q513:S513">VLOOKUP(P513,Hoja1!C:F,{2,3,4},FALSE)</f>
        <v>46254</v>
      </c>
      <c r="R513" t="str">
        <v>C39</v>
      </c>
      <c r="S513" t="str">
        <v>1000010438 TURBOS T&amp;T S.R.L</v>
      </c>
    </row>
    <row r="514" spans="1:19" x14ac:dyDescent="0.3">
      <c r="A514" s="2" t="s">
        <v>14</v>
      </c>
      <c r="B514" s="3" t="s">
        <v>14</v>
      </c>
      <c r="C514" s="3" t="s">
        <v>437</v>
      </c>
      <c r="D514" s="3" t="s">
        <v>14</v>
      </c>
      <c r="E514" s="3" t="s">
        <v>107</v>
      </c>
      <c r="F514" s="4">
        <v>46248</v>
      </c>
      <c r="G514" s="3" t="s">
        <v>44</v>
      </c>
      <c r="H514" s="6">
        <v>-10042200</v>
      </c>
      <c r="I514" s="3" t="s">
        <v>17</v>
      </c>
      <c r="J514" s="3" t="s">
        <v>14</v>
      </c>
      <c r="K514" s="3" t="s">
        <v>14</v>
      </c>
      <c r="L514" s="3" t="s">
        <v>121</v>
      </c>
      <c r="M514" s="4">
        <v>46248</v>
      </c>
      <c r="N514" s="3" t="s">
        <v>312</v>
      </c>
      <c r="O514" s="3" t="s">
        <v>34</v>
      </c>
      <c r="P514" t="str">
        <f t="shared" si="7"/>
        <v>450012941210</v>
      </c>
      <c r="Q514" s="9" cm="1">
        <f t="array" ref="Q514:S514">VLOOKUP(P514,Hoja1!C:F,{2,3,4},FALSE)</f>
        <v>46325</v>
      </c>
      <c r="R514" t="str">
        <v>C21</v>
      </c>
      <c r="S514" t="str">
        <v>1000000634 RAIZEN ARGENTINA S.A.U.</v>
      </c>
    </row>
    <row r="515" spans="1:19" x14ac:dyDescent="0.3">
      <c r="A515" s="2" t="s">
        <v>14</v>
      </c>
      <c r="B515" s="3" t="s">
        <v>14</v>
      </c>
      <c r="C515" s="3" t="s">
        <v>437</v>
      </c>
      <c r="D515" s="3" t="s">
        <v>14</v>
      </c>
      <c r="E515" s="3" t="s">
        <v>107</v>
      </c>
      <c r="F515" s="4">
        <v>46248</v>
      </c>
      <c r="G515" s="3" t="s">
        <v>44</v>
      </c>
      <c r="H515" s="6">
        <v>-1144500</v>
      </c>
      <c r="I515" s="3" t="s">
        <v>17</v>
      </c>
      <c r="J515" s="3" t="s">
        <v>14</v>
      </c>
      <c r="K515" s="3" t="s">
        <v>14</v>
      </c>
      <c r="L515" s="3" t="s">
        <v>121</v>
      </c>
      <c r="M515" s="4">
        <v>46248</v>
      </c>
      <c r="N515" s="3" t="s">
        <v>312</v>
      </c>
      <c r="O515" s="3" t="s">
        <v>34</v>
      </c>
      <c r="P515" t="str">
        <f t="shared" ref="P515:P578" si="8">_xlfn.CONCAT(N515:O515)</f>
        <v>450012941210</v>
      </c>
      <c r="Q515" s="9" cm="1">
        <f t="array" ref="Q515:S515">VLOOKUP(P515,Hoja1!C:F,{2,3,4},FALSE)</f>
        <v>46325</v>
      </c>
      <c r="R515" t="str">
        <v>C21</v>
      </c>
      <c r="S515" t="str">
        <v>1000000634 RAIZEN ARGENTINA S.A.U.</v>
      </c>
    </row>
    <row r="516" spans="1:19" x14ac:dyDescent="0.3">
      <c r="A516" s="2" t="s">
        <v>14</v>
      </c>
      <c r="B516" s="3" t="s">
        <v>14</v>
      </c>
      <c r="C516" s="3" t="s">
        <v>438</v>
      </c>
      <c r="D516" s="3" t="s">
        <v>14</v>
      </c>
      <c r="E516" s="3" t="s">
        <v>107</v>
      </c>
      <c r="F516" s="4">
        <v>46246</v>
      </c>
      <c r="G516" s="3" t="s">
        <v>44</v>
      </c>
      <c r="H516" s="6">
        <v>-1442875</v>
      </c>
      <c r="I516" s="3" t="s">
        <v>17</v>
      </c>
      <c r="J516" s="3" t="s">
        <v>14</v>
      </c>
      <c r="K516" s="3" t="s">
        <v>14</v>
      </c>
      <c r="L516" s="3" t="s">
        <v>159</v>
      </c>
      <c r="M516" s="4">
        <v>46248</v>
      </c>
      <c r="N516" s="3" t="s">
        <v>439</v>
      </c>
      <c r="O516" s="3" t="s">
        <v>34</v>
      </c>
      <c r="P516" t="str">
        <f t="shared" si="8"/>
        <v>450013537710</v>
      </c>
      <c r="Q516" s="9" cm="1">
        <f t="array" ref="Q516:S516">VLOOKUP(P516,Hoja1!C:F,{2,3,4},FALSE)</f>
        <v>46247</v>
      </c>
      <c r="R516" t="str">
        <v>C39</v>
      </c>
      <c r="S516" t="str">
        <v>1000010438 TURBOS T&amp;T S.R.L</v>
      </c>
    </row>
    <row r="517" spans="1:19" x14ac:dyDescent="0.3">
      <c r="A517" s="2" t="s">
        <v>14</v>
      </c>
      <c r="B517" s="3" t="s">
        <v>14</v>
      </c>
      <c r="C517" s="3" t="s">
        <v>440</v>
      </c>
      <c r="D517" s="3" t="s">
        <v>14</v>
      </c>
      <c r="E517" s="3" t="s">
        <v>107</v>
      </c>
      <c r="F517" s="4">
        <v>46245</v>
      </c>
      <c r="G517" s="3" t="s">
        <v>44</v>
      </c>
      <c r="H517" s="6">
        <v>-1110000</v>
      </c>
      <c r="I517" s="3" t="s">
        <v>17</v>
      </c>
      <c r="J517" s="3" t="s">
        <v>14</v>
      </c>
      <c r="K517" s="3" t="s">
        <v>14</v>
      </c>
      <c r="L517" s="3" t="s">
        <v>424</v>
      </c>
      <c r="M517" s="4">
        <v>46252</v>
      </c>
      <c r="N517" s="3" t="s">
        <v>425</v>
      </c>
      <c r="O517" s="3" t="s">
        <v>34</v>
      </c>
      <c r="P517" t="str">
        <f t="shared" si="8"/>
        <v>450013397410</v>
      </c>
      <c r="Q517" s="9" cm="1">
        <f t="array" ref="Q517:S517">VLOOKUP(P517,Hoja1!C:F,{2,3,4},FALSE)</f>
        <v>46249</v>
      </c>
      <c r="R517" t="str">
        <v>C03</v>
      </c>
      <c r="S517" t="str">
        <v>1000000754 AURELIA SACIYF</v>
      </c>
    </row>
    <row r="518" spans="1:19" x14ac:dyDescent="0.3">
      <c r="A518" s="2" t="s">
        <v>14</v>
      </c>
      <c r="B518" s="3" t="s">
        <v>14</v>
      </c>
      <c r="C518" s="3" t="s">
        <v>440</v>
      </c>
      <c r="D518" s="3" t="s">
        <v>14</v>
      </c>
      <c r="E518" s="3" t="s">
        <v>107</v>
      </c>
      <c r="F518" s="4">
        <v>46245</v>
      </c>
      <c r="G518" s="3" t="s">
        <v>44</v>
      </c>
      <c r="H518" s="6">
        <v>-1047263.52</v>
      </c>
      <c r="I518" s="3" t="s">
        <v>17</v>
      </c>
      <c r="J518" s="3" t="s">
        <v>14</v>
      </c>
      <c r="K518" s="3" t="s">
        <v>14</v>
      </c>
      <c r="L518" s="3" t="s">
        <v>424</v>
      </c>
      <c r="M518" s="4">
        <v>46252</v>
      </c>
      <c r="N518" s="3" t="s">
        <v>425</v>
      </c>
      <c r="O518" s="3" t="s">
        <v>21</v>
      </c>
      <c r="P518" t="str">
        <f t="shared" si="8"/>
        <v>450013397420</v>
      </c>
      <c r="Q518" s="9" cm="1">
        <f t="array" ref="Q518:S518">VLOOKUP(P518,Hoja1!C:F,{2,3,4},FALSE)</f>
        <v>46249</v>
      </c>
      <c r="R518" t="str">
        <v>C03</v>
      </c>
      <c r="S518" t="str">
        <v>1000000754 AURELIA SACIYF</v>
      </c>
    </row>
    <row r="519" spans="1:19" x14ac:dyDescent="0.3">
      <c r="A519" s="2" t="s">
        <v>14</v>
      </c>
      <c r="B519" s="3" t="s">
        <v>14</v>
      </c>
      <c r="C519" s="3" t="s">
        <v>440</v>
      </c>
      <c r="D519" s="3" t="s">
        <v>14</v>
      </c>
      <c r="E519" s="3" t="s">
        <v>107</v>
      </c>
      <c r="F519" s="4">
        <v>46245</v>
      </c>
      <c r="G519" s="3" t="s">
        <v>44</v>
      </c>
      <c r="H519" s="6">
        <v>-430910.9</v>
      </c>
      <c r="I519" s="3" t="s">
        <v>17</v>
      </c>
      <c r="J519" s="3" t="s">
        <v>14</v>
      </c>
      <c r="K519" s="3" t="s">
        <v>14</v>
      </c>
      <c r="L519" s="3" t="s">
        <v>424</v>
      </c>
      <c r="M519" s="4">
        <v>46252</v>
      </c>
      <c r="N519" s="3" t="s">
        <v>425</v>
      </c>
      <c r="O519" s="3" t="s">
        <v>22</v>
      </c>
      <c r="P519" t="str">
        <f t="shared" si="8"/>
        <v>450013397430</v>
      </c>
      <c r="Q519" s="9" cm="1">
        <f t="array" ref="Q519:S519">VLOOKUP(P519,Hoja1!C:F,{2,3,4},FALSE)</f>
        <v>46249</v>
      </c>
      <c r="R519" t="str">
        <v>C03</v>
      </c>
      <c r="S519" t="str">
        <v>1000000754 AURELIA SACIYF</v>
      </c>
    </row>
    <row r="520" spans="1:19" x14ac:dyDescent="0.3">
      <c r="A520" s="2" t="s">
        <v>14</v>
      </c>
      <c r="B520" s="3" t="s">
        <v>14</v>
      </c>
      <c r="C520" s="3" t="s">
        <v>440</v>
      </c>
      <c r="D520" s="3" t="s">
        <v>14</v>
      </c>
      <c r="E520" s="3" t="s">
        <v>107</v>
      </c>
      <c r="F520" s="4">
        <v>46245</v>
      </c>
      <c r="G520" s="3" t="s">
        <v>44</v>
      </c>
      <c r="H520" s="6">
        <v>-79120</v>
      </c>
      <c r="I520" s="3" t="s">
        <v>17</v>
      </c>
      <c r="J520" s="3" t="s">
        <v>14</v>
      </c>
      <c r="K520" s="3" t="s">
        <v>14</v>
      </c>
      <c r="L520" s="3" t="s">
        <v>424</v>
      </c>
      <c r="M520" s="4">
        <v>46252</v>
      </c>
      <c r="N520" s="3" t="s">
        <v>425</v>
      </c>
      <c r="O520" s="3" t="s">
        <v>26</v>
      </c>
      <c r="P520" t="str">
        <f t="shared" si="8"/>
        <v>450013397440</v>
      </c>
      <c r="Q520" s="9" cm="1">
        <f t="array" ref="Q520:S520">VLOOKUP(P520,Hoja1!C:F,{2,3,4},FALSE)</f>
        <v>46249</v>
      </c>
      <c r="R520" t="str">
        <v>C03</v>
      </c>
      <c r="S520" t="str">
        <v>1000000754 AURELIA SACIYF</v>
      </c>
    </row>
    <row r="521" spans="1:19" x14ac:dyDescent="0.3">
      <c r="A521" s="2" t="s">
        <v>14</v>
      </c>
      <c r="B521" s="3" t="s">
        <v>14</v>
      </c>
      <c r="C521" s="3" t="s">
        <v>440</v>
      </c>
      <c r="D521" s="3" t="s">
        <v>14</v>
      </c>
      <c r="E521" s="3" t="s">
        <v>107</v>
      </c>
      <c r="F521" s="4">
        <v>46245</v>
      </c>
      <c r="G521" s="3" t="s">
        <v>44</v>
      </c>
      <c r="H521" s="6">
        <v>-17600</v>
      </c>
      <c r="I521" s="3" t="s">
        <v>17</v>
      </c>
      <c r="J521" s="3" t="s">
        <v>14</v>
      </c>
      <c r="K521" s="3" t="s">
        <v>14</v>
      </c>
      <c r="L521" s="3" t="s">
        <v>424</v>
      </c>
      <c r="M521" s="4">
        <v>46252</v>
      </c>
      <c r="N521" s="3" t="s">
        <v>425</v>
      </c>
      <c r="O521" s="3" t="s">
        <v>23</v>
      </c>
      <c r="P521" t="str">
        <f t="shared" si="8"/>
        <v>450013397450</v>
      </c>
      <c r="Q521" s="9" cm="1">
        <f t="array" ref="Q521:S521">VLOOKUP(P521,Hoja1!C:F,{2,3,4},FALSE)</f>
        <v>46249</v>
      </c>
      <c r="R521" t="str">
        <v>C03</v>
      </c>
      <c r="S521" t="str">
        <v>1000000754 AURELIA SACIYF</v>
      </c>
    </row>
    <row r="522" spans="1:19" x14ac:dyDescent="0.3">
      <c r="A522" s="2" t="s">
        <v>14</v>
      </c>
      <c r="B522" s="3" t="s">
        <v>14</v>
      </c>
      <c r="C522" s="3" t="s">
        <v>440</v>
      </c>
      <c r="D522" s="3" t="s">
        <v>14</v>
      </c>
      <c r="E522" s="3" t="s">
        <v>107</v>
      </c>
      <c r="F522" s="4">
        <v>46245</v>
      </c>
      <c r="G522" s="3" t="s">
        <v>44</v>
      </c>
      <c r="H522" s="6">
        <v>-354360.85</v>
      </c>
      <c r="I522" s="3" t="s">
        <v>17</v>
      </c>
      <c r="J522" s="3" t="s">
        <v>14</v>
      </c>
      <c r="K522" s="3" t="s">
        <v>14</v>
      </c>
      <c r="L522" s="3" t="s">
        <v>424</v>
      </c>
      <c r="M522" s="4">
        <v>46252</v>
      </c>
      <c r="N522" s="3" t="s">
        <v>425</v>
      </c>
      <c r="O522" s="3" t="s">
        <v>24</v>
      </c>
      <c r="P522" t="str">
        <f t="shared" si="8"/>
        <v>450013397460</v>
      </c>
      <c r="Q522" s="9" cm="1">
        <f t="array" ref="Q522:S522">VLOOKUP(P522,Hoja1!C:F,{2,3,4},FALSE)</f>
        <v>46249</v>
      </c>
      <c r="R522" t="str">
        <v>C03</v>
      </c>
      <c r="S522" t="str">
        <v>1000000754 AURELIA SACIYF</v>
      </c>
    </row>
    <row r="523" spans="1:19" x14ac:dyDescent="0.3">
      <c r="A523" s="2" t="s">
        <v>14</v>
      </c>
      <c r="B523" s="3" t="s">
        <v>14</v>
      </c>
      <c r="C523" s="3" t="s">
        <v>440</v>
      </c>
      <c r="D523" s="3" t="s">
        <v>14</v>
      </c>
      <c r="E523" s="3" t="s">
        <v>107</v>
      </c>
      <c r="F523" s="4">
        <v>46245</v>
      </c>
      <c r="G523" s="3" t="s">
        <v>44</v>
      </c>
      <c r="H523" s="6">
        <v>-2026160.64</v>
      </c>
      <c r="I523" s="3" t="s">
        <v>17</v>
      </c>
      <c r="J523" s="3" t="s">
        <v>14</v>
      </c>
      <c r="K523" s="3" t="s">
        <v>14</v>
      </c>
      <c r="L523" s="3" t="s">
        <v>424</v>
      </c>
      <c r="M523" s="4">
        <v>46252</v>
      </c>
      <c r="N523" s="3" t="s">
        <v>425</v>
      </c>
      <c r="O523" s="3" t="s">
        <v>25</v>
      </c>
      <c r="P523" t="str">
        <f t="shared" si="8"/>
        <v>450013397470</v>
      </c>
      <c r="Q523" s="9" cm="1">
        <f t="array" ref="Q523:S523">VLOOKUP(P523,Hoja1!C:F,{2,3,4},FALSE)</f>
        <v>46249</v>
      </c>
      <c r="R523" t="str">
        <v>C03</v>
      </c>
      <c r="S523" t="str">
        <v>1000000754 AURELIA SACIYF</v>
      </c>
    </row>
    <row r="524" spans="1:19" x14ac:dyDescent="0.3">
      <c r="A524" s="2" t="s">
        <v>14</v>
      </c>
      <c r="B524" s="3" t="s">
        <v>14</v>
      </c>
      <c r="C524" s="3" t="s">
        <v>440</v>
      </c>
      <c r="D524" s="3" t="s">
        <v>14</v>
      </c>
      <c r="E524" s="3" t="s">
        <v>107</v>
      </c>
      <c r="F524" s="4">
        <v>46245</v>
      </c>
      <c r="G524" s="3" t="s">
        <v>44</v>
      </c>
      <c r="H524" s="6">
        <v>-470000</v>
      </c>
      <c r="I524" s="3" t="s">
        <v>17</v>
      </c>
      <c r="J524" s="3" t="s">
        <v>14</v>
      </c>
      <c r="K524" s="3" t="s">
        <v>14</v>
      </c>
      <c r="L524" s="3" t="s">
        <v>424</v>
      </c>
      <c r="M524" s="4">
        <v>46252</v>
      </c>
      <c r="N524" s="3" t="s">
        <v>425</v>
      </c>
      <c r="O524" s="3" t="s">
        <v>343</v>
      </c>
      <c r="P524" t="str">
        <f t="shared" si="8"/>
        <v>450013397480</v>
      </c>
      <c r="Q524" s="9" cm="1">
        <f t="array" ref="Q524:S524">VLOOKUP(P524,Hoja1!C:F,{2,3,4},FALSE)</f>
        <v>46249</v>
      </c>
      <c r="R524" t="str">
        <v>C03</v>
      </c>
      <c r="S524" t="str">
        <v>1000000754 AURELIA SACIYF</v>
      </c>
    </row>
    <row r="525" spans="1:19" x14ac:dyDescent="0.3">
      <c r="A525" s="2" t="s">
        <v>14</v>
      </c>
      <c r="B525" s="3" t="s">
        <v>14</v>
      </c>
      <c r="C525" s="3" t="s">
        <v>440</v>
      </c>
      <c r="D525" s="3" t="s">
        <v>14</v>
      </c>
      <c r="E525" s="3" t="s">
        <v>107</v>
      </c>
      <c r="F525" s="4">
        <v>46245</v>
      </c>
      <c r="G525" s="3" t="s">
        <v>44</v>
      </c>
      <c r="H525" s="6">
        <v>-230365</v>
      </c>
      <c r="I525" s="3" t="s">
        <v>17</v>
      </c>
      <c r="J525" s="3" t="s">
        <v>14</v>
      </c>
      <c r="K525" s="3" t="s">
        <v>14</v>
      </c>
      <c r="L525" s="3" t="s">
        <v>424</v>
      </c>
      <c r="M525" s="4">
        <v>46252</v>
      </c>
      <c r="N525" s="3" t="s">
        <v>425</v>
      </c>
      <c r="O525" s="3" t="s">
        <v>344</v>
      </c>
      <c r="P525" t="str">
        <f t="shared" si="8"/>
        <v>450013397490</v>
      </c>
      <c r="Q525" s="9" cm="1">
        <f t="array" ref="Q525:S525">VLOOKUP(P525,Hoja1!C:F,{2,3,4},FALSE)</f>
        <v>46249</v>
      </c>
      <c r="R525" t="str">
        <v>C03</v>
      </c>
      <c r="S525" t="str">
        <v>1000000754 AURELIA SACIYF</v>
      </c>
    </row>
    <row r="526" spans="1:19" x14ac:dyDescent="0.3">
      <c r="A526" s="2" t="s">
        <v>14</v>
      </c>
      <c r="B526" s="3" t="s">
        <v>14</v>
      </c>
      <c r="C526" s="3" t="s">
        <v>440</v>
      </c>
      <c r="D526" s="3" t="s">
        <v>14</v>
      </c>
      <c r="E526" s="3" t="s">
        <v>107</v>
      </c>
      <c r="F526" s="4">
        <v>46245</v>
      </c>
      <c r="G526" s="3" t="s">
        <v>44</v>
      </c>
      <c r="H526" s="6">
        <v>-1086740</v>
      </c>
      <c r="I526" s="3" t="s">
        <v>17</v>
      </c>
      <c r="J526" s="3" t="s">
        <v>14</v>
      </c>
      <c r="K526" s="3" t="s">
        <v>14</v>
      </c>
      <c r="L526" s="3" t="s">
        <v>424</v>
      </c>
      <c r="M526" s="4">
        <v>46252</v>
      </c>
      <c r="N526" s="3" t="s">
        <v>425</v>
      </c>
      <c r="O526" s="3" t="s">
        <v>345</v>
      </c>
      <c r="P526" t="str">
        <f t="shared" si="8"/>
        <v>4500133974100</v>
      </c>
      <c r="Q526" s="9" cm="1">
        <f t="array" ref="Q526:S526">VLOOKUP(P526,Hoja1!C:F,{2,3,4},FALSE)</f>
        <v>46249</v>
      </c>
      <c r="R526" t="str">
        <v>C03</v>
      </c>
      <c r="S526" t="str">
        <v>1000000754 AURELIA SACIYF</v>
      </c>
    </row>
    <row r="527" spans="1:19" x14ac:dyDescent="0.3">
      <c r="A527" s="2" t="s">
        <v>14</v>
      </c>
      <c r="B527" s="3" t="s">
        <v>14</v>
      </c>
      <c r="C527" s="3" t="s">
        <v>440</v>
      </c>
      <c r="D527" s="3" t="s">
        <v>14</v>
      </c>
      <c r="E527" s="3" t="s">
        <v>107</v>
      </c>
      <c r="F527" s="4">
        <v>46245</v>
      </c>
      <c r="G527" s="3" t="s">
        <v>44</v>
      </c>
      <c r="H527" s="6">
        <v>-52675</v>
      </c>
      <c r="I527" s="3" t="s">
        <v>17</v>
      </c>
      <c r="J527" s="3" t="s">
        <v>14</v>
      </c>
      <c r="K527" s="3" t="s">
        <v>14</v>
      </c>
      <c r="L527" s="3" t="s">
        <v>424</v>
      </c>
      <c r="M527" s="4">
        <v>46252</v>
      </c>
      <c r="N527" s="3" t="s">
        <v>425</v>
      </c>
      <c r="O527" s="3" t="s">
        <v>193</v>
      </c>
      <c r="P527" t="str">
        <f t="shared" si="8"/>
        <v>4500133974110</v>
      </c>
      <c r="Q527" s="9" cm="1">
        <f t="array" ref="Q527:S527">VLOOKUP(P527,Hoja1!C:F,{2,3,4},FALSE)</f>
        <v>46249</v>
      </c>
      <c r="R527" t="str">
        <v>C03</v>
      </c>
      <c r="S527" t="str">
        <v>1000000754 AURELIA SACIYF</v>
      </c>
    </row>
    <row r="528" spans="1:19" x14ac:dyDescent="0.3">
      <c r="A528" s="2" t="s">
        <v>14</v>
      </c>
      <c r="B528" s="3" t="s">
        <v>14</v>
      </c>
      <c r="C528" s="3" t="s">
        <v>440</v>
      </c>
      <c r="D528" s="3" t="s">
        <v>14</v>
      </c>
      <c r="E528" s="3" t="s">
        <v>107</v>
      </c>
      <c r="F528" s="4">
        <v>46245</v>
      </c>
      <c r="G528" s="3" t="s">
        <v>44</v>
      </c>
      <c r="H528" s="6">
        <v>-156060</v>
      </c>
      <c r="I528" s="3" t="s">
        <v>17</v>
      </c>
      <c r="J528" s="3" t="s">
        <v>14</v>
      </c>
      <c r="K528" s="3" t="s">
        <v>14</v>
      </c>
      <c r="L528" s="3" t="s">
        <v>424</v>
      </c>
      <c r="M528" s="4">
        <v>46252</v>
      </c>
      <c r="N528" s="3" t="s">
        <v>425</v>
      </c>
      <c r="O528" s="3" t="s">
        <v>400</v>
      </c>
      <c r="P528" t="str">
        <f t="shared" si="8"/>
        <v>4500133974120</v>
      </c>
      <c r="Q528" s="9" cm="1">
        <f t="array" ref="Q528:S528">VLOOKUP(P528,Hoja1!C:F,{2,3,4},FALSE)</f>
        <v>46249</v>
      </c>
      <c r="R528" t="str">
        <v>C03</v>
      </c>
      <c r="S528" t="str">
        <v>1000000754 AURELIA SACIYF</v>
      </c>
    </row>
    <row r="529" spans="1:19" x14ac:dyDescent="0.3">
      <c r="A529" s="2" t="s">
        <v>14</v>
      </c>
      <c r="B529" s="3" t="s">
        <v>14</v>
      </c>
      <c r="C529" s="3" t="s">
        <v>440</v>
      </c>
      <c r="D529" s="3" t="s">
        <v>14</v>
      </c>
      <c r="E529" s="3" t="s">
        <v>107</v>
      </c>
      <c r="F529" s="4">
        <v>46245</v>
      </c>
      <c r="G529" s="3" t="s">
        <v>44</v>
      </c>
      <c r="H529" s="6">
        <v>-395580</v>
      </c>
      <c r="I529" s="3" t="s">
        <v>17</v>
      </c>
      <c r="J529" s="3" t="s">
        <v>14</v>
      </c>
      <c r="K529" s="3" t="s">
        <v>14</v>
      </c>
      <c r="L529" s="3" t="s">
        <v>424</v>
      </c>
      <c r="M529" s="4">
        <v>46252</v>
      </c>
      <c r="N529" s="3" t="s">
        <v>425</v>
      </c>
      <c r="O529" s="3" t="s">
        <v>221</v>
      </c>
      <c r="P529" t="str">
        <f t="shared" si="8"/>
        <v>4500133974130</v>
      </c>
      <c r="Q529" s="9" cm="1">
        <f t="array" ref="Q529:S529">VLOOKUP(P529,Hoja1!C:F,{2,3,4},FALSE)</f>
        <v>46249</v>
      </c>
      <c r="R529" t="str">
        <v>C03</v>
      </c>
      <c r="S529" t="str">
        <v>1000000754 AURELIA SACIYF</v>
      </c>
    </row>
    <row r="530" spans="1:19" x14ac:dyDescent="0.3">
      <c r="A530" s="2" t="s">
        <v>14</v>
      </c>
      <c r="B530" s="3" t="s">
        <v>14</v>
      </c>
      <c r="C530" s="3" t="s">
        <v>440</v>
      </c>
      <c r="D530" s="3" t="s">
        <v>14</v>
      </c>
      <c r="E530" s="3" t="s">
        <v>107</v>
      </c>
      <c r="F530" s="4">
        <v>46245</v>
      </c>
      <c r="G530" s="3" t="s">
        <v>44</v>
      </c>
      <c r="H530" s="6">
        <v>-94260</v>
      </c>
      <c r="I530" s="3" t="s">
        <v>17</v>
      </c>
      <c r="J530" s="3" t="s">
        <v>14</v>
      </c>
      <c r="K530" s="3" t="s">
        <v>14</v>
      </c>
      <c r="L530" s="3" t="s">
        <v>424</v>
      </c>
      <c r="M530" s="4">
        <v>46252</v>
      </c>
      <c r="N530" s="3" t="s">
        <v>425</v>
      </c>
      <c r="O530" s="3" t="s">
        <v>401</v>
      </c>
      <c r="P530" t="str">
        <f t="shared" si="8"/>
        <v>4500133974140</v>
      </c>
      <c r="Q530" s="9" cm="1">
        <f t="array" ref="Q530:S530">VLOOKUP(P530,Hoja1!C:F,{2,3,4},FALSE)</f>
        <v>46249</v>
      </c>
      <c r="R530" t="str">
        <v>C03</v>
      </c>
      <c r="S530" t="str">
        <v>1000000754 AURELIA SACIYF</v>
      </c>
    </row>
    <row r="531" spans="1:19" x14ac:dyDescent="0.3">
      <c r="A531" s="2" t="s">
        <v>14</v>
      </c>
      <c r="B531" s="3" t="s">
        <v>14</v>
      </c>
      <c r="C531" s="3" t="s">
        <v>440</v>
      </c>
      <c r="D531" s="3" t="s">
        <v>14</v>
      </c>
      <c r="E531" s="3" t="s">
        <v>107</v>
      </c>
      <c r="F531" s="4">
        <v>46245</v>
      </c>
      <c r="G531" s="3" t="s">
        <v>44</v>
      </c>
      <c r="H531" s="6">
        <v>-54660</v>
      </c>
      <c r="I531" s="3" t="s">
        <v>17</v>
      </c>
      <c r="J531" s="3" t="s">
        <v>14</v>
      </c>
      <c r="K531" s="3" t="s">
        <v>14</v>
      </c>
      <c r="L531" s="3" t="s">
        <v>424</v>
      </c>
      <c r="M531" s="4">
        <v>46252</v>
      </c>
      <c r="N531" s="3" t="s">
        <v>425</v>
      </c>
      <c r="O531" s="3" t="s">
        <v>402</v>
      </c>
      <c r="P531" t="str">
        <f t="shared" si="8"/>
        <v>4500133974150</v>
      </c>
      <c r="Q531" s="9" cm="1">
        <f t="array" ref="Q531:S531">VLOOKUP(P531,Hoja1!C:F,{2,3,4},FALSE)</f>
        <v>46249</v>
      </c>
      <c r="R531" t="str">
        <v>C03</v>
      </c>
      <c r="S531" t="str">
        <v>1000000754 AURELIA SACIYF</v>
      </c>
    </row>
    <row r="532" spans="1:19" x14ac:dyDescent="0.3">
      <c r="A532" s="2" t="s">
        <v>14</v>
      </c>
      <c r="B532" s="3" t="s">
        <v>14</v>
      </c>
      <c r="C532" s="3" t="s">
        <v>440</v>
      </c>
      <c r="D532" s="3" t="s">
        <v>14</v>
      </c>
      <c r="E532" s="3" t="s">
        <v>107</v>
      </c>
      <c r="F532" s="4">
        <v>46245</v>
      </c>
      <c r="G532" s="3" t="s">
        <v>44</v>
      </c>
      <c r="H532" s="6">
        <v>-8280</v>
      </c>
      <c r="I532" s="3" t="s">
        <v>17</v>
      </c>
      <c r="J532" s="3" t="s">
        <v>14</v>
      </c>
      <c r="K532" s="3" t="s">
        <v>14</v>
      </c>
      <c r="L532" s="3" t="s">
        <v>424</v>
      </c>
      <c r="M532" s="4">
        <v>46252</v>
      </c>
      <c r="N532" s="3" t="s">
        <v>425</v>
      </c>
      <c r="O532" s="3" t="s">
        <v>403</v>
      </c>
      <c r="P532" t="str">
        <f t="shared" si="8"/>
        <v>4500133974160</v>
      </c>
      <c r="Q532" s="9" cm="1">
        <f t="array" ref="Q532:S532">VLOOKUP(P532,Hoja1!C:F,{2,3,4},FALSE)</f>
        <v>46249</v>
      </c>
      <c r="R532" t="str">
        <v>C03</v>
      </c>
      <c r="S532" t="str">
        <v>1000000754 AURELIA SACIYF</v>
      </c>
    </row>
    <row r="533" spans="1:19" x14ac:dyDescent="0.3">
      <c r="A533" s="2" t="s">
        <v>14</v>
      </c>
      <c r="B533" s="3" t="s">
        <v>14</v>
      </c>
      <c r="C533" s="3" t="s">
        <v>440</v>
      </c>
      <c r="D533" s="3" t="s">
        <v>14</v>
      </c>
      <c r="E533" s="3" t="s">
        <v>107</v>
      </c>
      <c r="F533" s="4">
        <v>46245</v>
      </c>
      <c r="G533" s="3" t="s">
        <v>44</v>
      </c>
      <c r="H533" s="6">
        <v>-35400</v>
      </c>
      <c r="I533" s="3" t="s">
        <v>17</v>
      </c>
      <c r="J533" s="3" t="s">
        <v>14</v>
      </c>
      <c r="K533" s="3" t="s">
        <v>14</v>
      </c>
      <c r="L533" s="3" t="s">
        <v>424</v>
      </c>
      <c r="M533" s="4">
        <v>46252</v>
      </c>
      <c r="N533" s="3" t="s">
        <v>425</v>
      </c>
      <c r="O533" s="3" t="s">
        <v>346</v>
      </c>
      <c r="P533" t="str">
        <f t="shared" si="8"/>
        <v>4500133974170</v>
      </c>
      <c r="Q533" s="9" cm="1">
        <f t="array" ref="Q533:S533">VLOOKUP(P533,Hoja1!C:F,{2,3,4},FALSE)</f>
        <v>46249</v>
      </c>
      <c r="R533" t="str">
        <v>C03</v>
      </c>
      <c r="S533" t="str">
        <v>1000000754 AURELIA SACIYF</v>
      </c>
    </row>
    <row r="534" spans="1:19" x14ac:dyDescent="0.3">
      <c r="A534" s="2" t="s">
        <v>14</v>
      </c>
      <c r="B534" s="3" t="s">
        <v>14</v>
      </c>
      <c r="C534" s="3" t="s">
        <v>440</v>
      </c>
      <c r="D534" s="3" t="s">
        <v>14</v>
      </c>
      <c r="E534" s="3" t="s">
        <v>107</v>
      </c>
      <c r="F534" s="4">
        <v>46245</v>
      </c>
      <c r="G534" s="3" t="s">
        <v>44</v>
      </c>
      <c r="H534" s="6">
        <v>-7258200</v>
      </c>
      <c r="I534" s="3" t="s">
        <v>17</v>
      </c>
      <c r="J534" s="3" t="s">
        <v>14</v>
      </c>
      <c r="K534" s="3" t="s">
        <v>14</v>
      </c>
      <c r="L534" s="3" t="s">
        <v>424</v>
      </c>
      <c r="M534" s="4">
        <v>46252</v>
      </c>
      <c r="N534" s="3" t="s">
        <v>425</v>
      </c>
      <c r="O534" s="3" t="s">
        <v>404</v>
      </c>
      <c r="P534" t="str">
        <f t="shared" si="8"/>
        <v>4500133974190</v>
      </c>
      <c r="Q534" s="9" cm="1">
        <f t="array" ref="Q534:S534">VLOOKUP(P534,Hoja1!C:F,{2,3,4},FALSE)</f>
        <v>46249</v>
      </c>
      <c r="R534" t="str">
        <v>C03</v>
      </c>
      <c r="S534" t="str">
        <v>1000000754 AURELIA SACIYF</v>
      </c>
    </row>
    <row r="535" spans="1:19" x14ac:dyDescent="0.3">
      <c r="A535" s="2" t="s">
        <v>14</v>
      </c>
      <c r="B535" s="3" t="s">
        <v>14</v>
      </c>
      <c r="C535" s="3" t="s">
        <v>440</v>
      </c>
      <c r="D535" s="3" t="s">
        <v>14</v>
      </c>
      <c r="E535" s="3" t="s">
        <v>107</v>
      </c>
      <c r="F535" s="4">
        <v>46245</v>
      </c>
      <c r="G535" s="3" t="s">
        <v>44</v>
      </c>
      <c r="H535" s="6">
        <v>-22720</v>
      </c>
      <c r="I535" s="3" t="s">
        <v>17</v>
      </c>
      <c r="J535" s="3" t="s">
        <v>14</v>
      </c>
      <c r="K535" s="3" t="s">
        <v>14</v>
      </c>
      <c r="L535" s="3" t="s">
        <v>424</v>
      </c>
      <c r="M535" s="4">
        <v>46252</v>
      </c>
      <c r="N535" s="3" t="s">
        <v>425</v>
      </c>
      <c r="O535" s="3" t="s">
        <v>405</v>
      </c>
      <c r="P535" t="str">
        <f t="shared" si="8"/>
        <v>4500133974200</v>
      </c>
      <c r="Q535" s="9" cm="1">
        <f t="array" ref="Q535:S535">VLOOKUP(P535,Hoja1!C:F,{2,3,4},FALSE)</f>
        <v>46249</v>
      </c>
      <c r="R535" t="str">
        <v>C03</v>
      </c>
      <c r="S535" t="str">
        <v>1000000754 AURELIA SACIYF</v>
      </c>
    </row>
    <row r="536" spans="1:19" x14ac:dyDescent="0.3">
      <c r="A536" s="2" t="s">
        <v>14</v>
      </c>
      <c r="B536" s="3" t="s">
        <v>14</v>
      </c>
      <c r="C536" s="3" t="s">
        <v>440</v>
      </c>
      <c r="D536" s="3" t="s">
        <v>14</v>
      </c>
      <c r="E536" s="3" t="s">
        <v>107</v>
      </c>
      <c r="F536" s="4">
        <v>46245</v>
      </c>
      <c r="G536" s="3" t="s">
        <v>44</v>
      </c>
      <c r="H536" s="6">
        <v>-1641500</v>
      </c>
      <c r="I536" s="3" t="s">
        <v>17</v>
      </c>
      <c r="J536" s="3" t="s">
        <v>14</v>
      </c>
      <c r="K536" s="3" t="s">
        <v>14</v>
      </c>
      <c r="L536" s="3" t="s">
        <v>424</v>
      </c>
      <c r="M536" s="4">
        <v>46252</v>
      </c>
      <c r="N536" s="3" t="s">
        <v>425</v>
      </c>
      <c r="O536" s="3" t="s">
        <v>348</v>
      </c>
      <c r="P536" t="str">
        <f t="shared" si="8"/>
        <v>4500133974210</v>
      </c>
      <c r="Q536" s="9" cm="1">
        <f t="array" ref="Q536:S536">VLOOKUP(P536,Hoja1!C:F,{2,3,4},FALSE)</f>
        <v>46295</v>
      </c>
      <c r="R536" t="str">
        <v>C03</v>
      </c>
      <c r="S536" t="str">
        <v>1000000754 AURELIA SACIYF</v>
      </c>
    </row>
    <row r="537" spans="1:19" x14ac:dyDescent="0.3">
      <c r="A537" s="2" t="s">
        <v>14</v>
      </c>
      <c r="B537" s="3" t="s">
        <v>14</v>
      </c>
      <c r="C537" s="3" t="s">
        <v>440</v>
      </c>
      <c r="D537" s="3" t="s">
        <v>14</v>
      </c>
      <c r="E537" s="3" t="s">
        <v>107</v>
      </c>
      <c r="F537" s="4">
        <v>46245</v>
      </c>
      <c r="G537" s="3" t="s">
        <v>44</v>
      </c>
      <c r="H537" s="6">
        <v>-222000</v>
      </c>
      <c r="I537" s="3" t="s">
        <v>17</v>
      </c>
      <c r="J537" s="3" t="s">
        <v>14</v>
      </c>
      <c r="K537" s="3" t="s">
        <v>14</v>
      </c>
      <c r="L537" s="3" t="s">
        <v>424</v>
      </c>
      <c r="M537" s="4">
        <v>46252</v>
      </c>
      <c r="N537" s="3" t="s">
        <v>425</v>
      </c>
      <c r="O537" s="3" t="s">
        <v>441</v>
      </c>
      <c r="P537" t="str">
        <f t="shared" si="8"/>
        <v>4500133974220</v>
      </c>
      <c r="Q537" s="9" cm="1">
        <f t="array" ref="Q537:S537">VLOOKUP(P537,Hoja1!C:F,{2,3,4},FALSE)</f>
        <v>46249</v>
      </c>
      <c r="R537" t="str">
        <v>C03</v>
      </c>
      <c r="S537" t="str">
        <v>1000000754 AURELIA SACIYF</v>
      </c>
    </row>
    <row r="538" spans="1:19" x14ac:dyDescent="0.3">
      <c r="A538" s="2" t="s">
        <v>14</v>
      </c>
      <c r="B538" s="3" t="s">
        <v>14</v>
      </c>
      <c r="C538" s="3" t="s">
        <v>440</v>
      </c>
      <c r="D538" s="3" t="s">
        <v>14</v>
      </c>
      <c r="E538" s="3" t="s">
        <v>107</v>
      </c>
      <c r="F538" s="4">
        <v>46245</v>
      </c>
      <c r="G538" s="3" t="s">
        <v>44</v>
      </c>
      <c r="H538" s="6">
        <v>-586528</v>
      </c>
      <c r="I538" s="3" t="s">
        <v>17</v>
      </c>
      <c r="J538" s="3" t="s">
        <v>14</v>
      </c>
      <c r="K538" s="3" t="s">
        <v>14</v>
      </c>
      <c r="L538" s="3" t="s">
        <v>424</v>
      </c>
      <c r="M538" s="4">
        <v>46252</v>
      </c>
      <c r="N538" s="3" t="s">
        <v>425</v>
      </c>
      <c r="O538" s="3" t="s">
        <v>349</v>
      </c>
      <c r="P538" t="str">
        <f t="shared" si="8"/>
        <v>4500133974230</v>
      </c>
      <c r="Q538" s="9" cm="1">
        <f t="array" ref="Q538:S538">VLOOKUP(P538,Hoja1!C:F,{2,3,4},FALSE)</f>
        <v>46249</v>
      </c>
      <c r="R538" t="str">
        <v>C03</v>
      </c>
      <c r="S538" t="str">
        <v>1000000754 AURELIA SACIYF</v>
      </c>
    </row>
    <row r="539" spans="1:19" x14ac:dyDescent="0.3">
      <c r="A539" s="2" t="s">
        <v>14</v>
      </c>
      <c r="B539" s="3" t="s">
        <v>14</v>
      </c>
      <c r="C539" s="3" t="s">
        <v>440</v>
      </c>
      <c r="D539" s="3" t="s">
        <v>14</v>
      </c>
      <c r="E539" s="3" t="s">
        <v>107</v>
      </c>
      <c r="F539" s="4">
        <v>46245</v>
      </c>
      <c r="G539" s="3" t="s">
        <v>44</v>
      </c>
      <c r="H539" s="6">
        <v>-3921246</v>
      </c>
      <c r="I539" s="3" t="s">
        <v>17</v>
      </c>
      <c r="J539" s="3" t="s">
        <v>14</v>
      </c>
      <c r="K539" s="3" t="s">
        <v>14</v>
      </c>
      <c r="L539" s="3" t="s">
        <v>424</v>
      </c>
      <c r="M539" s="4">
        <v>46252</v>
      </c>
      <c r="N539" s="3" t="s">
        <v>425</v>
      </c>
      <c r="O539" s="3" t="s">
        <v>350</v>
      </c>
      <c r="P539" t="str">
        <f t="shared" si="8"/>
        <v>4500133974240</v>
      </c>
      <c r="Q539" s="9" cm="1">
        <f t="array" ref="Q539:S539">VLOOKUP(P539,Hoja1!C:F,{2,3,4},FALSE)</f>
        <v>46249</v>
      </c>
      <c r="R539" t="str">
        <v>C03</v>
      </c>
      <c r="S539" t="str">
        <v>1000000754 AURELIA SACIYF</v>
      </c>
    </row>
    <row r="540" spans="1:19" x14ac:dyDescent="0.3">
      <c r="A540" s="2" t="s">
        <v>14</v>
      </c>
      <c r="B540" s="3" t="s">
        <v>14</v>
      </c>
      <c r="C540" s="3" t="s">
        <v>440</v>
      </c>
      <c r="D540" s="3" t="s">
        <v>14</v>
      </c>
      <c r="E540" s="3" t="s">
        <v>107</v>
      </c>
      <c r="F540" s="4">
        <v>46245</v>
      </c>
      <c r="G540" s="3" t="s">
        <v>44</v>
      </c>
      <c r="H540" s="6">
        <v>-4767280</v>
      </c>
      <c r="I540" s="3" t="s">
        <v>17</v>
      </c>
      <c r="J540" s="3" t="s">
        <v>14</v>
      </c>
      <c r="K540" s="3" t="s">
        <v>14</v>
      </c>
      <c r="L540" s="3" t="s">
        <v>424</v>
      </c>
      <c r="M540" s="4">
        <v>46252</v>
      </c>
      <c r="N540" s="3" t="s">
        <v>425</v>
      </c>
      <c r="O540" s="3" t="s">
        <v>351</v>
      </c>
      <c r="P540" t="str">
        <f t="shared" si="8"/>
        <v>4500133974250</v>
      </c>
      <c r="Q540" s="9" cm="1">
        <f t="array" ref="Q540:S540">VLOOKUP(P540,Hoja1!C:F,{2,3,4},FALSE)</f>
        <v>46249</v>
      </c>
      <c r="R540" t="str">
        <v>C03</v>
      </c>
      <c r="S540" t="str">
        <v>1000000754 AURELIA SACIYF</v>
      </c>
    </row>
    <row r="541" spans="1:19" x14ac:dyDescent="0.3">
      <c r="A541" s="2" t="s">
        <v>14</v>
      </c>
      <c r="B541" s="3" t="s">
        <v>14</v>
      </c>
      <c r="C541" s="3" t="s">
        <v>440</v>
      </c>
      <c r="D541" s="3" t="s">
        <v>14</v>
      </c>
      <c r="E541" s="3" t="s">
        <v>107</v>
      </c>
      <c r="F541" s="4">
        <v>46245</v>
      </c>
      <c r="G541" s="3" t="s">
        <v>44</v>
      </c>
      <c r="H541" s="6">
        <v>-3900180</v>
      </c>
      <c r="I541" s="3" t="s">
        <v>17</v>
      </c>
      <c r="J541" s="3" t="s">
        <v>14</v>
      </c>
      <c r="K541" s="3" t="s">
        <v>14</v>
      </c>
      <c r="L541" s="3" t="s">
        <v>424</v>
      </c>
      <c r="M541" s="4">
        <v>46252</v>
      </c>
      <c r="N541" s="3" t="s">
        <v>425</v>
      </c>
      <c r="O541" s="3" t="s">
        <v>352</v>
      </c>
      <c r="P541" t="str">
        <f t="shared" si="8"/>
        <v>4500133974260</v>
      </c>
      <c r="Q541" s="9" cm="1">
        <f t="array" ref="Q541:S541">VLOOKUP(P541,Hoja1!C:F,{2,3,4},FALSE)</f>
        <v>46249</v>
      </c>
      <c r="R541" t="str">
        <v>C03</v>
      </c>
      <c r="S541" t="str">
        <v>1000000754 AURELIA SACIYF</v>
      </c>
    </row>
    <row r="542" spans="1:19" x14ac:dyDescent="0.3">
      <c r="A542" s="2" t="s">
        <v>14</v>
      </c>
      <c r="B542" s="3" t="s">
        <v>14</v>
      </c>
      <c r="C542" s="3" t="s">
        <v>440</v>
      </c>
      <c r="D542" s="3" t="s">
        <v>14</v>
      </c>
      <c r="E542" s="3" t="s">
        <v>107</v>
      </c>
      <c r="F542" s="4">
        <v>46245</v>
      </c>
      <c r="G542" s="3" t="s">
        <v>44</v>
      </c>
      <c r="H542" s="6">
        <v>-2600480</v>
      </c>
      <c r="I542" s="3" t="s">
        <v>17</v>
      </c>
      <c r="J542" s="3" t="s">
        <v>14</v>
      </c>
      <c r="K542" s="3" t="s">
        <v>14</v>
      </c>
      <c r="L542" s="3" t="s">
        <v>424</v>
      </c>
      <c r="M542" s="4">
        <v>46252</v>
      </c>
      <c r="N542" s="3" t="s">
        <v>425</v>
      </c>
      <c r="O542" s="3" t="s">
        <v>442</v>
      </c>
      <c r="P542" t="str">
        <f t="shared" si="8"/>
        <v>4500133974270</v>
      </c>
      <c r="Q542" s="9" cm="1">
        <f t="array" ref="Q542:S542">VLOOKUP(P542,Hoja1!C:F,{2,3,4},FALSE)</f>
        <v>46249</v>
      </c>
      <c r="R542" t="str">
        <v>C03</v>
      </c>
      <c r="S542" t="str">
        <v>1000000754 AURELIA SACIYF</v>
      </c>
    </row>
    <row r="543" spans="1:19" x14ac:dyDescent="0.3">
      <c r="A543" s="2" t="s">
        <v>14</v>
      </c>
      <c r="B543" s="3" t="s">
        <v>14</v>
      </c>
      <c r="C543" s="3" t="s">
        <v>440</v>
      </c>
      <c r="D543" s="3" t="s">
        <v>14</v>
      </c>
      <c r="E543" s="3" t="s">
        <v>107</v>
      </c>
      <c r="F543" s="4">
        <v>46245</v>
      </c>
      <c r="G543" s="3" t="s">
        <v>44</v>
      </c>
      <c r="H543" s="6">
        <v>-12432600</v>
      </c>
      <c r="I543" s="3" t="s">
        <v>17</v>
      </c>
      <c r="J543" s="3" t="s">
        <v>14</v>
      </c>
      <c r="K543" s="3" t="s">
        <v>14</v>
      </c>
      <c r="L543" s="3" t="s">
        <v>424</v>
      </c>
      <c r="M543" s="4">
        <v>46252</v>
      </c>
      <c r="N543" s="3" t="s">
        <v>425</v>
      </c>
      <c r="O543" s="3" t="s">
        <v>443</v>
      </c>
      <c r="P543" t="str">
        <f t="shared" si="8"/>
        <v>4500133974280</v>
      </c>
      <c r="Q543" s="9" cm="1">
        <f t="array" ref="Q543:S543">VLOOKUP(P543,Hoja1!C:F,{2,3,4},FALSE)</f>
        <v>46249</v>
      </c>
      <c r="R543" t="str">
        <v>C03</v>
      </c>
      <c r="S543" t="str">
        <v>1000000754 AURELIA SACIYF</v>
      </c>
    </row>
    <row r="544" spans="1:19" x14ac:dyDescent="0.3">
      <c r="A544" s="2" t="s">
        <v>14</v>
      </c>
      <c r="B544" s="3" t="s">
        <v>14</v>
      </c>
      <c r="C544" s="3" t="s">
        <v>444</v>
      </c>
      <c r="D544" s="3" t="s">
        <v>14</v>
      </c>
      <c r="E544" s="3" t="s">
        <v>107</v>
      </c>
      <c r="F544" s="4">
        <v>46253</v>
      </c>
      <c r="G544" s="3" t="s">
        <v>44</v>
      </c>
      <c r="H544" s="6">
        <v>-10042200</v>
      </c>
      <c r="I544" s="3" t="s">
        <v>17</v>
      </c>
      <c r="J544" s="3" t="s">
        <v>14</v>
      </c>
      <c r="K544" s="3" t="s">
        <v>14</v>
      </c>
      <c r="L544" s="3" t="s">
        <v>121</v>
      </c>
      <c r="M544" s="4">
        <v>46253</v>
      </c>
      <c r="N544" s="3" t="s">
        <v>312</v>
      </c>
      <c r="O544" s="3" t="s">
        <v>34</v>
      </c>
      <c r="P544" t="str">
        <f t="shared" si="8"/>
        <v>450012941210</v>
      </c>
      <c r="Q544" s="9" cm="1">
        <f t="array" ref="Q544:S544">VLOOKUP(P544,Hoja1!C:F,{2,3,4},FALSE)</f>
        <v>46325</v>
      </c>
      <c r="R544" t="str">
        <v>C21</v>
      </c>
      <c r="S544" t="str">
        <v>1000000634 RAIZEN ARGENTINA S.A.U.</v>
      </c>
    </row>
    <row r="545" spans="1:19" x14ac:dyDescent="0.3">
      <c r="A545" s="2" t="s">
        <v>14</v>
      </c>
      <c r="B545" s="3" t="s">
        <v>14</v>
      </c>
      <c r="C545" s="3" t="s">
        <v>444</v>
      </c>
      <c r="D545" s="3" t="s">
        <v>14</v>
      </c>
      <c r="E545" s="3" t="s">
        <v>107</v>
      </c>
      <c r="F545" s="4">
        <v>46253</v>
      </c>
      <c r="G545" s="3" t="s">
        <v>44</v>
      </c>
      <c r="H545" s="6">
        <v>-1144500</v>
      </c>
      <c r="I545" s="3" t="s">
        <v>17</v>
      </c>
      <c r="J545" s="3" t="s">
        <v>14</v>
      </c>
      <c r="K545" s="3" t="s">
        <v>14</v>
      </c>
      <c r="L545" s="3" t="s">
        <v>121</v>
      </c>
      <c r="M545" s="4">
        <v>46253</v>
      </c>
      <c r="N545" s="3" t="s">
        <v>312</v>
      </c>
      <c r="O545" s="3" t="s">
        <v>34</v>
      </c>
      <c r="P545" t="str">
        <f t="shared" si="8"/>
        <v>450012941210</v>
      </c>
      <c r="Q545" s="9" cm="1">
        <f t="array" ref="Q545:S545">VLOOKUP(P545,Hoja1!C:F,{2,3,4},FALSE)</f>
        <v>46325</v>
      </c>
      <c r="R545" t="str">
        <v>C21</v>
      </c>
      <c r="S545" t="str">
        <v>1000000634 RAIZEN ARGENTINA S.A.U.</v>
      </c>
    </row>
    <row r="546" spans="1:19" x14ac:dyDescent="0.3">
      <c r="A546" s="2" t="s">
        <v>14</v>
      </c>
      <c r="B546" s="3" t="s">
        <v>14</v>
      </c>
      <c r="C546" s="3" t="s">
        <v>445</v>
      </c>
      <c r="D546" s="3" t="s">
        <v>14</v>
      </c>
      <c r="E546" s="3" t="s">
        <v>107</v>
      </c>
      <c r="F546" s="4">
        <v>46253</v>
      </c>
      <c r="G546" s="3" t="s">
        <v>44</v>
      </c>
      <c r="H546" s="6">
        <v>-614350</v>
      </c>
      <c r="I546" s="3" t="s">
        <v>17</v>
      </c>
      <c r="J546" s="3" t="s">
        <v>14</v>
      </c>
      <c r="K546" s="3" t="s">
        <v>14</v>
      </c>
      <c r="L546" s="3" t="s">
        <v>108</v>
      </c>
      <c r="M546" s="4">
        <v>46253</v>
      </c>
      <c r="N546" s="3" t="s">
        <v>375</v>
      </c>
      <c r="O546" s="3" t="s">
        <v>34</v>
      </c>
      <c r="P546" t="str">
        <f t="shared" si="8"/>
        <v>450013040410</v>
      </c>
      <c r="Q546" s="9" cm="1">
        <f t="array" ref="Q546:S546">VLOOKUP(P546,Hoja1!C:F,{2,3,4},FALSE)</f>
        <v>46296</v>
      </c>
      <c r="R546" t="str">
        <v>C21</v>
      </c>
      <c r="S546" t="str">
        <v>1000001020 COMBUSTIBLES BARCELO S.R.L.</v>
      </c>
    </row>
    <row r="547" spans="1:19" x14ac:dyDescent="0.3">
      <c r="A547" s="2" t="s">
        <v>14</v>
      </c>
      <c r="B547" s="3" t="s">
        <v>14</v>
      </c>
      <c r="C547" s="3" t="s">
        <v>445</v>
      </c>
      <c r="D547" s="3" t="s">
        <v>14</v>
      </c>
      <c r="E547" s="3" t="s">
        <v>107</v>
      </c>
      <c r="F547" s="4">
        <v>46253</v>
      </c>
      <c r="G547" s="3" t="s">
        <v>44</v>
      </c>
      <c r="H547" s="6">
        <v>-70025</v>
      </c>
      <c r="I547" s="3" t="s">
        <v>17</v>
      </c>
      <c r="J547" s="3" t="s">
        <v>14</v>
      </c>
      <c r="K547" s="3" t="s">
        <v>14</v>
      </c>
      <c r="L547" s="3" t="s">
        <v>108</v>
      </c>
      <c r="M547" s="4">
        <v>46253</v>
      </c>
      <c r="N547" s="3" t="s">
        <v>375</v>
      </c>
      <c r="O547" s="3" t="s">
        <v>34</v>
      </c>
      <c r="P547" t="str">
        <f t="shared" si="8"/>
        <v>450013040410</v>
      </c>
      <c r="Q547" s="9" cm="1">
        <f t="array" ref="Q547:S547">VLOOKUP(P547,Hoja1!C:F,{2,3,4},FALSE)</f>
        <v>46296</v>
      </c>
      <c r="R547" t="str">
        <v>C21</v>
      </c>
      <c r="S547" t="str">
        <v>1000001020 COMBUSTIBLES BARCELO S.R.L.</v>
      </c>
    </row>
    <row r="548" spans="1:19" x14ac:dyDescent="0.3">
      <c r="A548" s="2" t="s">
        <v>14</v>
      </c>
      <c r="B548" s="3" t="s">
        <v>14</v>
      </c>
      <c r="C548" s="3" t="s">
        <v>446</v>
      </c>
      <c r="D548" s="3" t="s">
        <v>36</v>
      </c>
      <c r="E548" s="3" t="s">
        <v>107</v>
      </c>
      <c r="F548" s="4">
        <v>46255</v>
      </c>
      <c r="G548" s="3" t="s">
        <v>44</v>
      </c>
      <c r="H548" s="6">
        <v>-1194000</v>
      </c>
      <c r="I548" s="3" t="s">
        <v>17</v>
      </c>
      <c r="J548" s="3" t="s">
        <v>14</v>
      </c>
      <c r="K548" s="3" t="s">
        <v>14</v>
      </c>
      <c r="L548" s="3" t="s">
        <v>447</v>
      </c>
      <c r="M548" s="4">
        <v>46255</v>
      </c>
      <c r="N548" s="3" t="s">
        <v>448</v>
      </c>
      <c r="O548" s="3" t="s">
        <v>34</v>
      </c>
      <c r="P548" t="str">
        <f t="shared" si="8"/>
        <v>450013481810</v>
      </c>
      <c r="Q548" s="9" cm="1">
        <f t="array" ref="Q548:S548">VLOOKUP(P548,Hoja1!C:F,{2,3,4},FALSE)</f>
        <v>46387</v>
      </c>
      <c r="R548" t="str">
        <v>C25</v>
      </c>
      <c r="S548" t="str">
        <v>1000001691 LENOR SRL</v>
      </c>
    </row>
    <row r="549" spans="1:19" x14ac:dyDescent="0.3">
      <c r="A549" s="2" t="s">
        <v>14</v>
      </c>
      <c r="B549" s="3" t="s">
        <v>14</v>
      </c>
      <c r="C549" s="3" t="s">
        <v>446</v>
      </c>
      <c r="D549" s="3" t="s">
        <v>36</v>
      </c>
      <c r="E549" s="3" t="s">
        <v>107</v>
      </c>
      <c r="F549" s="4">
        <v>46255</v>
      </c>
      <c r="G549" s="3" t="s">
        <v>44</v>
      </c>
      <c r="H549" s="6">
        <v>-1253700</v>
      </c>
      <c r="I549" s="3" t="s">
        <v>17</v>
      </c>
      <c r="J549" s="3" t="s">
        <v>14</v>
      </c>
      <c r="K549" s="3" t="s">
        <v>14</v>
      </c>
      <c r="L549" s="3" t="s">
        <v>447</v>
      </c>
      <c r="M549" s="4">
        <v>46255</v>
      </c>
      <c r="N549" s="3" t="s">
        <v>448</v>
      </c>
      <c r="O549" s="3" t="s">
        <v>22</v>
      </c>
      <c r="P549" t="str">
        <f t="shared" si="8"/>
        <v>450013481830</v>
      </c>
      <c r="Q549" s="9" cm="1">
        <f t="array" ref="Q549:S549">VLOOKUP(P549,Hoja1!C:F,{2,3,4},FALSE)</f>
        <v>46387</v>
      </c>
      <c r="R549" t="str">
        <v>C25</v>
      </c>
      <c r="S549" t="str">
        <v>1000001691 LENOR SRL</v>
      </c>
    </row>
    <row r="550" spans="1:19" x14ac:dyDescent="0.3">
      <c r="A550" s="2" t="s">
        <v>14</v>
      </c>
      <c r="B550" s="3" t="s">
        <v>14</v>
      </c>
      <c r="C550" s="3" t="s">
        <v>446</v>
      </c>
      <c r="D550" s="3" t="s">
        <v>36</v>
      </c>
      <c r="E550" s="3" t="s">
        <v>107</v>
      </c>
      <c r="F550" s="4">
        <v>46255</v>
      </c>
      <c r="G550" s="3" t="s">
        <v>44</v>
      </c>
      <c r="H550" s="6">
        <v>-119400</v>
      </c>
      <c r="I550" s="3" t="s">
        <v>17</v>
      </c>
      <c r="J550" s="3" t="s">
        <v>14</v>
      </c>
      <c r="K550" s="3" t="s">
        <v>14</v>
      </c>
      <c r="L550" s="3" t="s">
        <v>447</v>
      </c>
      <c r="M550" s="4">
        <v>46255</v>
      </c>
      <c r="N550" s="3" t="s">
        <v>448</v>
      </c>
      <c r="O550" s="3" t="s">
        <v>26</v>
      </c>
      <c r="P550" t="str">
        <f t="shared" si="8"/>
        <v>450013481840</v>
      </c>
      <c r="Q550" s="9" cm="1">
        <f t="array" ref="Q550:S550">VLOOKUP(P550,Hoja1!C:F,{2,3,4},FALSE)</f>
        <v>46387</v>
      </c>
      <c r="R550" t="str">
        <v>C25</v>
      </c>
      <c r="S550" t="str">
        <v>1000001691 LENOR SRL</v>
      </c>
    </row>
    <row r="551" spans="1:19" x14ac:dyDescent="0.3">
      <c r="A551" s="2" t="s">
        <v>14</v>
      </c>
      <c r="B551" s="3" t="s">
        <v>14</v>
      </c>
      <c r="C551" s="3" t="s">
        <v>449</v>
      </c>
      <c r="D551" s="3" t="s">
        <v>14</v>
      </c>
      <c r="E551" s="3" t="s">
        <v>107</v>
      </c>
      <c r="F551" s="4">
        <v>46256</v>
      </c>
      <c r="G551" s="3" t="s">
        <v>44</v>
      </c>
      <c r="H551" s="6">
        <v>-10281300</v>
      </c>
      <c r="I551" s="3" t="s">
        <v>17</v>
      </c>
      <c r="J551" s="3" t="s">
        <v>14</v>
      </c>
      <c r="K551" s="3" t="s">
        <v>14</v>
      </c>
      <c r="L551" s="3" t="s">
        <v>121</v>
      </c>
      <c r="M551" s="4">
        <v>46256</v>
      </c>
      <c r="N551" s="3" t="s">
        <v>312</v>
      </c>
      <c r="O551" s="3" t="s">
        <v>34</v>
      </c>
      <c r="P551" t="str">
        <f t="shared" si="8"/>
        <v>450012941210</v>
      </c>
      <c r="Q551" s="9" cm="1">
        <f t="array" ref="Q551:S551">VLOOKUP(P551,Hoja1!C:F,{2,3,4},FALSE)</f>
        <v>46325</v>
      </c>
      <c r="R551" t="str">
        <v>C21</v>
      </c>
      <c r="S551" t="str">
        <v>1000000634 RAIZEN ARGENTINA S.A.U.</v>
      </c>
    </row>
    <row r="552" spans="1:19" x14ac:dyDescent="0.3">
      <c r="A552" s="2" t="s">
        <v>14</v>
      </c>
      <c r="B552" s="3" t="s">
        <v>14</v>
      </c>
      <c r="C552" s="3" t="s">
        <v>449</v>
      </c>
      <c r="D552" s="3" t="s">
        <v>14</v>
      </c>
      <c r="E552" s="3" t="s">
        <v>107</v>
      </c>
      <c r="F552" s="4">
        <v>46256</v>
      </c>
      <c r="G552" s="3" t="s">
        <v>44</v>
      </c>
      <c r="H552" s="6">
        <v>-1171750</v>
      </c>
      <c r="I552" s="3" t="s">
        <v>17</v>
      </c>
      <c r="J552" s="3" t="s">
        <v>14</v>
      </c>
      <c r="K552" s="3" t="s">
        <v>14</v>
      </c>
      <c r="L552" s="3" t="s">
        <v>121</v>
      </c>
      <c r="M552" s="4">
        <v>46256</v>
      </c>
      <c r="N552" s="3" t="s">
        <v>312</v>
      </c>
      <c r="O552" s="3" t="s">
        <v>34</v>
      </c>
      <c r="P552" t="str">
        <f t="shared" si="8"/>
        <v>450012941210</v>
      </c>
      <c r="Q552" s="9" cm="1">
        <f t="array" ref="Q552:S552">VLOOKUP(P552,Hoja1!C:F,{2,3,4},FALSE)</f>
        <v>46325</v>
      </c>
      <c r="R552" t="str">
        <v>C21</v>
      </c>
      <c r="S552" t="str">
        <v>1000000634 RAIZEN ARGENTINA S.A.U.</v>
      </c>
    </row>
    <row r="553" spans="1:19" x14ac:dyDescent="0.3">
      <c r="A553" s="2" t="s">
        <v>14</v>
      </c>
      <c r="B553" s="3" t="s">
        <v>14</v>
      </c>
      <c r="C553" s="3" t="s">
        <v>450</v>
      </c>
      <c r="D553" s="3" t="s">
        <v>14</v>
      </c>
      <c r="E553" s="3" t="s">
        <v>107</v>
      </c>
      <c r="F553" s="4">
        <v>46258</v>
      </c>
      <c r="G553" s="3" t="s">
        <v>44</v>
      </c>
      <c r="H553" s="6">
        <v>-206412.3</v>
      </c>
      <c r="I553" s="3" t="s">
        <v>17</v>
      </c>
      <c r="J553" s="3" t="s">
        <v>14</v>
      </c>
      <c r="K553" s="3" t="s">
        <v>14</v>
      </c>
      <c r="L553" s="3" t="s">
        <v>451</v>
      </c>
      <c r="M553" s="4">
        <v>46258</v>
      </c>
      <c r="N553" s="3" t="s">
        <v>452</v>
      </c>
      <c r="O553" s="3" t="s">
        <v>26</v>
      </c>
      <c r="P553" t="str">
        <f t="shared" si="8"/>
        <v>450013608840</v>
      </c>
      <c r="Q553" s="9" cm="1">
        <f t="array" ref="Q553:S553">VLOOKUP(P553,Hoja1!C:F,{2,3,4},FALSE)</f>
        <v>46254</v>
      </c>
      <c r="R553" t="str">
        <v>C39</v>
      </c>
      <c r="S553" t="str">
        <v>1000001514 PIZZOLON PIETRO S.A.</v>
      </c>
    </row>
    <row r="554" spans="1:19" x14ac:dyDescent="0.3">
      <c r="A554" s="2" t="s">
        <v>14</v>
      </c>
      <c r="B554" s="3" t="s">
        <v>14</v>
      </c>
      <c r="C554" s="3" t="s">
        <v>450</v>
      </c>
      <c r="D554" s="3" t="s">
        <v>14</v>
      </c>
      <c r="E554" s="3" t="s">
        <v>107</v>
      </c>
      <c r="F554" s="4">
        <v>46258</v>
      </c>
      <c r="G554" s="3" t="s">
        <v>44</v>
      </c>
      <c r="H554" s="6">
        <v>-2272.5</v>
      </c>
      <c r="I554" s="3" t="s">
        <v>17</v>
      </c>
      <c r="J554" s="3" t="s">
        <v>14</v>
      </c>
      <c r="K554" s="3" t="s">
        <v>14</v>
      </c>
      <c r="L554" s="3" t="s">
        <v>451</v>
      </c>
      <c r="M554" s="4">
        <v>46258</v>
      </c>
      <c r="N554" s="3" t="s">
        <v>452</v>
      </c>
      <c r="O554" s="3" t="s">
        <v>24</v>
      </c>
      <c r="P554" t="str">
        <f t="shared" si="8"/>
        <v>450013608860</v>
      </c>
      <c r="Q554" s="9" cm="1">
        <f t="array" ref="Q554:S554">VLOOKUP(P554,Hoja1!C:F,{2,3,4},FALSE)</f>
        <v>46259</v>
      </c>
      <c r="R554" t="str">
        <v>C39</v>
      </c>
      <c r="S554" t="str">
        <v>1000001514 PIZZOLON PIETRO S.A.</v>
      </c>
    </row>
    <row r="555" spans="1:19" x14ac:dyDescent="0.3">
      <c r="A555" s="2" t="s">
        <v>14</v>
      </c>
      <c r="B555" s="3" t="s">
        <v>14</v>
      </c>
      <c r="C555" s="3" t="s">
        <v>453</v>
      </c>
      <c r="D555" s="3" t="s">
        <v>14</v>
      </c>
      <c r="E555" s="3" t="s">
        <v>107</v>
      </c>
      <c r="F555" s="4">
        <v>46258</v>
      </c>
      <c r="G555" s="3" t="s">
        <v>44</v>
      </c>
      <c r="H555" s="6">
        <v>-1270325</v>
      </c>
      <c r="I555" s="3" t="s">
        <v>17</v>
      </c>
      <c r="J555" s="3" t="s">
        <v>14</v>
      </c>
      <c r="K555" s="3" t="s">
        <v>14</v>
      </c>
      <c r="L555" s="3" t="s">
        <v>159</v>
      </c>
      <c r="M555" s="4">
        <v>46258</v>
      </c>
      <c r="N555" s="3" t="s">
        <v>454</v>
      </c>
      <c r="O555" s="3" t="s">
        <v>21</v>
      </c>
      <c r="P555" t="str">
        <f t="shared" si="8"/>
        <v>450013609320</v>
      </c>
      <c r="Q555" s="9" cm="1">
        <f t="array" ref="Q555:S555">VLOOKUP(P555,Hoja1!C:F,{2,3,4},FALSE)</f>
        <v>46262</v>
      </c>
      <c r="R555" t="str">
        <v>C43</v>
      </c>
      <c r="S555" t="str">
        <v>1000010438 TURBOS T&amp;T S.R.L</v>
      </c>
    </row>
    <row r="556" spans="1:19" x14ac:dyDescent="0.3">
      <c r="A556" s="2" t="s">
        <v>14</v>
      </c>
      <c r="B556" s="3" t="s">
        <v>14</v>
      </c>
      <c r="C556" s="3" t="s">
        <v>455</v>
      </c>
      <c r="D556" s="3" t="s">
        <v>14</v>
      </c>
      <c r="E556" s="3" t="s">
        <v>107</v>
      </c>
      <c r="F556" s="4">
        <v>46258</v>
      </c>
      <c r="G556" s="3" t="s">
        <v>44</v>
      </c>
      <c r="H556" s="6">
        <v>-619236.9</v>
      </c>
      <c r="I556" s="3" t="s">
        <v>17</v>
      </c>
      <c r="J556" s="3" t="s">
        <v>14</v>
      </c>
      <c r="K556" s="3" t="s">
        <v>14</v>
      </c>
      <c r="L556" s="3" t="s">
        <v>451</v>
      </c>
      <c r="M556" s="4">
        <v>46258</v>
      </c>
      <c r="N556" s="3" t="s">
        <v>452</v>
      </c>
      <c r="O556" s="3" t="s">
        <v>26</v>
      </c>
      <c r="P556" t="str">
        <f t="shared" si="8"/>
        <v>450013608840</v>
      </c>
      <c r="Q556" s="9" cm="1">
        <f t="array" ref="Q556:S556">VLOOKUP(P556,Hoja1!C:F,{2,3,4},FALSE)</f>
        <v>46254</v>
      </c>
      <c r="R556" t="str">
        <v>C39</v>
      </c>
      <c r="S556" t="str">
        <v>1000001514 PIZZOLON PIETRO S.A.</v>
      </c>
    </row>
    <row r="557" spans="1:19" x14ac:dyDescent="0.3">
      <c r="A557" s="2" t="s">
        <v>14</v>
      </c>
      <c r="B557" s="3" t="s">
        <v>14</v>
      </c>
      <c r="C557" s="3" t="s">
        <v>455</v>
      </c>
      <c r="D557" s="3" t="s">
        <v>14</v>
      </c>
      <c r="E557" s="3" t="s">
        <v>107</v>
      </c>
      <c r="F557" s="4">
        <v>46258</v>
      </c>
      <c r="G557" s="3" t="s">
        <v>44</v>
      </c>
      <c r="H557" s="6">
        <v>-2272.5</v>
      </c>
      <c r="I557" s="3" t="s">
        <v>17</v>
      </c>
      <c r="J557" s="3" t="s">
        <v>14</v>
      </c>
      <c r="K557" s="3" t="s">
        <v>14</v>
      </c>
      <c r="L557" s="3" t="s">
        <v>451</v>
      </c>
      <c r="M557" s="4">
        <v>46258</v>
      </c>
      <c r="N557" s="3" t="s">
        <v>452</v>
      </c>
      <c r="O557" s="3" t="s">
        <v>25</v>
      </c>
      <c r="P557" t="str">
        <f t="shared" si="8"/>
        <v>450013608870</v>
      </c>
      <c r="Q557" s="9" cm="1">
        <f t="array" ref="Q557:S557">VLOOKUP(P557,Hoja1!C:F,{2,3,4},FALSE)</f>
        <v>46259</v>
      </c>
      <c r="R557" t="str">
        <v>C39</v>
      </c>
      <c r="S557" t="str">
        <v>1000001514 PIZZOLON PIETRO S.A.</v>
      </c>
    </row>
    <row r="558" spans="1:19" x14ac:dyDescent="0.3">
      <c r="A558" s="2" t="s">
        <v>14</v>
      </c>
      <c r="B558" s="3" t="s">
        <v>14</v>
      </c>
      <c r="C558" s="3" t="s">
        <v>456</v>
      </c>
      <c r="D558" s="3" t="s">
        <v>14</v>
      </c>
      <c r="E558" s="3" t="s">
        <v>107</v>
      </c>
      <c r="F558" s="4">
        <v>46260</v>
      </c>
      <c r="G558" s="3" t="s">
        <v>44</v>
      </c>
      <c r="H558" s="6">
        <v>-10042200</v>
      </c>
      <c r="I558" s="3" t="s">
        <v>17</v>
      </c>
      <c r="J558" s="3" t="s">
        <v>14</v>
      </c>
      <c r="K558" s="3" t="s">
        <v>14</v>
      </c>
      <c r="L558" s="3" t="s">
        <v>121</v>
      </c>
      <c r="M558" s="4">
        <v>46260</v>
      </c>
      <c r="N558" s="3" t="s">
        <v>312</v>
      </c>
      <c r="O558" s="3" t="s">
        <v>34</v>
      </c>
      <c r="P558" t="str">
        <f t="shared" si="8"/>
        <v>450012941210</v>
      </c>
      <c r="Q558" s="9" cm="1">
        <f t="array" ref="Q558:S558">VLOOKUP(P558,Hoja1!C:F,{2,3,4},FALSE)</f>
        <v>46325</v>
      </c>
      <c r="R558" t="str">
        <v>C21</v>
      </c>
      <c r="S558" t="str">
        <v>1000000634 RAIZEN ARGENTINA S.A.U.</v>
      </c>
    </row>
    <row r="559" spans="1:19" x14ac:dyDescent="0.3">
      <c r="A559" s="2" t="s">
        <v>14</v>
      </c>
      <c r="B559" s="3" t="s">
        <v>14</v>
      </c>
      <c r="C559" s="3" t="s">
        <v>456</v>
      </c>
      <c r="D559" s="3" t="s">
        <v>14</v>
      </c>
      <c r="E559" s="3" t="s">
        <v>107</v>
      </c>
      <c r="F559" s="4">
        <v>46260</v>
      </c>
      <c r="G559" s="3" t="s">
        <v>44</v>
      </c>
      <c r="H559" s="6">
        <v>-1144500</v>
      </c>
      <c r="I559" s="3" t="s">
        <v>17</v>
      </c>
      <c r="J559" s="3" t="s">
        <v>14</v>
      </c>
      <c r="K559" s="3" t="s">
        <v>14</v>
      </c>
      <c r="L559" s="3" t="s">
        <v>121</v>
      </c>
      <c r="M559" s="4">
        <v>46260</v>
      </c>
      <c r="N559" s="3" t="s">
        <v>312</v>
      </c>
      <c r="O559" s="3" t="s">
        <v>34</v>
      </c>
      <c r="P559" t="str">
        <f t="shared" si="8"/>
        <v>450012941210</v>
      </c>
      <c r="Q559" s="9" cm="1">
        <f t="array" ref="Q559:S559">VLOOKUP(P559,Hoja1!C:F,{2,3,4},FALSE)</f>
        <v>46325</v>
      </c>
      <c r="R559" t="str">
        <v>C21</v>
      </c>
      <c r="S559" t="str">
        <v>1000000634 RAIZEN ARGENTINA S.A.U.</v>
      </c>
    </row>
    <row r="560" spans="1:19" x14ac:dyDescent="0.3">
      <c r="A560" s="2" t="s">
        <v>14</v>
      </c>
      <c r="B560" s="3" t="s">
        <v>14</v>
      </c>
      <c r="C560" s="3" t="s">
        <v>457</v>
      </c>
      <c r="D560" s="3" t="s">
        <v>14</v>
      </c>
      <c r="E560" s="3" t="s">
        <v>107</v>
      </c>
      <c r="F560" s="4">
        <v>46260</v>
      </c>
      <c r="G560" s="3" t="s">
        <v>44</v>
      </c>
      <c r="H560" s="6">
        <v>-681053.1</v>
      </c>
      <c r="I560" s="3" t="s">
        <v>17</v>
      </c>
      <c r="J560" s="3" t="s">
        <v>14</v>
      </c>
      <c r="K560" s="3" t="s">
        <v>14</v>
      </c>
      <c r="L560" s="3" t="s">
        <v>451</v>
      </c>
      <c r="M560" s="4">
        <v>46260</v>
      </c>
      <c r="N560" s="3" t="s">
        <v>458</v>
      </c>
      <c r="O560" s="3" t="s">
        <v>34</v>
      </c>
      <c r="P560" t="str">
        <f t="shared" si="8"/>
        <v>450013650510</v>
      </c>
      <c r="Q560" s="9" cm="1">
        <f t="array" ref="Q560:S560">VLOOKUP(P560,Hoja1!C:F,{2,3,4},FALSE)</f>
        <v>46274</v>
      </c>
      <c r="R560" t="str">
        <v>C43</v>
      </c>
      <c r="S560" t="str">
        <v>1000001514 PIZZOLON PIETRO S.A.</v>
      </c>
    </row>
    <row r="561" spans="1:19" x14ac:dyDescent="0.3">
      <c r="A561" s="2" t="s">
        <v>14</v>
      </c>
      <c r="B561" s="3" t="s">
        <v>14</v>
      </c>
      <c r="C561" s="3" t="s">
        <v>457</v>
      </c>
      <c r="D561" s="3" t="s">
        <v>14</v>
      </c>
      <c r="E561" s="3" t="s">
        <v>107</v>
      </c>
      <c r="F561" s="4">
        <v>46260</v>
      </c>
      <c r="G561" s="3" t="s">
        <v>44</v>
      </c>
      <c r="H561" s="6">
        <v>-277773.59999999998</v>
      </c>
      <c r="I561" s="3" t="s">
        <v>17</v>
      </c>
      <c r="J561" s="3" t="s">
        <v>14</v>
      </c>
      <c r="K561" s="3" t="s">
        <v>14</v>
      </c>
      <c r="L561" s="3" t="s">
        <v>451</v>
      </c>
      <c r="M561" s="4">
        <v>46260</v>
      </c>
      <c r="N561" s="3" t="s">
        <v>458</v>
      </c>
      <c r="O561" s="3" t="s">
        <v>21</v>
      </c>
      <c r="P561" t="str">
        <f t="shared" si="8"/>
        <v>450013650520</v>
      </c>
      <c r="Q561" s="9" cm="1">
        <f t="array" ref="Q561:S561">VLOOKUP(P561,Hoja1!C:F,{2,3,4},FALSE)</f>
        <v>46274</v>
      </c>
      <c r="R561" t="str">
        <v>C43</v>
      </c>
      <c r="S561" t="str">
        <v>1000001514 PIZZOLON PIETRO S.A.</v>
      </c>
    </row>
    <row r="562" spans="1:19" x14ac:dyDescent="0.3">
      <c r="A562" s="2" t="s">
        <v>14</v>
      </c>
      <c r="B562" s="3" t="s">
        <v>14</v>
      </c>
      <c r="C562" s="3" t="s">
        <v>459</v>
      </c>
      <c r="D562" s="3" t="s">
        <v>14</v>
      </c>
      <c r="E562" s="3" t="s">
        <v>107</v>
      </c>
      <c r="F562" s="4">
        <v>46261</v>
      </c>
      <c r="G562" s="3" t="s">
        <v>44</v>
      </c>
      <c r="H562" s="6">
        <v>-1228700</v>
      </c>
      <c r="I562" s="3" t="s">
        <v>17</v>
      </c>
      <c r="J562" s="3" t="s">
        <v>14</v>
      </c>
      <c r="K562" s="3" t="s">
        <v>14</v>
      </c>
      <c r="L562" s="3" t="s">
        <v>108</v>
      </c>
      <c r="M562" s="4">
        <v>46261</v>
      </c>
      <c r="N562" s="3" t="s">
        <v>375</v>
      </c>
      <c r="O562" s="3" t="s">
        <v>34</v>
      </c>
      <c r="P562" t="str">
        <f t="shared" si="8"/>
        <v>450013040410</v>
      </c>
      <c r="Q562" s="9" cm="1">
        <f t="array" ref="Q562:S562">VLOOKUP(P562,Hoja1!C:F,{2,3,4},FALSE)</f>
        <v>46296</v>
      </c>
      <c r="R562" t="str">
        <v>C21</v>
      </c>
      <c r="S562" t="str">
        <v>1000001020 COMBUSTIBLES BARCELO S.R.L.</v>
      </c>
    </row>
    <row r="563" spans="1:19" x14ac:dyDescent="0.3">
      <c r="A563" s="2" t="s">
        <v>14</v>
      </c>
      <c r="B563" s="3" t="s">
        <v>14</v>
      </c>
      <c r="C563" s="3" t="s">
        <v>459</v>
      </c>
      <c r="D563" s="3" t="s">
        <v>14</v>
      </c>
      <c r="E563" s="3" t="s">
        <v>107</v>
      </c>
      <c r="F563" s="4">
        <v>46261</v>
      </c>
      <c r="G563" s="3" t="s">
        <v>44</v>
      </c>
      <c r="H563" s="6">
        <v>-140050</v>
      </c>
      <c r="I563" s="3" t="s">
        <v>17</v>
      </c>
      <c r="J563" s="3" t="s">
        <v>14</v>
      </c>
      <c r="K563" s="3" t="s">
        <v>14</v>
      </c>
      <c r="L563" s="3" t="s">
        <v>108</v>
      </c>
      <c r="M563" s="4">
        <v>46261</v>
      </c>
      <c r="N563" s="3" t="s">
        <v>375</v>
      </c>
      <c r="O563" s="3" t="s">
        <v>34</v>
      </c>
      <c r="P563" t="str">
        <f t="shared" si="8"/>
        <v>450013040410</v>
      </c>
      <c r="Q563" s="9" cm="1">
        <f t="array" ref="Q563:S563">VLOOKUP(P563,Hoja1!C:F,{2,3,4},FALSE)</f>
        <v>46296</v>
      </c>
      <c r="R563" t="str">
        <v>C21</v>
      </c>
      <c r="S563" t="str">
        <v>1000001020 COMBUSTIBLES BARCELO S.R.L.</v>
      </c>
    </row>
    <row r="564" spans="1:19" x14ac:dyDescent="0.3">
      <c r="A564" s="2" t="s">
        <v>14</v>
      </c>
      <c r="B564" s="3" t="s">
        <v>14</v>
      </c>
      <c r="C564" s="3" t="s">
        <v>460</v>
      </c>
      <c r="D564" s="3" t="s">
        <v>14</v>
      </c>
      <c r="E564" s="3" t="s">
        <v>107</v>
      </c>
      <c r="F564" s="4">
        <v>46263</v>
      </c>
      <c r="G564" s="3" t="s">
        <v>44</v>
      </c>
      <c r="H564" s="6">
        <v>-10281300</v>
      </c>
      <c r="I564" s="3" t="s">
        <v>17</v>
      </c>
      <c r="J564" s="3" t="s">
        <v>14</v>
      </c>
      <c r="K564" s="3" t="s">
        <v>14</v>
      </c>
      <c r="L564" s="3" t="s">
        <v>121</v>
      </c>
      <c r="M564" s="4">
        <v>46263</v>
      </c>
      <c r="N564" s="3" t="s">
        <v>312</v>
      </c>
      <c r="O564" s="3" t="s">
        <v>34</v>
      </c>
      <c r="P564" t="str">
        <f t="shared" si="8"/>
        <v>450012941210</v>
      </c>
      <c r="Q564" s="9" cm="1">
        <f t="array" ref="Q564:S564">VLOOKUP(P564,Hoja1!C:F,{2,3,4},FALSE)</f>
        <v>46325</v>
      </c>
      <c r="R564" t="str">
        <v>C21</v>
      </c>
      <c r="S564" t="str">
        <v>1000000634 RAIZEN ARGENTINA S.A.U.</v>
      </c>
    </row>
    <row r="565" spans="1:19" x14ac:dyDescent="0.3">
      <c r="A565" s="2" t="s">
        <v>14</v>
      </c>
      <c r="B565" s="3" t="s">
        <v>14</v>
      </c>
      <c r="C565" s="3" t="s">
        <v>460</v>
      </c>
      <c r="D565" s="3" t="s">
        <v>14</v>
      </c>
      <c r="E565" s="3" t="s">
        <v>107</v>
      </c>
      <c r="F565" s="4">
        <v>46263</v>
      </c>
      <c r="G565" s="3" t="s">
        <v>44</v>
      </c>
      <c r="H565" s="6">
        <v>-1171750</v>
      </c>
      <c r="I565" s="3" t="s">
        <v>17</v>
      </c>
      <c r="J565" s="3" t="s">
        <v>14</v>
      </c>
      <c r="K565" s="3" t="s">
        <v>14</v>
      </c>
      <c r="L565" s="3" t="s">
        <v>121</v>
      </c>
      <c r="M565" s="4">
        <v>46263</v>
      </c>
      <c r="N565" s="3" t="s">
        <v>312</v>
      </c>
      <c r="O565" s="3" t="s">
        <v>34</v>
      </c>
      <c r="P565" t="str">
        <f t="shared" si="8"/>
        <v>450012941210</v>
      </c>
      <c r="Q565" s="9" cm="1">
        <f t="array" ref="Q565:S565">VLOOKUP(P565,Hoja1!C:F,{2,3,4},FALSE)</f>
        <v>46325</v>
      </c>
      <c r="R565" t="str">
        <v>C21</v>
      </c>
      <c r="S565" t="str">
        <v>1000000634 RAIZEN ARGENTINA S.A.U.</v>
      </c>
    </row>
    <row r="566" spans="1:19" x14ac:dyDescent="0.3">
      <c r="A566" s="2" t="s">
        <v>14</v>
      </c>
      <c r="B566" s="3" t="s">
        <v>14</v>
      </c>
      <c r="C566" s="3" t="s">
        <v>461</v>
      </c>
      <c r="D566" s="3" t="s">
        <v>14</v>
      </c>
      <c r="E566" s="3" t="s">
        <v>107</v>
      </c>
      <c r="F566" s="4">
        <v>46265</v>
      </c>
      <c r="G566" s="3" t="s">
        <v>44</v>
      </c>
      <c r="H566" s="6">
        <v>-9190082.4000000004</v>
      </c>
      <c r="I566" s="3" t="s">
        <v>17</v>
      </c>
      <c r="J566" s="3" t="s">
        <v>14</v>
      </c>
      <c r="K566" s="3" t="s">
        <v>14</v>
      </c>
      <c r="L566" s="3" t="s">
        <v>417</v>
      </c>
      <c r="M566" s="4">
        <v>46265</v>
      </c>
      <c r="N566" s="3" t="s">
        <v>462</v>
      </c>
      <c r="O566" s="3" t="s">
        <v>34</v>
      </c>
      <c r="P566" t="str">
        <f t="shared" si="8"/>
        <v>450013694110</v>
      </c>
      <c r="Q566" s="9" cm="1">
        <f t="array" ref="Q566:S566">VLOOKUP(P566,Hoja1!C:F,{2,3,4},FALSE)</f>
        <v>46280</v>
      </c>
      <c r="R566" t="str">
        <v>C47</v>
      </c>
      <c r="S566" t="str">
        <v>1000000279 NEUMATICOS VERONA S.R.L.</v>
      </c>
    </row>
    <row r="567" spans="1:19" x14ac:dyDescent="0.3">
      <c r="A567" s="2" t="s">
        <v>14</v>
      </c>
      <c r="B567" s="3" t="s">
        <v>14</v>
      </c>
      <c r="C567" s="3" t="s">
        <v>463</v>
      </c>
      <c r="D567" s="3" t="s">
        <v>14</v>
      </c>
      <c r="E567" s="3" t="s">
        <v>107</v>
      </c>
      <c r="F567" s="4">
        <v>46259</v>
      </c>
      <c r="G567" s="3" t="s">
        <v>44</v>
      </c>
      <c r="H567" s="6">
        <v>-280998</v>
      </c>
      <c r="I567" s="3" t="s">
        <v>17</v>
      </c>
      <c r="J567" s="3" t="s">
        <v>14</v>
      </c>
      <c r="K567" s="3" t="s">
        <v>14</v>
      </c>
      <c r="L567" s="3" t="s">
        <v>464</v>
      </c>
      <c r="M567" s="4">
        <v>46265</v>
      </c>
      <c r="N567" s="3" t="s">
        <v>465</v>
      </c>
      <c r="O567" s="3" t="s">
        <v>23</v>
      </c>
      <c r="P567" t="str">
        <f t="shared" si="8"/>
        <v>450013585350</v>
      </c>
      <c r="Q567" s="9" cm="1">
        <f t="array" ref="Q567:S567">VLOOKUP(P567,Hoja1!C:F,{2,3,4},FALSE)</f>
        <v>46269</v>
      </c>
      <c r="R567" t="str">
        <v>C28</v>
      </c>
      <c r="S567" t="str">
        <v>1000007320 GILIGROUP S.A.S.</v>
      </c>
    </row>
    <row r="568" spans="1:19" x14ac:dyDescent="0.3">
      <c r="A568" s="2" t="s">
        <v>14</v>
      </c>
      <c r="B568" s="3" t="s">
        <v>14</v>
      </c>
      <c r="C568" s="3" t="s">
        <v>466</v>
      </c>
      <c r="D568" s="3" t="s">
        <v>14</v>
      </c>
      <c r="E568" s="3" t="s">
        <v>107</v>
      </c>
      <c r="F568" s="4">
        <v>46265</v>
      </c>
      <c r="G568" s="3" t="s">
        <v>44</v>
      </c>
      <c r="H568" s="6">
        <v>-2367227.25</v>
      </c>
      <c r="I568" s="3" t="s">
        <v>17</v>
      </c>
      <c r="J568" s="3" t="s">
        <v>14</v>
      </c>
      <c r="K568" s="3" t="s">
        <v>14</v>
      </c>
      <c r="L568" s="3" t="s">
        <v>19</v>
      </c>
      <c r="M568" s="4">
        <v>46265</v>
      </c>
      <c r="N568" s="3" t="s">
        <v>467</v>
      </c>
      <c r="O568" s="3" t="s">
        <v>34</v>
      </c>
      <c r="P568" t="str">
        <f t="shared" si="8"/>
        <v>450013604410</v>
      </c>
      <c r="Q568" s="9" cm="1">
        <f t="array" ref="Q568:S568">VLOOKUP(P568,Hoja1!C:F,{2,3,4},FALSE)</f>
        <v>46267</v>
      </c>
      <c r="R568" t="str">
        <v>C03</v>
      </c>
      <c r="S568" t="str">
        <v>1000001470 SUDAMERICANA CAMIONES SA</v>
      </c>
    </row>
    <row r="569" spans="1:19" x14ac:dyDescent="0.3">
      <c r="A569" s="2" t="s">
        <v>14</v>
      </c>
      <c r="B569" s="3" t="s">
        <v>14</v>
      </c>
      <c r="C569" s="3" t="s">
        <v>468</v>
      </c>
      <c r="D569" s="3" t="s">
        <v>14</v>
      </c>
      <c r="E569" s="3" t="s">
        <v>107</v>
      </c>
      <c r="F569" s="4">
        <v>46265</v>
      </c>
      <c r="G569" s="3" t="s">
        <v>44</v>
      </c>
      <c r="H569" s="6">
        <v>-791437.5</v>
      </c>
      <c r="I569" s="3" t="s">
        <v>17</v>
      </c>
      <c r="J569" s="3" t="s">
        <v>14</v>
      </c>
      <c r="K569" s="3" t="s">
        <v>14</v>
      </c>
      <c r="L569" s="3" t="s">
        <v>159</v>
      </c>
      <c r="M569" s="4">
        <v>46265</v>
      </c>
      <c r="N569" s="3" t="s">
        <v>469</v>
      </c>
      <c r="O569" s="3" t="s">
        <v>22</v>
      </c>
      <c r="P569" t="str">
        <f t="shared" si="8"/>
        <v>450013717730</v>
      </c>
      <c r="Q569" s="9" cm="1">
        <f t="array" ref="Q569:S569">VLOOKUP(P569,Hoja1!C:F,{2,3,4},FALSE)</f>
        <v>46275</v>
      </c>
      <c r="R569" t="str">
        <v>C39</v>
      </c>
      <c r="S569" t="str">
        <v>1000010438 TURBOS T&amp;T S.R.L</v>
      </c>
    </row>
    <row r="570" spans="1:19" x14ac:dyDescent="0.3">
      <c r="A570" s="2" t="s">
        <v>14</v>
      </c>
      <c r="B570" s="3" t="s">
        <v>14</v>
      </c>
      <c r="C570" s="3" t="s">
        <v>470</v>
      </c>
      <c r="D570" s="3" t="s">
        <v>14</v>
      </c>
      <c r="E570" s="3" t="s">
        <v>107</v>
      </c>
      <c r="F570" s="4">
        <v>46261</v>
      </c>
      <c r="G570" s="3" t="s">
        <v>44</v>
      </c>
      <c r="H570" s="6">
        <v>-192752.64000000001</v>
      </c>
      <c r="I570" s="3" t="s">
        <v>17</v>
      </c>
      <c r="J570" s="3" t="s">
        <v>14</v>
      </c>
      <c r="K570" s="3" t="s">
        <v>14</v>
      </c>
      <c r="L570" s="3" t="s">
        <v>95</v>
      </c>
      <c r="M570" s="4">
        <v>46266</v>
      </c>
      <c r="N570" s="3" t="s">
        <v>471</v>
      </c>
      <c r="O570" s="3" t="s">
        <v>34</v>
      </c>
      <c r="P570" t="str">
        <f t="shared" si="8"/>
        <v>450013572310</v>
      </c>
      <c r="Q570" s="9" cm="1">
        <f t="array" ref="Q570:S570">VLOOKUP(P570,Hoja1!C:F,{2,3,4},FALSE)</f>
        <v>46295</v>
      </c>
      <c r="R570" t="str">
        <v>C03</v>
      </c>
      <c r="S570" t="str">
        <v>1000000561 ESCANDINAVIA DEL PLATA SA</v>
      </c>
    </row>
    <row r="571" spans="1:19" x14ac:dyDescent="0.3">
      <c r="A571" s="2" t="s">
        <v>14</v>
      </c>
      <c r="B571" s="3" t="s">
        <v>14</v>
      </c>
      <c r="C571" s="3" t="s">
        <v>470</v>
      </c>
      <c r="D571" s="3" t="s">
        <v>14</v>
      </c>
      <c r="E571" s="3" t="s">
        <v>107</v>
      </c>
      <c r="F571" s="4">
        <v>46261</v>
      </c>
      <c r="G571" s="3" t="s">
        <v>44</v>
      </c>
      <c r="H571" s="6">
        <v>-192752.64000000001</v>
      </c>
      <c r="I571" s="3" t="s">
        <v>17</v>
      </c>
      <c r="J571" s="3" t="s">
        <v>14</v>
      </c>
      <c r="K571" s="3" t="s">
        <v>14</v>
      </c>
      <c r="L571" s="3" t="s">
        <v>95</v>
      </c>
      <c r="M571" s="4">
        <v>46266</v>
      </c>
      <c r="N571" s="3" t="s">
        <v>471</v>
      </c>
      <c r="O571" s="3" t="s">
        <v>22</v>
      </c>
      <c r="P571" t="str">
        <f t="shared" si="8"/>
        <v>450013572330</v>
      </c>
      <c r="Q571" s="9" cm="1">
        <f t="array" ref="Q571:S571">VLOOKUP(P571,Hoja1!C:F,{2,3,4},FALSE)</f>
        <v>46295</v>
      </c>
      <c r="R571" t="str">
        <v>C03</v>
      </c>
      <c r="S571" t="str">
        <v>1000000561 ESCANDINAVIA DEL PLATA SA</v>
      </c>
    </row>
    <row r="572" spans="1:19" x14ac:dyDescent="0.3">
      <c r="A572" s="2" t="s">
        <v>14</v>
      </c>
      <c r="B572" s="3" t="s">
        <v>14</v>
      </c>
      <c r="C572" s="3" t="s">
        <v>470</v>
      </c>
      <c r="D572" s="3" t="s">
        <v>14</v>
      </c>
      <c r="E572" s="3" t="s">
        <v>107</v>
      </c>
      <c r="F572" s="4">
        <v>46261</v>
      </c>
      <c r="G572" s="3" t="s">
        <v>44</v>
      </c>
      <c r="H572" s="6">
        <v>-32486.400000000001</v>
      </c>
      <c r="I572" s="3" t="s">
        <v>17</v>
      </c>
      <c r="J572" s="3" t="s">
        <v>14</v>
      </c>
      <c r="K572" s="3" t="s">
        <v>14</v>
      </c>
      <c r="L572" s="3" t="s">
        <v>95</v>
      </c>
      <c r="M572" s="4">
        <v>46266</v>
      </c>
      <c r="N572" s="3" t="s">
        <v>471</v>
      </c>
      <c r="O572" s="3" t="s">
        <v>26</v>
      </c>
      <c r="P572" t="str">
        <f t="shared" si="8"/>
        <v>450013572340</v>
      </c>
      <c r="Q572" s="9" cm="1">
        <f t="array" ref="Q572:S572">VLOOKUP(P572,Hoja1!C:F,{2,3,4},FALSE)</f>
        <v>46295</v>
      </c>
      <c r="R572" t="str">
        <v>C03</v>
      </c>
      <c r="S572" t="str">
        <v>1000000561 ESCANDINAVIA DEL PLATA SA</v>
      </c>
    </row>
    <row r="573" spans="1:19" x14ac:dyDescent="0.3">
      <c r="A573" s="2" t="s">
        <v>14</v>
      </c>
      <c r="B573" s="3" t="s">
        <v>14</v>
      </c>
      <c r="C573" s="3" t="s">
        <v>470</v>
      </c>
      <c r="D573" s="3" t="s">
        <v>14</v>
      </c>
      <c r="E573" s="3" t="s">
        <v>107</v>
      </c>
      <c r="F573" s="4">
        <v>46261</v>
      </c>
      <c r="G573" s="3" t="s">
        <v>44</v>
      </c>
      <c r="H573" s="6">
        <v>-2147862.4</v>
      </c>
      <c r="I573" s="3" t="s">
        <v>17</v>
      </c>
      <c r="J573" s="3" t="s">
        <v>14</v>
      </c>
      <c r="K573" s="3" t="s">
        <v>14</v>
      </c>
      <c r="L573" s="3" t="s">
        <v>95</v>
      </c>
      <c r="M573" s="4">
        <v>46266</v>
      </c>
      <c r="N573" s="3" t="s">
        <v>471</v>
      </c>
      <c r="O573" s="3" t="s">
        <v>23</v>
      </c>
      <c r="P573" t="str">
        <f t="shared" si="8"/>
        <v>450013572350</v>
      </c>
      <c r="Q573" s="9" cm="1">
        <f t="array" ref="Q573:S573">VLOOKUP(P573,Hoja1!C:F,{2,3,4},FALSE)</f>
        <v>46295</v>
      </c>
      <c r="R573" t="str">
        <v>C03</v>
      </c>
      <c r="S573" t="str">
        <v>1000000561 ESCANDINAVIA DEL PLATA SA</v>
      </c>
    </row>
    <row r="574" spans="1:19" x14ac:dyDescent="0.3">
      <c r="A574" s="2" t="s">
        <v>14</v>
      </c>
      <c r="B574" s="3" t="s">
        <v>14</v>
      </c>
      <c r="C574" s="3" t="s">
        <v>472</v>
      </c>
      <c r="D574" s="3" t="s">
        <v>14</v>
      </c>
      <c r="E574" s="3" t="s">
        <v>107</v>
      </c>
      <c r="F574" s="4">
        <v>46266</v>
      </c>
      <c r="G574" s="3" t="s">
        <v>44</v>
      </c>
      <c r="H574" s="6">
        <v>-64876.02</v>
      </c>
      <c r="I574" s="3" t="s">
        <v>17</v>
      </c>
      <c r="J574" s="3" t="s">
        <v>14</v>
      </c>
      <c r="K574" s="3" t="s">
        <v>14</v>
      </c>
      <c r="L574" s="3" t="s">
        <v>473</v>
      </c>
      <c r="M574" s="4">
        <v>46266</v>
      </c>
      <c r="N574" s="3" t="s">
        <v>474</v>
      </c>
      <c r="O574" s="3" t="s">
        <v>34</v>
      </c>
      <c r="P574" t="str">
        <f t="shared" si="8"/>
        <v>450013707610</v>
      </c>
      <c r="Q574" s="9" cm="1">
        <f t="array" ref="Q574:S574">VLOOKUP(P574,Hoja1!C:F,{2,3,4},FALSE)</f>
        <v>46269</v>
      </c>
      <c r="R574" t="str">
        <v>F05</v>
      </c>
      <c r="S574" t="str">
        <v>1000000482 REUTEMANN AUTOMOTORES S.A.</v>
      </c>
    </row>
    <row r="575" spans="1:19" x14ac:dyDescent="0.3">
      <c r="A575" s="2" t="s">
        <v>14</v>
      </c>
      <c r="B575" s="3" t="s">
        <v>14</v>
      </c>
      <c r="C575" s="3" t="s">
        <v>475</v>
      </c>
      <c r="D575" s="3" t="s">
        <v>14</v>
      </c>
      <c r="E575" s="3" t="s">
        <v>107</v>
      </c>
      <c r="F575" s="4">
        <v>46266</v>
      </c>
      <c r="G575" s="3" t="s">
        <v>44</v>
      </c>
      <c r="H575" s="6">
        <v>-29568.639999999999</v>
      </c>
      <c r="I575" s="3" t="s">
        <v>17</v>
      </c>
      <c r="J575" s="3" t="s">
        <v>14</v>
      </c>
      <c r="K575" s="3" t="s">
        <v>14</v>
      </c>
      <c r="L575" s="3" t="s">
        <v>476</v>
      </c>
      <c r="M575" s="4">
        <v>46266</v>
      </c>
      <c r="N575" s="3" t="s">
        <v>477</v>
      </c>
      <c r="O575" s="3" t="s">
        <v>34</v>
      </c>
      <c r="P575" t="str">
        <f t="shared" si="8"/>
        <v>450013678110</v>
      </c>
      <c r="Q575" s="9" cm="1">
        <f t="array" ref="Q575:S575">VLOOKUP(P575,Hoja1!C:F,{2,3,4},FALSE)</f>
        <v>46280</v>
      </c>
      <c r="R575" t="str">
        <v>C43</v>
      </c>
      <c r="S575" t="str">
        <v>1000002050 RODAMIENTOS CUYO SEL</v>
      </c>
    </row>
    <row r="576" spans="1:19" x14ac:dyDescent="0.3">
      <c r="A576" s="2" t="s">
        <v>14</v>
      </c>
      <c r="B576" s="3" t="s">
        <v>14</v>
      </c>
      <c r="C576" s="3" t="s">
        <v>475</v>
      </c>
      <c r="D576" s="3" t="s">
        <v>14</v>
      </c>
      <c r="E576" s="3" t="s">
        <v>107</v>
      </c>
      <c r="F576" s="4">
        <v>46266</v>
      </c>
      <c r="G576" s="3" t="s">
        <v>44</v>
      </c>
      <c r="H576" s="6">
        <v>-3023.04</v>
      </c>
      <c r="I576" s="3" t="s">
        <v>17</v>
      </c>
      <c r="J576" s="3" t="s">
        <v>14</v>
      </c>
      <c r="K576" s="3" t="s">
        <v>14</v>
      </c>
      <c r="L576" s="3" t="s">
        <v>476</v>
      </c>
      <c r="M576" s="4">
        <v>46266</v>
      </c>
      <c r="N576" s="3" t="s">
        <v>477</v>
      </c>
      <c r="O576" s="3" t="s">
        <v>21</v>
      </c>
      <c r="P576" t="str">
        <f t="shared" si="8"/>
        <v>450013678120</v>
      </c>
      <c r="Q576" s="9" cm="1">
        <f t="array" ref="Q576:S576">VLOOKUP(P576,Hoja1!C:F,{2,3,4},FALSE)</f>
        <v>46280</v>
      </c>
      <c r="R576" t="str">
        <v>C43</v>
      </c>
      <c r="S576" t="str">
        <v>1000002050 RODAMIENTOS CUYO SEL</v>
      </c>
    </row>
    <row r="577" spans="1:19" x14ac:dyDescent="0.3">
      <c r="A577" s="2" t="s">
        <v>14</v>
      </c>
      <c r="B577" s="3" t="s">
        <v>14</v>
      </c>
      <c r="C577" s="3" t="s">
        <v>475</v>
      </c>
      <c r="D577" s="3" t="s">
        <v>14</v>
      </c>
      <c r="E577" s="3" t="s">
        <v>107</v>
      </c>
      <c r="F577" s="4">
        <v>46266</v>
      </c>
      <c r="G577" s="3" t="s">
        <v>44</v>
      </c>
      <c r="H577" s="6">
        <v>-207672.32000000001</v>
      </c>
      <c r="I577" s="3" t="s">
        <v>17</v>
      </c>
      <c r="J577" s="3" t="s">
        <v>14</v>
      </c>
      <c r="K577" s="3" t="s">
        <v>14</v>
      </c>
      <c r="L577" s="3" t="s">
        <v>476</v>
      </c>
      <c r="M577" s="4">
        <v>46266</v>
      </c>
      <c r="N577" s="3" t="s">
        <v>477</v>
      </c>
      <c r="O577" s="3" t="s">
        <v>22</v>
      </c>
      <c r="P577" t="str">
        <f t="shared" si="8"/>
        <v>450013678130</v>
      </c>
      <c r="Q577" s="9" cm="1">
        <f t="array" ref="Q577:S577">VLOOKUP(P577,Hoja1!C:F,{2,3,4},FALSE)</f>
        <v>46280</v>
      </c>
      <c r="R577" t="str">
        <v>C43</v>
      </c>
      <c r="S577" t="str">
        <v>1000002050 RODAMIENTOS CUYO SEL</v>
      </c>
    </row>
    <row r="578" spans="1:19" x14ac:dyDescent="0.3">
      <c r="A578" s="2" t="s">
        <v>14</v>
      </c>
      <c r="B578" s="3" t="s">
        <v>14</v>
      </c>
      <c r="C578" s="3" t="s">
        <v>478</v>
      </c>
      <c r="D578" s="3" t="s">
        <v>14</v>
      </c>
      <c r="E578" s="3" t="s">
        <v>107</v>
      </c>
      <c r="F578" s="4">
        <v>46266</v>
      </c>
      <c r="G578" s="3" t="s">
        <v>44</v>
      </c>
      <c r="H578" s="6">
        <v>-391221.01</v>
      </c>
      <c r="I578" s="3" t="s">
        <v>17</v>
      </c>
      <c r="J578" s="3" t="s">
        <v>14</v>
      </c>
      <c r="K578" s="3" t="s">
        <v>14</v>
      </c>
      <c r="L578" s="3" t="s">
        <v>228</v>
      </c>
      <c r="M578" s="4">
        <v>46267</v>
      </c>
      <c r="N578" s="3" t="s">
        <v>479</v>
      </c>
      <c r="O578" s="3" t="s">
        <v>34</v>
      </c>
      <c r="P578" t="str">
        <f t="shared" si="8"/>
        <v>450013700410</v>
      </c>
      <c r="Q578" s="9" cm="1">
        <f t="array" ref="Q578:S578">VLOOKUP(P578,Hoja1!C:F,{2,3,4},FALSE)</f>
        <v>46276</v>
      </c>
      <c r="R578" t="str">
        <v>C03</v>
      </c>
      <c r="S578" t="str">
        <v>1000000488 BETA S.A.</v>
      </c>
    </row>
    <row r="579" spans="1:19" x14ac:dyDescent="0.3">
      <c r="A579" s="2" t="s">
        <v>14</v>
      </c>
      <c r="B579" s="3" t="s">
        <v>14</v>
      </c>
      <c r="C579" s="3" t="s">
        <v>480</v>
      </c>
      <c r="D579" s="3" t="s">
        <v>14</v>
      </c>
      <c r="E579" s="3" t="s">
        <v>107</v>
      </c>
      <c r="F579" s="4">
        <v>46266</v>
      </c>
      <c r="G579" s="3" t="s">
        <v>44</v>
      </c>
      <c r="H579" s="6">
        <v>-26951540</v>
      </c>
      <c r="I579" s="3" t="s">
        <v>17</v>
      </c>
      <c r="J579" s="3" t="s">
        <v>14</v>
      </c>
      <c r="K579" s="3" t="s">
        <v>14</v>
      </c>
      <c r="L579" s="3" t="s">
        <v>146</v>
      </c>
      <c r="M579" s="4">
        <v>46267</v>
      </c>
      <c r="N579" s="3" t="s">
        <v>481</v>
      </c>
      <c r="O579" s="3" t="s">
        <v>34</v>
      </c>
      <c r="P579" t="str">
        <f t="shared" ref="P579:P642" si="9">_xlfn.CONCAT(N579:O579)</f>
        <v>450013571410</v>
      </c>
      <c r="Q579" s="9" cm="1">
        <f t="array" ref="Q579:S579">VLOOKUP(P579,Hoja1!C:F,{2,3,4},FALSE)</f>
        <v>46273</v>
      </c>
      <c r="R579" t="str">
        <v>C48</v>
      </c>
      <c r="S579" t="str">
        <v>1000011072 NEUMATICOS GOODYEAR S R L</v>
      </c>
    </row>
    <row r="580" spans="1:19" x14ac:dyDescent="0.3">
      <c r="A580" s="2" t="s">
        <v>14</v>
      </c>
      <c r="B580" s="3" t="s">
        <v>14</v>
      </c>
      <c r="C580" s="3" t="s">
        <v>480</v>
      </c>
      <c r="D580" s="3" t="s">
        <v>14</v>
      </c>
      <c r="E580" s="3" t="s">
        <v>107</v>
      </c>
      <c r="F580" s="4">
        <v>46266</v>
      </c>
      <c r="G580" s="3" t="s">
        <v>44</v>
      </c>
      <c r="H580" s="6">
        <v>-4311828</v>
      </c>
      <c r="I580" s="3" t="s">
        <v>17</v>
      </c>
      <c r="J580" s="3" t="s">
        <v>14</v>
      </c>
      <c r="K580" s="3" t="s">
        <v>14</v>
      </c>
      <c r="L580" s="3" t="s">
        <v>146</v>
      </c>
      <c r="M580" s="4">
        <v>46267</v>
      </c>
      <c r="N580" s="3" t="s">
        <v>481</v>
      </c>
      <c r="O580" s="3" t="s">
        <v>21</v>
      </c>
      <c r="P580" t="str">
        <f t="shared" si="9"/>
        <v>450013571420</v>
      </c>
      <c r="Q580" s="9" cm="1">
        <f t="array" ref="Q580:S580">VLOOKUP(P580,Hoja1!C:F,{2,3,4},FALSE)</f>
        <v>46273</v>
      </c>
      <c r="R580" t="str">
        <v>C48</v>
      </c>
      <c r="S580" t="str">
        <v>1000011072 NEUMATICOS GOODYEAR S R L</v>
      </c>
    </row>
    <row r="581" spans="1:19" x14ac:dyDescent="0.3">
      <c r="A581" s="2" t="s">
        <v>14</v>
      </c>
      <c r="B581" s="3" t="s">
        <v>14</v>
      </c>
      <c r="C581" s="3" t="s">
        <v>480</v>
      </c>
      <c r="D581" s="3" t="s">
        <v>14</v>
      </c>
      <c r="E581" s="3" t="s">
        <v>107</v>
      </c>
      <c r="F581" s="4">
        <v>46266</v>
      </c>
      <c r="G581" s="3" t="s">
        <v>44</v>
      </c>
      <c r="H581" s="6">
        <v>-1819041</v>
      </c>
      <c r="I581" s="3" t="s">
        <v>17</v>
      </c>
      <c r="J581" s="3" t="s">
        <v>14</v>
      </c>
      <c r="K581" s="3" t="s">
        <v>14</v>
      </c>
      <c r="L581" s="3" t="s">
        <v>146</v>
      </c>
      <c r="M581" s="4">
        <v>46267</v>
      </c>
      <c r="N581" s="3" t="s">
        <v>481</v>
      </c>
      <c r="O581" s="3" t="s">
        <v>22</v>
      </c>
      <c r="P581" t="str">
        <f t="shared" si="9"/>
        <v>450013571430</v>
      </c>
      <c r="Q581" s="9" cm="1">
        <f t="array" ref="Q581:S581">VLOOKUP(P581,Hoja1!C:F,{2,3,4},FALSE)</f>
        <v>46273</v>
      </c>
      <c r="R581" t="str">
        <v>C48</v>
      </c>
      <c r="S581" t="str">
        <v>1000011072 NEUMATICOS GOODYEAR S R L</v>
      </c>
    </row>
    <row r="582" spans="1:19" x14ac:dyDescent="0.3">
      <c r="A582" s="2" t="s">
        <v>14</v>
      </c>
      <c r="B582" s="3" t="s">
        <v>14</v>
      </c>
      <c r="C582" s="3" t="s">
        <v>482</v>
      </c>
      <c r="D582" s="3" t="s">
        <v>14</v>
      </c>
      <c r="E582" s="3" t="s">
        <v>107</v>
      </c>
      <c r="F582" s="4">
        <v>46266</v>
      </c>
      <c r="G582" s="3" t="s">
        <v>44</v>
      </c>
      <c r="H582" s="6">
        <v>-5098940</v>
      </c>
      <c r="I582" s="3" t="s">
        <v>17</v>
      </c>
      <c r="J582" s="3" t="s">
        <v>14</v>
      </c>
      <c r="K582" s="3" t="s">
        <v>14</v>
      </c>
      <c r="L582" s="3" t="s">
        <v>146</v>
      </c>
      <c r="M582" s="4">
        <v>46267</v>
      </c>
      <c r="N582" s="3" t="s">
        <v>483</v>
      </c>
      <c r="O582" s="3" t="s">
        <v>34</v>
      </c>
      <c r="P582" t="str">
        <f t="shared" si="9"/>
        <v>450013670010</v>
      </c>
      <c r="Q582" s="9" cm="1">
        <f t="array" ref="Q582:S582">VLOOKUP(P582,Hoja1!C:F,{2,3,4},FALSE)</f>
        <v>46280</v>
      </c>
      <c r="R582" t="str">
        <v>C48</v>
      </c>
      <c r="S582" t="str">
        <v>1000011072 NEUMATICOS GOODYEAR S R L</v>
      </c>
    </row>
    <row r="583" spans="1:19" x14ac:dyDescent="0.3">
      <c r="A583" s="2" t="s">
        <v>14</v>
      </c>
      <c r="B583" s="3" t="s">
        <v>14</v>
      </c>
      <c r="C583" s="3" t="s">
        <v>482</v>
      </c>
      <c r="D583" s="3" t="s">
        <v>14</v>
      </c>
      <c r="E583" s="3" t="s">
        <v>107</v>
      </c>
      <c r="F583" s="4">
        <v>46266</v>
      </c>
      <c r="G583" s="3" t="s">
        <v>44</v>
      </c>
      <c r="H583" s="6">
        <v>-4311828</v>
      </c>
      <c r="I583" s="3" t="s">
        <v>17</v>
      </c>
      <c r="J583" s="3" t="s">
        <v>14</v>
      </c>
      <c r="K583" s="3" t="s">
        <v>14</v>
      </c>
      <c r="L583" s="3" t="s">
        <v>146</v>
      </c>
      <c r="M583" s="4">
        <v>46267</v>
      </c>
      <c r="N583" s="3" t="s">
        <v>483</v>
      </c>
      <c r="O583" s="3" t="s">
        <v>21</v>
      </c>
      <c r="P583" t="str">
        <f t="shared" si="9"/>
        <v>450013670020</v>
      </c>
      <c r="Q583" s="9" cm="1">
        <f t="array" ref="Q583:S583">VLOOKUP(P583,Hoja1!C:F,{2,3,4},FALSE)</f>
        <v>46280</v>
      </c>
      <c r="R583" t="str">
        <v>C48</v>
      </c>
      <c r="S583" t="str">
        <v>1000011072 NEUMATICOS GOODYEAR S R L</v>
      </c>
    </row>
    <row r="584" spans="1:19" x14ac:dyDescent="0.3">
      <c r="A584" s="2" t="s">
        <v>14</v>
      </c>
      <c r="B584" s="3" t="s">
        <v>14</v>
      </c>
      <c r="C584" s="3" t="s">
        <v>482</v>
      </c>
      <c r="D584" s="3" t="s">
        <v>14</v>
      </c>
      <c r="E584" s="3" t="s">
        <v>107</v>
      </c>
      <c r="F584" s="4">
        <v>46266</v>
      </c>
      <c r="G584" s="3" t="s">
        <v>44</v>
      </c>
      <c r="H584" s="6">
        <v>-2874552</v>
      </c>
      <c r="I584" s="3" t="s">
        <v>17</v>
      </c>
      <c r="J584" s="3" t="s">
        <v>14</v>
      </c>
      <c r="K584" s="3" t="s">
        <v>14</v>
      </c>
      <c r="L584" s="3" t="s">
        <v>146</v>
      </c>
      <c r="M584" s="4">
        <v>46267</v>
      </c>
      <c r="N584" s="3" t="s">
        <v>483</v>
      </c>
      <c r="O584" s="3" t="s">
        <v>22</v>
      </c>
      <c r="P584" t="str">
        <f t="shared" si="9"/>
        <v>450013670030</v>
      </c>
      <c r="Q584" s="9" cm="1">
        <f t="array" ref="Q584:S584">VLOOKUP(P584,Hoja1!C:F,{2,3,4},FALSE)</f>
        <v>46280</v>
      </c>
      <c r="R584" t="str">
        <v>C48</v>
      </c>
      <c r="S584" t="str">
        <v>1000011072 NEUMATICOS GOODYEAR S R L</v>
      </c>
    </row>
    <row r="585" spans="1:19" x14ac:dyDescent="0.3">
      <c r="A585" s="2" t="s">
        <v>14</v>
      </c>
      <c r="B585" s="3" t="s">
        <v>14</v>
      </c>
      <c r="C585" s="3" t="s">
        <v>484</v>
      </c>
      <c r="D585" s="3" t="s">
        <v>14</v>
      </c>
      <c r="E585" s="3" t="s">
        <v>107</v>
      </c>
      <c r="F585" s="4">
        <v>46267</v>
      </c>
      <c r="G585" s="3" t="s">
        <v>44</v>
      </c>
      <c r="H585" s="6">
        <v>-10042200</v>
      </c>
      <c r="I585" s="3" t="s">
        <v>17</v>
      </c>
      <c r="J585" s="3" t="s">
        <v>14</v>
      </c>
      <c r="K585" s="3" t="s">
        <v>14</v>
      </c>
      <c r="L585" s="3" t="s">
        <v>121</v>
      </c>
      <c r="M585" s="4">
        <v>46267</v>
      </c>
      <c r="N585" s="3" t="s">
        <v>312</v>
      </c>
      <c r="O585" s="3" t="s">
        <v>34</v>
      </c>
      <c r="P585" t="str">
        <f t="shared" si="9"/>
        <v>450012941210</v>
      </c>
      <c r="Q585" s="9" cm="1">
        <f t="array" ref="Q585:S585">VLOOKUP(P585,Hoja1!C:F,{2,3,4},FALSE)</f>
        <v>46325</v>
      </c>
      <c r="R585" t="str">
        <v>C21</v>
      </c>
      <c r="S585" t="str">
        <v>1000000634 RAIZEN ARGENTINA S.A.U.</v>
      </c>
    </row>
    <row r="586" spans="1:19" x14ac:dyDescent="0.3">
      <c r="A586" s="2" t="s">
        <v>14</v>
      </c>
      <c r="B586" s="3" t="s">
        <v>14</v>
      </c>
      <c r="C586" s="3" t="s">
        <v>484</v>
      </c>
      <c r="D586" s="3" t="s">
        <v>14</v>
      </c>
      <c r="E586" s="3" t="s">
        <v>107</v>
      </c>
      <c r="F586" s="4">
        <v>46267</v>
      </c>
      <c r="G586" s="3" t="s">
        <v>44</v>
      </c>
      <c r="H586" s="6">
        <v>-1144500</v>
      </c>
      <c r="I586" s="3" t="s">
        <v>17</v>
      </c>
      <c r="J586" s="3" t="s">
        <v>14</v>
      </c>
      <c r="K586" s="3" t="s">
        <v>14</v>
      </c>
      <c r="L586" s="3" t="s">
        <v>121</v>
      </c>
      <c r="M586" s="4">
        <v>46267</v>
      </c>
      <c r="N586" s="3" t="s">
        <v>312</v>
      </c>
      <c r="O586" s="3" t="s">
        <v>34</v>
      </c>
      <c r="P586" t="str">
        <f t="shared" si="9"/>
        <v>450012941210</v>
      </c>
      <c r="Q586" s="9" cm="1">
        <f t="array" ref="Q586:S586">VLOOKUP(P586,Hoja1!C:F,{2,3,4},FALSE)</f>
        <v>46325</v>
      </c>
      <c r="R586" t="str">
        <v>C21</v>
      </c>
      <c r="S586" t="str">
        <v>1000000634 RAIZEN ARGENTINA S.A.U.</v>
      </c>
    </row>
    <row r="587" spans="1:19" x14ac:dyDescent="0.3">
      <c r="A587" s="2" t="s">
        <v>14</v>
      </c>
      <c r="B587" s="3" t="s">
        <v>14</v>
      </c>
      <c r="C587" s="3" t="s">
        <v>485</v>
      </c>
      <c r="D587" s="3" t="s">
        <v>14</v>
      </c>
      <c r="E587" s="3" t="s">
        <v>107</v>
      </c>
      <c r="F587" s="4">
        <v>46262</v>
      </c>
      <c r="G587" s="3" t="s">
        <v>44</v>
      </c>
      <c r="H587" s="6">
        <v>-80100</v>
      </c>
      <c r="I587" s="3" t="s">
        <v>17</v>
      </c>
      <c r="J587" s="3" t="s">
        <v>14</v>
      </c>
      <c r="K587" s="3" t="s">
        <v>14</v>
      </c>
      <c r="L587" s="3" t="s">
        <v>486</v>
      </c>
      <c r="M587" s="4">
        <v>46267</v>
      </c>
      <c r="N587" s="3" t="s">
        <v>487</v>
      </c>
      <c r="O587" s="3" t="s">
        <v>34</v>
      </c>
      <c r="P587" t="str">
        <f t="shared" si="9"/>
        <v>450013675710</v>
      </c>
      <c r="Q587" s="9" cm="1">
        <f t="array" ref="Q587:S587">VLOOKUP(P587,Hoja1!C:F,{2,3,4},FALSE)</f>
        <v>46276</v>
      </c>
      <c r="R587" t="str">
        <v>C03</v>
      </c>
      <c r="S587" t="str">
        <v>1000000052 DEVOL S.A.</v>
      </c>
    </row>
    <row r="588" spans="1:19" x14ac:dyDescent="0.3">
      <c r="A588" s="2" t="s">
        <v>14</v>
      </c>
      <c r="B588" s="3" t="s">
        <v>14</v>
      </c>
      <c r="C588" s="3" t="s">
        <v>485</v>
      </c>
      <c r="D588" s="3" t="s">
        <v>14</v>
      </c>
      <c r="E588" s="3" t="s">
        <v>107</v>
      </c>
      <c r="F588" s="4">
        <v>46262</v>
      </c>
      <c r="G588" s="3" t="s">
        <v>44</v>
      </c>
      <c r="H588" s="6">
        <v>-67500</v>
      </c>
      <c r="I588" s="3" t="s">
        <v>17</v>
      </c>
      <c r="J588" s="3" t="s">
        <v>14</v>
      </c>
      <c r="K588" s="3" t="s">
        <v>14</v>
      </c>
      <c r="L588" s="3" t="s">
        <v>486</v>
      </c>
      <c r="M588" s="4">
        <v>46267</v>
      </c>
      <c r="N588" s="3" t="s">
        <v>487</v>
      </c>
      <c r="O588" s="3" t="s">
        <v>21</v>
      </c>
      <c r="P588" t="str">
        <f t="shared" si="9"/>
        <v>450013675720</v>
      </c>
      <c r="Q588" s="9" cm="1">
        <f t="array" ref="Q588:S588">VLOOKUP(P588,Hoja1!C:F,{2,3,4},FALSE)</f>
        <v>46276</v>
      </c>
      <c r="R588" t="str">
        <v>C03</v>
      </c>
      <c r="S588" t="str">
        <v>1000000052 DEVOL S.A.</v>
      </c>
    </row>
    <row r="589" spans="1:19" x14ac:dyDescent="0.3">
      <c r="A589" s="2" t="s">
        <v>14</v>
      </c>
      <c r="B589" s="3" t="s">
        <v>14</v>
      </c>
      <c r="C589" s="3" t="s">
        <v>485</v>
      </c>
      <c r="D589" s="3" t="s">
        <v>14</v>
      </c>
      <c r="E589" s="3" t="s">
        <v>107</v>
      </c>
      <c r="F589" s="4">
        <v>46262</v>
      </c>
      <c r="G589" s="3" t="s">
        <v>44</v>
      </c>
      <c r="H589" s="6">
        <v>-405000</v>
      </c>
      <c r="I589" s="3" t="s">
        <v>17</v>
      </c>
      <c r="J589" s="3" t="s">
        <v>14</v>
      </c>
      <c r="K589" s="3" t="s">
        <v>14</v>
      </c>
      <c r="L589" s="3" t="s">
        <v>486</v>
      </c>
      <c r="M589" s="4">
        <v>46267</v>
      </c>
      <c r="N589" s="3" t="s">
        <v>487</v>
      </c>
      <c r="O589" s="3" t="s">
        <v>22</v>
      </c>
      <c r="P589" t="str">
        <f t="shared" si="9"/>
        <v>450013675730</v>
      </c>
      <c r="Q589" s="9" cm="1">
        <f t="array" ref="Q589:S589">VLOOKUP(P589,Hoja1!C:F,{2,3,4},FALSE)</f>
        <v>46276</v>
      </c>
      <c r="R589" t="str">
        <v>C03</v>
      </c>
      <c r="S589" t="str">
        <v>1000000052 DEVOL S.A.</v>
      </c>
    </row>
    <row r="590" spans="1:19" x14ac:dyDescent="0.3">
      <c r="A590" s="2" t="s">
        <v>14</v>
      </c>
      <c r="B590" s="3" t="s">
        <v>14</v>
      </c>
      <c r="C590" s="3" t="s">
        <v>488</v>
      </c>
      <c r="D590" s="3" t="s">
        <v>14</v>
      </c>
      <c r="E590" s="3" t="s">
        <v>107</v>
      </c>
      <c r="F590" s="4">
        <v>46267</v>
      </c>
      <c r="G590" s="3" t="s">
        <v>44</v>
      </c>
      <c r="H590" s="6">
        <v>-571360.75</v>
      </c>
      <c r="I590" s="3" t="s">
        <v>17</v>
      </c>
      <c r="J590" s="3" t="s">
        <v>14</v>
      </c>
      <c r="K590" s="3" t="s">
        <v>14</v>
      </c>
      <c r="L590" s="3" t="s">
        <v>489</v>
      </c>
      <c r="M590" s="4">
        <v>46267</v>
      </c>
      <c r="N590" s="3" t="s">
        <v>490</v>
      </c>
      <c r="O590" s="3" t="s">
        <v>34</v>
      </c>
      <c r="P590" t="str">
        <f t="shared" si="9"/>
        <v>450013690910</v>
      </c>
      <c r="Q590" s="9" cm="1">
        <f t="array" ref="Q590:S590">VLOOKUP(P590,Hoja1!C:F,{2,3,4},FALSE)</f>
        <v>46274</v>
      </c>
      <c r="R590" t="str">
        <v>L02</v>
      </c>
      <c r="S590" t="str">
        <v>1000010056 AGU GUILLERMO ANDRES</v>
      </c>
    </row>
    <row r="591" spans="1:19" x14ac:dyDescent="0.3">
      <c r="A591" s="2" t="s">
        <v>14</v>
      </c>
      <c r="B591" s="3" t="s">
        <v>14</v>
      </c>
      <c r="C591" s="3" t="s">
        <v>491</v>
      </c>
      <c r="D591" s="3" t="s">
        <v>14</v>
      </c>
      <c r="E591" s="3" t="s">
        <v>107</v>
      </c>
      <c r="F591" s="4">
        <v>46260</v>
      </c>
      <c r="G591" s="3" t="s">
        <v>44</v>
      </c>
      <c r="H591" s="6">
        <v>-12490.38</v>
      </c>
      <c r="I591" s="3" t="s">
        <v>17</v>
      </c>
      <c r="J591" s="3" t="s">
        <v>14</v>
      </c>
      <c r="K591" s="3" t="s">
        <v>14</v>
      </c>
      <c r="L591" s="3" t="s">
        <v>476</v>
      </c>
      <c r="M591" s="4">
        <v>46267</v>
      </c>
      <c r="N591" s="3" t="s">
        <v>492</v>
      </c>
      <c r="O591" s="3" t="s">
        <v>22</v>
      </c>
      <c r="P591" t="str">
        <f t="shared" si="9"/>
        <v>450013665130</v>
      </c>
      <c r="Q591" s="9" cm="1">
        <f t="array" ref="Q591:S591">VLOOKUP(P591,Hoja1!C:F,{2,3,4},FALSE)</f>
        <v>46280</v>
      </c>
      <c r="R591" t="str">
        <v>C03</v>
      </c>
      <c r="S591" t="str">
        <v>1000002050 RODAMIENTOS CUYO SEL</v>
      </c>
    </row>
    <row r="592" spans="1:19" x14ac:dyDescent="0.3">
      <c r="A592" s="2" t="s">
        <v>14</v>
      </c>
      <c r="B592" s="3" t="s">
        <v>14</v>
      </c>
      <c r="C592" s="3" t="s">
        <v>493</v>
      </c>
      <c r="D592" s="3" t="s">
        <v>14</v>
      </c>
      <c r="E592" s="3" t="s">
        <v>107</v>
      </c>
      <c r="F592" s="4">
        <v>46267</v>
      </c>
      <c r="G592" s="3" t="s">
        <v>44</v>
      </c>
      <c r="H592" s="6">
        <v>-19025123.780000001</v>
      </c>
      <c r="I592" s="3" t="s">
        <v>17</v>
      </c>
      <c r="J592" s="3" t="s">
        <v>14</v>
      </c>
      <c r="K592" s="3" t="s">
        <v>14</v>
      </c>
      <c r="L592" s="3" t="s">
        <v>417</v>
      </c>
      <c r="M592" s="4">
        <v>46268</v>
      </c>
      <c r="N592" s="3" t="s">
        <v>494</v>
      </c>
      <c r="O592" s="3" t="s">
        <v>34</v>
      </c>
      <c r="P592" t="str">
        <f t="shared" si="9"/>
        <v>450013713310</v>
      </c>
      <c r="Q592" s="9" cm="1">
        <f t="array" ref="Q592:S592">VLOOKUP(P592,Hoja1!C:F,{2,3,4},FALSE)</f>
        <v>46275</v>
      </c>
      <c r="R592" t="str">
        <v>C48</v>
      </c>
      <c r="S592" t="str">
        <v>1000000279 NEUMATICOS VERONA S.R.L.</v>
      </c>
    </row>
    <row r="593" spans="1:19" x14ac:dyDescent="0.3">
      <c r="A593" s="2" t="s">
        <v>14</v>
      </c>
      <c r="B593" s="3" t="s">
        <v>14</v>
      </c>
      <c r="C593" s="3" t="s">
        <v>495</v>
      </c>
      <c r="D593" s="3" t="s">
        <v>14</v>
      </c>
      <c r="E593" s="3" t="s">
        <v>107</v>
      </c>
      <c r="F593" s="4">
        <v>46268</v>
      </c>
      <c r="G593" s="3" t="s">
        <v>44</v>
      </c>
      <c r="H593" s="6">
        <v>-369900</v>
      </c>
      <c r="I593" s="3" t="s">
        <v>17</v>
      </c>
      <c r="J593" s="3" t="s">
        <v>14</v>
      </c>
      <c r="K593" s="3" t="s">
        <v>14</v>
      </c>
      <c r="L593" s="3" t="s">
        <v>496</v>
      </c>
      <c r="M593" s="4">
        <v>46268</v>
      </c>
      <c r="N593" s="3" t="s">
        <v>497</v>
      </c>
      <c r="O593" s="3" t="s">
        <v>34</v>
      </c>
      <c r="P593" t="str">
        <f t="shared" si="9"/>
        <v>450013732810</v>
      </c>
      <c r="Q593" s="9" cm="1">
        <f t="array" ref="Q593:S593">VLOOKUP(P593,Hoja1!C:F,{2,3,4},FALSE)</f>
        <v>46280</v>
      </c>
      <c r="R593" t="str">
        <v>C03</v>
      </c>
      <c r="S593" t="str">
        <v>1000000884 TRUCKSTORE S.A.</v>
      </c>
    </row>
    <row r="594" spans="1:19" x14ac:dyDescent="0.3">
      <c r="A594" s="2" t="s">
        <v>14</v>
      </c>
      <c r="B594" s="3" t="s">
        <v>14</v>
      </c>
      <c r="C594" s="3" t="s">
        <v>498</v>
      </c>
      <c r="D594" s="3" t="s">
        <v>14</v>
      </c>
      <c r="E594" s="3" t="s">
        <v>107</v>
      </c>
      <c r="F594" s="4">
        <v>46268</v>
      </c>
      <c r="G594" s="3" t="s">
        <v>44</v>
      </c>
      <c r="H594" s="6">
        <v>-737220</v>
      </c>
      <c r="I594" s="3" t="s">
        <v>17</v>
      </c>
      <c r="J594" s="3" t="s">
        <v>14</v>
      </c>
      <c r="K594" s="3" t="s">
        <v>14</v>
      </c>
      <c r="L594" s="3" t="s">
        <v>108</v>
      </c>
      <c r="M594" s="4">
        <v>46268</v>
      </c>
      <c r="N594" s="3" t="s">
        <v>375</v>
      </c>
      <c r="O594" s="3" t="s">
        <v>34</v>
      </c>
      <c r="P594" t="str">
        <f t="shared" si="9"/>
        <v>450013040410</v>
      </c>
      <c r="Q594" s="9" cm="1">
        <f t="array" ref="Q594:S594">VLOOKUP(P594,Hoja1!C:F,{2,3,4},FALSE)</f>
        <v>46296</v>
      </c>
      <c r="R594" t="str">
        <v>C21</v>
      </c>
      <c r="S594" t="str">
        <v>1000001020 COMBUSTIBLES BARCELO S.R.L.</v>
      </c>
    </row>
    <row r="595" spans="1:19" x14ac:dyDescent="0.3">
      <c r="A595" s="2" t="s">
        <v>14</v>
      </c>
      <c r="B595" s="3" t="s">
        <v>14</v>
      </c>
      <c r="C595" s="3" t="s">
        <v>498</v>
      </c>
      <c r="D595" s="3" t="s">
        <v>14</v>
      </c>
      <c r="E595" s="3" t="s">
        <v>107</v>
      </c>
      <c r="F595" s="4">
        <v>46268</v>
      </c>
      <c r="G595" s="3" t="s">
        <v>44</v>
      </c>
      <c r="H595" s="6">
        <v>-84030</v>
      </c>
      <c r="I595" s="3" t="s">
        <v>17</v>
      </c>
      <c r="J595" s="3" t="s">
        <v>14</v>
      </c>
      <c r="K595" s="3" t="s">
        <v>14</v>
      </c>
      <c r="L595" s="3" t="s">
        <v>108</v>
      </c>
      <c r="M595" s="4">
        <v>46268</v>
      </c>
      <c r="N595" s="3" t="s">
        <v>375</v>
      </c>
      <c r="O595" s="3" t="s">
        <v>34</v>
      </c>
      <c r="P595" t="str">
        <f t="shared" si="9"/>
        <v>450013040410</v>
      </c>
      <c r="Q595" s="9" cm="1">
        <f t="array" ref="Q595:S595">VLOOKUP(P595,Hoja1!C:F,{2,3,4},FALSE)</f>
        <v>46296</v>
      </c>
      <c r="R595" t="str">
        <v>C21</v>
      </c>
      <c r="S595" t="str">
        <v>1000001020 COMBUSTIBLES BARCELO S.R.L.</v>
      </c>
    </row>
    <row r="596" spans="1:19" x14ac:dyDescent="0.3">
      <c r="A596" s="2" t="s">
        <v>14</v>
      </c>
      <c r="B596" s="3" t="s">
        <v>14</v>
      </c>
      <c r="C596" s="3" t="s">
        <v>499</v>
      </c>
      <c r="D596" s="3" t="s">
        <v>14</v>
      </c>
      <c r="E596" s="3" t="s">
        <v>107</v>
      </c>
      <c r="F596" s="4">
        <v>46268</v>
      </c>
      <c r="G596" s="3" t="s">
        <v>44</v>
      </c>
      <c r="H596" s="6">
        <v>-14749.34</v>
      </c>
      <c r="I596" s="3" t="s">
        <v>17</v>
      </c>
      <c r="J596" s="3" t="s">
        <v>14</v>
      </c>
      <c r="K596" s="3" t="s">
        <v>14</v>
      </c>
      <c r="L596" s="3" t="s">
        <v>500</v>
      </c>
      <c r="M596" s="4">
        <v>46269</v>
      </c>
      <c r="N596" s="3" t="s">
        <v>501</v>
      </c>
      <c r="O596" s="3" t="s">
        <v>34</v>
      </c>
      <c r="P596" t="str">
        <f t="shared" si="9"/>
        <v>450013675610</v>
      </c>
      <c r="Q596" s="9" cm="1">
        <f t="array" ref="Q596:S596">VLOOKUP(P596,Hoja1!C:F,{2,3,4},FALSE)</f>
        <v>46269</v>
      </c>
      <c r="R596" t="str">
        <v>C03</v>
      </c>
      <c r="S596" t="str">
        <v>1000002077 DBT S.A.</v>
      </c>
    </row>
    <row r="597" spans="1:19" x14ac:dyDescent="0.3">
      <c r="A597" s="2" t="s">
        <v>14</v>
      </c>
      <c r="B597" s="3" t="s">
        <v>14</v>
      </c>
      <c r="C597" s="3" t="s">
        <v>502</v>
      </c>
      <c r="D597" s="3" t="s">
        <v>14</v>
      </c>
      <c r="E597" s="3" t="s">
        <v>107</v>
      </c>
      <c r="F597" s="4">
        <v>46269</v>
      </c>
      <c r="G597" s="3" t="s">
        <v>44</v>
      </c>
      <c r="H597" s="6">
        <v>-90661.05</v>
      </c>
      <c r="I597" s="3" t="s">
        <v>17</v>
      </c>
      <c r="J597" s="3" t="s">
        <v>14</v>
      </c>
      <c r="K597" s="3" t="s">
        <v>14</v>
      </c>
      <c r="L597" s="3" t="s">
        <v>169</v>
      </c>
      <c r="M597" s="4">
        <v>46269</v>
      </c>
      <c r="N597" s="3" t="s">
        <v>503</v>
      </c>
      <c r="O597" s="3" t="s">
        <v>34</v>
      </c>
      <c r="P597" t="str">
        <f t="shared" si="9"/>
        <v>450013678710</v>
      </c>
      <c r="Q597" s="9" cm="1">
        <f t="array" ref="Q597:S597">VLOOKUP(P597,Hoja1!C:F,{2,3,4},FALSE)</f>
        <v>46264</v>
      </c>
      <c r="R597" t="str">
        <v>C43</v>
      </c>
      <c r="S597" t="str">
        <v>1000002607 DIESEL LANGE S.R.L</v>
      </c>
    </row>
    <row r="598" spans="1:19" x14ac:dyDescent="0.3">
      <c r="A598" s="2" t="s">
        <v>14</v>
      </c>
      <c r="B598" s="3" t="s">
        <v>14</v>
      </c>
      <c r="C598" s="3" t="s">
        <v>502</v>
      </c>
      <c r="D598" s="3" t="s">
        <v>14</v>
      </c>
      <c r="E598" s="3" t="s">
        <v>107</v>
      </c>
      <c r="F598" s="4">
        <v>46269</v>
      </c>
      <c r="G598" s="3" t="s">
        <v>44</v>
      </c>
      <c r="H598" s="6">
        <v>-2362765.29</v>
      </c>
      <c r="I598" s="3" t="s">
        <v>17</v>
      </c>
      <c r="J598" s="3" t="s">
        <v>14</v>
      </c>
      <c r="K598" s="3" t="s">
        <v>14</v>
      </c>
      <c r="L598" s="3" t="s">
        <v>169</v>
      </c>
      <c r="M598" s="4">
        <v>46269</v>
      </c>
      <c r="N598" s="3" t="s">
        <v>503</v>
      </c>
      <c r="O598" s="3" t="s">
        <v>21</v>
      </c>
      <c r="P598" t="str">
        <f t="shared" si="9"/>
        <v>450013678720</v>
      </c>
      <c r="Q598" s="9" cm="1">
        <f t="array" ref="Q598:S598">VLOOKUP(P598,Hoja1!C:F,{2,3,4},FALSE)</f>
        <v>46266</v>
      </c>
      <c r="R598" t="str">
        <v>C43</v>
      </c>
      <c r="S598" t="str">
        <v>1000002607 DIESEL LANGE S.R.L</v>
      </c>
    </row>
    <row r="599" spans="1:19" x14ac:dyDescent="0.3">
      <c r="A599" s="2" t="s">
        <v>14</v>
      </c>
      <c r="B599" s="3" t="s">
        <v>14</v>
      </c>
      <c r="C599" s="3" t="s">
        <v>502</v>
      </c>
      <c r="D599" s="3" t="s">
        <v>14</v>
      </c>
      <c r="E599" s="3" t="s">
        <v>107</v>
      </c>
      <c r="F599" s="4">
        <v>46269</v>
      </c>
      <c r="G599" s="3" t="s">
        <v>44</v>
      </c>
      <c r="H599" s="6">
        <v>-174105.3</v>
      </c>
      <c r="I599" s="3" t="s">
        <v>17</v>
      </c>
      <c r="J599" s="3" t="s">
        <v>14</v>
      </c>
      <c r="K599" s="3" t="s">
        <v>14</v>
      </c>
      <c r="L599" s="3" t="s">
        <v>169</v>
      </c>
      <c r="M599" s="4">
        <v>46269</v>
      </c>
      <c r="N599" s="3" t="s">
        <v>503</v>
      </c>
      <c r="O599" s="3" t="s">
        <v>22</v>
      </c>
      <c r="P599" t="str">
        <f t="shared" si="9"/>
        <v>450013678730</v>
      </c>
      <c r="Q599" s="9" cm="1">
        <f t="array" ref="Q599:S599">VLOOKUP(P599,Hoja1!C:F,{2,3,4},FALSE)</f>
        <v>46266</v>
      </c>
      <c r="R599" t="str">
        <v>C43</v>
      </c>
      <c r="S599" t="str">
        <v>1000002607 DIESEL LANGE S.R.L</v>
      </c>
    </row>
    <row r="600" spans="1:19" x14ac:dyDescent="0.3">
      <c r="A600" s="2" t="s">
        <v>14</v>
      </c>
      <c r="B600" s="3" t="s">
        <v>14</v>
      </c>
      <c r="C600" s="3" t="s">
        <v>502</v>
      </c>
      <c r="D600" s="3" t="s">
        <v>14</v>
      </c>
      <c r="E600" s="3" t="s">
        <v>107</v>
      </c>
      <c r="F600" s="4">
        <v>46269</v>
      </c>
      <c r="G600" s="3" t="s">
        <v>44</v>
      </c>
      <c r="H600" s="6">
        <v>-48653.26</v>
      </c>
      <c r="I600" s="3" t="s">
        <v>17</v>
      </c>
      <c r="J600" s="3" t="s">
        <v>14</v>
      </c>
      <c r="K600" s="3" t="s">
        <v>14</v>
      </c>
      <c r="L600" s="3" t="s">
        <v>169</v>
      </c>
      <c r="M600" s="4">
        <v>46269</v>
      </c>
      <c r="N600" s="3" t="s">
        <v>503</v>
      </c>
      <c r="O600" s="3" t="s">
        <v>26</v>
      </c>
      <c r="P600" t="str">
        <f t="shared" si="9"/>
        <v>450013678740</v>
      </c>
      <c r="Q600" s="9" cm="1">
        <f t="array" ref="Q600:S600">VLOOKUP(P600,Hoja1!C:F,{2,3,4},FALSE)</f>
        <v>46266</v>
      </c>
      <c r="R600" t="str">
        <v>C43</v>
      </c>
      <c r="S600" t="str">
        <v>1000002607 DIESEL LANGE S.R.L</v>
      </c>
    </row>
    <row r="601" spans="1:19" x14ac:dyDescent="0.3">
      <c r="A601" s="2" t="s">
        <v>14</v>
      </c>
      <c r="B601" s="3" t="s">
        <v>14</v>
      </c>
      <c r="C601" s="3" t="s">
        <v>504</v>
      </c>
      <c r="D601" s="3" t="s">
        <v>14</v>
      </c>
      <c r="E601" s="3" t="s">
        <v>107</v>
      </c>
      <c r="F601" s="4">
        <v>46269</v>
      </c>
      <c r="G601" s="3" t="s">
        <v>44</v>
      </c>
      <c r="H601" s="6">
        <v>-530089</v>
      </c>
      <c r="I601" s="3" t="s">
        <v>17</v>
      </c>
      <c r="J601" s="3" t="s">
        <v>14</v>
      </c>
      <c r="K601" s="3" t="s">
        <v>14</v>
      </c>
      <c r="L601" s="3" t="s">
        <v>19</v>
      </c>
      <c r="M601" s="4">
        <v>46269</v>
      </c>
      <c r="N601" s="3" t="s">
        <v>377</v>
      </c>
      <c r="O601" s="3" t="s">
        <v>21</v>
      </c>
      <c r="P601" t="str">
        <f t="shared" si="9"/>
        <v>450013213720</v>
      </c>
      <c r="Q601" s="9" cm="1">
        <f t="array" ref="Q601:S601">VLOOKUP(P601,Hoja1!C:F,{2,3,4},FALSE)</f>
        <v>46266</v>
      </c>
      <c r="R601" t="str">
        <v>C29</v>
      </c>
      <c r="S601" t="str">
        <v>1000001470 SUDAMERICANA CAMIONES SA</v>
      </c>
    </row>
    <row r="602" spans="1:19" x14ac:dyDescent="0.3">
      <c r="A602" s="2" t="s">
        <v>14</v>
      </c>
      <c r="B602" s="3" t="s">
        <v>14</v>
      </c>
      <c r="C602" s="3" t="s">
        <v>504</v>
      </c>
      <c r="D602" s="3" t="s">
        <v>14</v>
      </c>
      <c r="E602" s="3" t="s">
        <v>107</v>
      </c>
      <c r="F602" s="4">
        <v>46269</v>
      </c>
      <c r="G602" s="3" t="s">
        <v>44</v>
      </c>
      <c r="H602" s="6">
        <v>-1328582.81</v>
      </c>
      <c r="I602" s="3" t="s">
        <v>17</v>
      </c>
      <c r="J602" s="3" t="s">
        <v>14</v>
      </c>
      <c r="K602" s="3" t="s">
        <v>14</v>
      </c>
      <c r="L602" s="3" t="s">
        <v>19</v>
      </c>
      <c r="M602" s="4">
        <v>46269</v>
      </c>
      <c r="N602" s="3" t="s">
        <v>377</v>
      </c>
      <c r="O602" s="3" t="s">
        <v>26</v>
      </c>
      <c r="P602" t="str">
        <f t="shared" si="9"/>
        <v>450013213740</v>
      </c>
      <c r="Q602" s="9" cm="1">
        <f t="array" ref="Q602:S602">VLOOKUP(P602,Hoja1!C:F,{2,3,4},FALSE)</f>
        <v>46266</v>
      </c>
      <c r="R602" t="str">
        <v>C29</v>
      </c>
      <c r="S602" t="str">
        <v>1000001470 SUDAMERICANA CAMIONES SA</v>
      </c>
    </row>
    <row r="603" spans="1:19" x14ac:dyDescent="0.3">
      <c r="A603" s="2" t="s">
        <v>14</v>
      </c>
      <c r="B603" s="3" t="s">
        <v>14</v>
      </c>
      <c r="C603" s="3" t="s">
        <v>505</v>
      </c>
      <c r="D603" s="3" t="s">
        <v>14</v>
      </c>
      <c r="E603" s="3" t="s">
        <v>107</v>
      </c>
      <c r="F603" s="4">
        <v>46269</v>
      </c>
      <c r="G603" s="3" t="s">
        <v>44</v>
      </c>
      <c r="H603" s="6">
        <v>-14391339.380000001</v>
      </c>
      <c r="I603" s="3" t="s">
        <v>17</v>
      </c>
      <c r="J603" s="3" t="s">
        <v>14</v>
      </c>
      <c r="K603" s="3" t="s">
        <v>14</v>
      </c>
      <c r="L603" s="3" t="s">
        <v>506</v>
      </c>
      <c r="M603" s="4">
        <v>46269</v>
      </c>
      <c r="N603" s="3" t="s">
        <v>507</v>
      </c>
      <c r="O603" s="3" t="s">
        <v>34</v>
      </c>
      <c r="P603" t="str">
        <f t="shared" si="9"/>
        <v>450013632310</v>
      </c>
      <c r="Q603" s="9" cm="1">
        <f t="array" ref="Q603:S603">VLOOKUP(P603,Hoja1!C:F,{2,3,4},FALSE)</f>
        <v>46275</v>
      </c>
      <c r="R603" t="str">
        <v>L02</v>
      </c>
      <c r="S603" t="str">
        <v>1000000038 YPF S.A.</v>
      </c>
    </row>
    <row r="604" spans="1:19" x14ac:dyDescent="0.3">
      <c r="A604" s="2" t="s">
        <v>14</v>
      </c>
      <c r="B604" s="3" t="s">
        <v>14</v>
      </c>
      <c r="C604" s="3" t="s">
        <v>508</v>
      </c>
      <c r="D604" s="3" t="s">
        <v>14</v>
      </c>
      <c r="E604" s="3" t="s">
        <v>107</v>
      </c>
      <c r="F604" s="4">
        <v>46265</v>
      </c>
      <c r="G604" s="3" t="s">
        <v>44</v>
      </c>
      <c r="H604" s="6">
        <v>-2616607.16</v>
      </c>
      <c r="I604" s="3" t="s">
        <v>17</v>
      </c>
      <c r="J604" s="3" t="s">
        <v>14</v>
      </c>
      <c r="K604" s="3" t="s">
        <v>14</v>
      </c>
      <c r="L604" s="3" t="s">
        <v>506</v>
      </c>
      <c r="M604" s="4">
        <v>46269</v>
      </c>
      <c r="N604" s="3" t="s">
        <v>507</v>
      </c>
      <c r="O604" s="3" t="s">
        <v>21</v>
      </c>
      <c r="P604" t="str">
        <f t="shared" si="9"/>
        <v>450013632320</v>
      </c>
      <c r="Q604" s="9" cm="1">
        <f t="array" ref="Q604:S604">VLOOKUP(P604,Hoja1!C:F,{2,3,4},FALSE)</f>
        <v>46275</v>
      </c>
      <c r="R604" t="str">
        <v>L02</v>
      </c>
      <c r="S604" t="str">
        <v>1000000038 YPF S.A.</v>
      </c>
    </row>
    <row r="605" spans="1:19" x14ac:dyDescent="0.3">
      <c r="A605" s="2" t="s">
        <v>14</v>
      </c>
      <c r="B605" s="3" t="s">
        <v>14</v>
      </c>
      <c r="C605" s="3" t="s">
        <v>509</v>
      </c>
      <c r="D605" s="3" t="s">
        <v>14</v>
      </c>
      <c r="E605" s="3" t="s">
        <v>107</v>
      </c>
      <c r="F605" s="4">
        <v>46267</v>
      </c>
      <c r="G605" s="3" t="s">
        <v>44</v>
      </c>
      <c r="H605" s="6">
        <v>-7126590</v>
      </c>
      <c r="I605" s="3" t="s">
        <v>17</v>
      </c>
      <c r="J605" s="3" t="s">
        <v>14</v>
      </c>
      <c r="K605" s="3" t="s">
        <v>14</v>
      </c>
      <c r="L605" s="3" t="s">
        <v>19</v>
      </c>
      <c r="M605" s="4">
        <v>46269</v>
      </c>
      <c r="N605" s="3" t="s">
        <v>510</v>
      </c>
      <c r="O605" s="3" t="s">
        <v>34</v>
      </c>
      <c r="P605" t="str">
        <f t="shared" si="9"/>
        <v>450013693610</v>
      </c>
      <c r="Q605" s="9" cm="1">
        <f t="array" ref="Q605:S605">VLOOKUP(P605,Hoja1!C:F,{2,3,4},FALSE)</f>
        <v>46290</v>
      </c>
      <c r="R605" t="str">
        <v>G04</v>
      </c>
      <c r="S605" t="str">
        <v>1000001470 SUDAMERICANA CAMIONES SA</v>
      </c>
    </row>
    <row r="606" spans="1:19" x14ac:dyDescent="0.3">
      <c r="A606" s="2" t="s">
        <v>14</v>
      </c>
      <c r="B606" s="3" t="s">
        <v>14</v>
      </c>
      <c r="C606" s="3" t="s">
        <v>511</v>
      </c>
      <c r="D606" s="3" t="s">
        <v>14</v>
      </c>
      <c r="E606" s="3" t="s">
        <v>107</v>
      </c>
      <c r="F606" s="4">
        <v>46267</v>
      </c>
      <c r="G606" s="3" t="s">
        <v>44</v>
      </c>
      <c r="H606" s="6">
        <v>-1458395</v>
      </c>
      <c r="I606" s="3" t="s">
        <v>17</v>
      </c>
      <c r="J606" s="3" t="s">
        <v>14</v>
      </c>
      <c r="K606" s="3" t="s">
        <v>14</v>
      </c>
      <c r="L606" s="3" t="s">
        <v>159</v>
      </c>
      <c r="M606" s="4">
        <v>46272</v>
      </c>
      <c r="N606" s="3" t="s">
        <v>512</v>
      </c>
      <c r="O606" s="3" t="s">
        <v>34</v>
      </c>
      <c r="P606" t="str">
        <f t="shared" si="9"/>
        <v>450013733410</v>
      </c>
      <c r="Q606" s="9" cm="1">
        <f t="array" ref="Q606:S606">VLOOKUP(P606,Hoja1!C:F,{2,3,4},FALSE)</f>
        <v>46270</v>
      </c>
      <c r="R606" t="str">
        <v>C43</v>
      </c>
      <c r="S606" t="str">
        <v>1000010438 TURBOS T&amp;T S.R.L</v>
      </c>
    </row>
    <row r="607" spans="1:19" x14ac:dyDescent="0.3">
      <c r="A607" s="2" t="s">
        <v>14</v>
      </c>
      <c r="B607" s="3" t="s">
        <v>14</v>
      </c>
      <c r="C607" s="3" t="s">
        <v>513</v>
      </c>
      <c r="D607" s="3" t="s">
        <v>56</v>
      </c>
      <c r="E607" s="3" t="s">
        <v>107</v>
      </c>
      <c r="F607" s="4">
        <v>46273</v>
      </c>
      <c r="G607" s="3" t="s">
        <v>44</v>
      </c>
      <c r="H607" s="6">
        <v>-270734.52</v>
      </c>
      <c r="I607" s="3" t="s">
        <v>17</v>
      </c>
      <c r="J607" s="3" t="s">
        <v>14</v>
      </c>
      <c r="K607" s="3" t="s">
        <v>14</v>
      </c>
      <c r="L607" s="3" t="s">
        <v>57</v>
      </c>
      <c r="M607" s="4">
        <v>46273</v>
      </c>
      <c r="N607" s="3" t="s">
        <v>58</v>
      </c>
      <c r="O607" s="3" t="s">
        <v>34</v>
      </c>
      <c r="P607" t="str">
        <f t="shared" si="9"/>
        <v>450012122710</v>
      </c>
      <c r="Q607" s="9" cm="1">
        <f t="array" ref="Q607:S607">VLOOKUP(P607,Hoja1!C:F,{2,3,4},FALSE)</f>
        <v>46264</v>
      </c>
      <c r="R607" t="str">
        <v>C25</v>
      </c>
      <c r="S607" t="str">
        <v>1000010957 GANGAS REYES MARCELO DAVID</v>
      </c>
    </row>
    <row r="608" spans="1:19" x14ac:dyDescent="0.3">
      <c r="A608" s="2" t="s">
        <v>14</v>
      </c>
      <c r="B608" s="3" t="s">
        <v>14</v>
      </c>
      <c r="C608" s="3" t="s">
        <v>514</v>
      </c>
      <c r="D608" s="3" t="s">
        <v>36</v>
      </c>
      <c r="E608" s="3" t="s">
        <v>107</v>
      </c>
      <c r="F608" s="4">
        <v>46273</v>
      </c>
      <c r="G608" s="3" t="s">
        <v>44</v>
      </c>
      <c r="H608" s="6">
        <v>-1205600</v>
      </c>
      <c r="I608" s="3" t="s">
        <v>17</v>
      </c>
      <c r="J608" s="3" t="s">
        <v>14</v>
      </c>
      <c r="K608" s="3" t="s">
        <v>14</v>
      </c>
      <c r="L608" s="3" t="s">
        <v>447</v>
      </c>
      <c r="M608" s="4">
        <v>46273</v>
      </c>
      <c r="N608" s="3" t="s">
        <v>448</v>
      </c>
      <c r="O608" s="3" t="s">
        <v>21</v>
      </c>
      <c r="P608" t="str">
        <f t="shared" si="9"/>
        <v>450013481820</v>
      </c>
      <c r="Q608" s="9" cm="1">
        <f t="array" ref="Q608:S608">VLOOKUP(P608,Hoja1!C:F,{2,3,4},FALSE)</f>
        <v>46387</v>
      </c>
      <c r="R608" t="str">
        <v>C25</v>
      </c>
      <c r="S608" t="str">
        <v>1000001691 LENOR SRL</v>
      </c>
    </row>
    <row r="609" spans="1:19" x14ac:dyDescent="0.3">
      <c r="A609" s="2" t="s">
        <v>14</v>
      </c>
      <c r="B609" s="3" t="s">
        <v>14</v>
      </c>
      <c r="C609" s="3" t="s">
        <v>514</v>
      </c>
      <c r="D609" s="3" t="s">
        <v>36</v>
      </c>
      <c r="E609" s="3" t="s">
        <v>107</v>
      </c>
      <c r="F609" s="4">
        <v>46273</v>
      </c>
      <c r="G609" s="3" t="s">
        <v>44</v>
      </c>
      <c r="H609" s="6">
        <v>-527450</v>
      </c>
      <c r="I609" s="3" t="s">
        <v>17</v>
      </c>
      <c r="J609" s="3" t="s">
        <v>14</v>
      </c>
      <c r="K609" s="3" t="s">
        <v>14</v>
      </c>
      <c r="L609" s="3" t="s">
        <v>447</v>
      </c>
      <c r="M609" s="4">
        <v>46273</v>
      </c>
      <c r="N609" s="3" t="s">
        <v>448</v>
      </c>
      <c r="O609" s="3" t="s">
        <v>22</v>
      </c>
      <c r="P609" t="str">
        <f t="shared" si="9"/>
        <v>450013481830</v>
      </c>
      <c r="Q609" s="9" cm="1">
        <f t="array" ref="Q609:S609">VLOOKUP(P609,Hoja1!C:F,{2,3,4},FALSE)</f>
        <v>46387</v>
      </c>
      <c r="R609" t="str">
        <v>C25</v>
      </c>
      <c r="S609" t="str">
        <v>1000001691 LENOR SRL</v>
      </c>
    </row>
    <row r="610" spans="1:19" x14ac:dyDescent="0.3">
      <c r="A610" s="2" t="s">
        <v>14</v>
      </c>
      <c r="B610" s="3" t="s">
        <v>14</v>
      </c>
      <c r="C610" s="3" t="s">
        <v>515</v>
      </c>
      <c r="D610" s="3" t="s">
        <v>36</v>
      </c>
      <c r="E610" s="3" t="s">
        <v>107</v>
      </c>
      <c r="F610" s="4">
        <v>46273</v>
      </c>
      <c r="G610" s="3" t="s">
        <v>44</v>
      </c>
      <c r="H610" s="6">
        <v>-452100</v>
      </c>
      <c r="I610" s="3" t="s">
        <v>17</v>
      </c>
      <c r="J610" s="3" t="s">
        <v>14</v>
      </c>
      <c r="K610" s="3" t="s">
        <v>14</v>
      </c>
      <c r="L610" s="3" t="s">
        <v>447</v>
      </c>
      <c r="M610" s="4">
        <v>46273</v>
      </c>
      <c r="N610" s="3" t="s">
        <v>448</v>
      </c>
      <c r="O610" s="3" t="s">
        <v>34</v>
      </c>
      <c r="P610" t="str">
        <f t="shared" si="9"/>
        <v>450013481810</v>
      </c>
      <c r="Q610" s="9" cm="1">
        <f t="array" ref="Q610:S610">VLOOKUP(P610,Hoja1!C:F,{2,3,4},FALSE)</f>
        <v>46387</v>
      </c>
      <c r="R610" t="str">
        <v>C25</v>
      </c>
      <c r="S610" t="str">
        <v>1000001691 LENOR SRL</v>
      </c>
    </row>
    <row r="611" spans="1:19" x14ac:dyDescent="0.3">
      <c r="A611" s="2" t="s">
        <v>14</v>
      </c>
      <c r="B611" s="3" t="s">
        <v>14</v>
      </c>
      <c r="C611" s="3" t="s">
        <v>515</v>
      </c>
      <c r="D611" s="3" t="s">
        <v>36</v>
      </c>
      <c r="E611" s="3" t="s">
        <v>107</v>
      </c>
      <c r="F611" s="4">
        <v>46273</v>
      </c>
      <c r="G611" s="3" t="s">
        <v>44</v>
      </c>
      <c r="H611" s="6">
        <v>-527450</v>
      </c>
      <c r="I611" s="3" t="s">
        <v>17</v>
      </c>
      <c r="J611" s="3" t="s">
        <v>14</v>
      </c>
      <c r="K611" s="3" t="s">
        <v>14</v>
      </c>
      <c r="L611" s="3" t="s">
        <v>447</v>
      </c>
      <c r="M611" s="4">
        <v>46273</v>
      </c>
      <c r="N611" s="3" t="s">
        <v>448</v>
      </c>
      <c r="O611" s="3" t="s">
        <v>22</v>
      </c>
      <c r="P611" t="str">
        <f t="shared" si="9"/>
        <v>450013481830</v>
      </c>
      <c r="Q611" s="9" cm="1">
        <f t="array" ref="Q611:S611">VLOOKUP(P611,Hoja1!C:F,{2,3,4},FALSE)</f>
        <v>46387</v>
      </c>
      <c r="R611" t="str">
        <v>C25</v>
      </c>
      <c r="S611" t="str">
        <v>1000001691 LENOR SRL</v>
      </c>
    </row>
    <row r="612" spans="1:19" x14ac:dyDescent="0.3">
      <c r="A612" s="2" t="s">
        <v>14</v>
      </c>
      <c r="B612" s="3" t="s">
        <v>14</v>
      </c>
      <c r="C612" s="3" t="s">
        <v>516</v>
      </c>
      <c r="D612" s="3" t="s">
        <v>14</v>
      </c>
      <c r="E612" s="3" t="s">
        <v>107</v>
      </c>
      <c r="F612" s="4">
        <v>46273</v>
      </c>
      <c r="G612" s="3" t="s">
        <v>44</v>
      </c>
      <c r="H612" s="6">
        <v>-37885.980000000003</v>
      </c>
      <c r="I612" s="3" t="s">
        <v>17</v>
      </c>
      <c r="J612" s="3" t="s">
        <v>14</v>
      </c>
      <c r="K612" s="3" t="s">
        <v>14</v>
      </c>
      <c r="L612" s="3" t="s">
        <v>517</v>
      </c>
      <c r="M612" s="4">
        <v>46273</v>
      </c>
      <c r="N612" s="3" t="s">
        <v>518</v>
      </c>
      <c r="O612" s="3" t="s">
        <v>34</v>
      </c>
      <c r="P612" t="str">
        <f t="shared" si="9"/>
        <v>450013770410</v>
      </c>
      <c r="Q612" s="9" cm="1">
        <f t="array" ref="Q612:S612">VLOOKUP(P612,Hoja1!C:F,{2,3,4},FALSE)</f>
        <v>46282</v>
      </c>
      <c r="R612" t="str">
        <v>C03</v>
      </c>
      <c r="S612" t="str">
        <v>1000000257 RODAMAR SRL</v>
      </c>
    </row>
    <row r="613" spans="1:19" x14ac:dyDescent="0.3">
      <c r="A613" s="2" t="s">
        <v>14</v>
      </c>
      <c r="B613" s="3" t="s">
        <v>14</v>
      </c>
      <c r="C613" s="3" t="s">
        <v>519</v>
      </c>
      <c r="D613" s="3" t="s">
        <v>14</v>
      </c>
      <c r="E613" s="3" t="s">
        <v>107</v>
      </c>
      <c r="F613" s="4">
        <v>46273</v>
      </c>
      <c r="G613" s="3" t="s">
        <v>44</v>
      </c>
      <c r="H613" s="6">
        <v>-28152</v>
      </c>
      <c r="I613" s="3" t="s">
        <v>17</v>
      </c>
      <c r="J613" s="3" t="s">
        <v>14</v>
      </c>
      <c r="K613" s="3" t="s">
        <v>14</v>
      </c>
      <c r="L613" s="3" t="s">
        <v>520</v>
      </c>
      <c r="M613" s="4">
        <v>46273</v>
      </c>
      <c r="N613" s="3" t="s">
        <v>521</v>
      </c>
      <c r="O613" s="3" t="s">
        <v>22</v>
      </c>
      <c r="P613" t="str">
        <f t="shared" si="9"/>
        <v>450013666530</v>
      </c>
      <c r="Q613" s="9" cm="1">
        <f t="array" ref="Q613:S613">VLOOKUP(P613,Hoja1!C:F,{2,3,4},FALSE)</f>
        <v>46286</v>
      </c>
      <c r="R613" t="str">
        <v>C17</v>
      </c>
      <c r="S613" t="str">
        <v>1000008044 AGUDO DOHMEN MARIA ROMINA</v>
      </c>
    </row>
    <row r="614" spans="1:19" x14ac:dyDescent="0.3">
      <c r="A614" s="2" t="s">
        <v>14</v>
      </c>
      <c r="B614" s="3" t="s">
        <v>14</v>
      </c>
      <c r="C614" s="3" t="s">
        <v>519</v>
      </c>
      <c r="D614" s="3" t="s">
        <v>14</v>
      </c>
      <c r="E614" s="3" t="s">
        <v>107</v>
      </c>
      <c r="F614" s="4">
        <v>46273</v>
      </c>
      <c r="G614" s="3" t="s">
        <v>44</v>
      </c>
      <c r="H614" s="6">
        <v>-16158</v>
      </c>
      <c r="I614" s="3" t="s">
        <v>17</v>
      </c>
      <c r="J614" s="3" t="s">
        <v>14</v>
      </c>
      <c r="K614" s="3" t="s">
        <v>14</v>
      </c>
      <c r="L614" s="3" t="s">
        <v>520</v>
      </c>
      <c r="M614" s="4">
        <v>46273</v>
      </c>
      <c r="N614" s="3" t="s">
        <v>521</v>
      </c>
      <c r="O614" s="3" t="s">
        <v>26</v>
      </c>
      <c r="P614" t="str">
        <f t="shared" si="9"/>
        <v>450013666540</v>
      </c>
      <c r="Q614" s="9" cm="1">
        <f t="array" ref="Q614:S614">VLOOKUP(P614,Hoja1!C:F,{2,3,4},FALSE)</f>
        <v>46269</v>
      </c>
      <c r="R614" t="str">
        <v>C17</v>
      </c>
      <c r="S614" t="str">
        <v>1000008044 AGUDO DOHMEN MARIA ROMINA</v>
      </c>
    </row>
    <row r="615" spans="1:19" x14ac:dyDescent="0.3">
      <c r="A615" s="2" t="s">
        <v>14</v>
      </c>
      <c r="B615" s="3" t="s">
        <v>14</v>
      </c>
      <c r="C615" s="3" t="s">
        <v>519</v>
      </c>
      <c r="D615" s="3" t="s">
        <v>14</v>
      </c>
      <c r="E615" s="3" t="s">
        <v>107</v>
      </c>
      <c r="F615" s="4">
        <v>46273</v>
      </c>
      <c r="G615" s="3" t="s">
        <v>44</v>
      </c>
      <c r="H615" s="6">
        <v>-1111.9000000000001</v>
      </c>
      <c r="I615" s="3" t="s">
        <v>17</v>
      </c>
      <c r="J615" s="3" t="s">
        <v>14</v>
      </c>
      <c r="K615" s="3" t="s">
        <v>14</v>
      </c>
      <c r="L615" s="3" t="s">
        <v>520</v>
      </c>
      <c r="M615" s="4">
        <v>46273</v>
      </c>
      <c r="N615" s="3" t="s">
        <v>521</v>
      </c>
      <c r="O615" s="3" t="s">
        <v>23</v>
      </c>
      <c r="P615" t="str">
        <f t="shared" si="9"/>
        <v>450013666550</v>
      </c>
      <c r="Q615" s="9" cm="1">
        <f t="array" ref="Q615:S615">VLOOKUP(P615,Hoja1!C:F,{2,3,4},FALSE)</f>
        <v>46269</v>
      </c>
      <c r="R615" t="str">
        <v>C17</v>
      </c>
      <c r="S615" t="str">
        <v>1000008044 AGUDO DOHMEN MARIA ROMINA</v>
      </c>
    </row>
    <row r="616" spans="1:19" x14ac:dyDescent="0.3">
      <c r="A616" s="2" t="s">
        <v>14</v>
      </c>
      <c r="B616" s="3" t="s">
        <v>14</v>
      </c>
      <c r="C616" s="3" t="s">
        <v>519</v>
      </c>
      <c r="D616" s="3" t="s">
        <v>14</v>
      </c>
      <c r="E616" s="3" t="s">
        <v>107</v>
      </c>
      <c r="F616" s="4">
        <v>46273</v>
      </c>
      <c r="G616" s="3" t="s">
        <v>44</v>
      </c>
      <c r="H616" s="6">
        <v>-1383.8</v>
      </c>
      <c r="I616" s="3" t="s">
        <v>17</v>
      </c>
      <c r="J616" s="3" t="s">
        <v>14</v>
      </c>
      <c r="K616" s="3" t="s">
        <v>14</v>
      </c>
      <c r="L616" s="3" t="s">
        <v>520</v>
      </c>
      <c r="M616" s="4">
        <v>46273</v>
      </c>
      <c r="N616" s="3" t="s">
        <v>521</v>
      </c>
      <c r="O616" s="3" t="s">
        <v>24</v>
      </c>
      <c r="P616" t="str">
        <f t="shared" si="9"/>
        <v>450013666560</v>
      </c>
      <c r="Q616" s="9" cm="1">
        <f t="array" ref="Q616:S616">VLOOKUP(P616,Hoja1!C:F,{2,3,4},FALSE)</f>
        <v>46269</v>
      </c>
      <c r="R616" t="str">
        <v>C17</v>
      </c>
      <c r="S616" t="str">
        <v>1000008044 AGUDO DOHMEN MARIA ROMINA</v>
      </c>
    </row>
    <row r="617" spans="1:19" x14ac:dyDescent="0.3">
      <c r="A617" s="2" t="s">
        <v>14</v>
      </c>
      <c r="B617" s="3" t="s">
        <v>14</v>
      </c>
      <c r="C617" s="3" t="s">
        <v>519</v>
      </c>
      <c r="D617" s="3" t="s">
        <v>14</v>
      </c>
      <c r="E617" s="3" t="s">
        <v>107</v>
      </c>
      <c r="F617" s="4">
        <v>46273</v>
      </c>
      <c r="G617" s="3" t="s">
        <v>44</v>
      </c>
      <c r="H617" s="6">
        <v>-37457.160000000003</v>
      </c>
      <c r="I617" s="3" t="s">
        <v>17</v>
      </c>
      <c r="J617" s="3" t="s">
        <v>14</v>
      </c>
      <c r="K617" s="3" t="s">
        <v>14</v>
      </c>
      <c r="L617" s="3" t="s">
        <v>520</v>
      </c>
      <c r="M617" s="4">
        <v>46273</v>
      </c>
      <c r="N617" s="3" t="s">
        <v>521</v>
      </c>
      <c r="O617" s="3" t="s">
        <v>25</v>
      </c>
      <c r="P617" t="str">
        <f t="shared" si="9"/>
        <v>450013666570</v>
      </c>
      <c r="Q617" s="9" cm="1">
        <f t="array" ref="Q617:S617">VLOOKUP(P617,Hoja1!C:F,{2,3,4},FALSE)</f>
        <v>46286</v>
      </c>
      <c r="R617" t="str">
        <v>C17</v>
      </c>
      <c r="S617" t="str">
        <v>1000008044 AGUDO DOHMEN MARIA ROMINA</v>
      </c>
    </row>
    <row r="618" spans="1:19" x14ac:dyDescent="0.3">
      <c r="A618" s="2" t="s">
        <v>14</v>
      </c>
      <c r="B618" s="3" t="s">
        <v>14</v>
      </c>
      <c r="C618" s="3" t="s">
        <v>519</v>
      </c>
      <c r="D618" s="3" t="s">
        <v>14</v>
      </c>
      <c r="E618" s="3" t="s">
        <v>107</v>
      </c>
      <c r="F618" s="4">
        <v>46273</v>
      </c>
      <c r="G618" s="3" t="s">
        <v>44</v>
      </c>
      <c r="H618" s="6">
        <v>-852.45</v>
      </c>
      <c r="I618" s="3" t="s">
        <v>17</v>
      </c>
      <c r="J618" s="3" t="s">
        <v>14</v>
      </c>
      <c r="K618" s="3" t="s">
        <v>14</v>
      </c>
      <c r="L618" s="3" t="s">
        <v>520</v>
      </c>
      <c r="M618" s="4">
        <v>46273</v>
      </c>
      <c r="N618" s="3" t="s">
        <v>521</v>
      </c>
      <c r="O618" s="3" t="s">
        <v>343</v>
      </c>
      <c r="P618" t="str">
        <f t="shared" si="9"/>
        <v>450013666580</v>
      </c>
      <c r="Q618" s="9" cm="1">
        <f t="array" ref="Q618:S618">VLOOKUP(P618,Hoja1!C:F,{2,3,4},FALSE)</f>
        <v>46286</v>
      </c>
      <c r="R618" t="str">
        <v>C17</v>
      </c>
      <c r="S618" t="str">
        <v>1000008044 AGUDO DOHMEN MARIA ROMINA</v>
      </c>
    </row>
    <row r="619" spans="1:19" x14ac:dyDescent="0.3">
      <c r="A619" s="2" t="s">
        <v>14</v>
      </c>
      <c r="B619" s="3" t="s">
        <v>14</v>
      </c>
      <c r="C619" s="3" t="s">
        <v>522</v>
      </c>
      <c r="D619" s="3" t="s">
        <v>14</v>
      </c>
      <c r="E619" s="3" t="s">
        <v>107</v>
      </c>
      <c r="F619" s="4">
        <v>46269</v>
      </c>
      <c r="G619" s="3" t="s">
        <v>44</v>
      </c>
      <c r="H619" s="6">
        <v>-470184</v>
      </c>
      <c r="I619" s="3" t="s">
        <v>17</v>
      </c>
      <c r="J619" s="3" t="s">
        <v>14</v>
      </c>
      <c r="K619" s="3" t="s">
        <v>14</v>
      </c>
      <c r="L619" s="3" t="s">
        <v>523</v>
      </c>
      <c r="M619" s="4">
        <v>46273</v>
      </c>
      <c r="N619" s="3" t="s">
        <v>524</v>
      </c>
      <c r="O619" s="3" t="s">
        <v>34</v>
      </c>
      <c r="P619" t="str">
        <f t="shared" si="9"/>
        <v>450013464710</v>
      </c>
      <c r="Q619" s="9" cm="1">
        <f t="array" ref="Q619:S619">VLOOKUP(P619,Hoja1!C:F,{2,3,4},FALSE)</f>
        <v>46269</v>
      </c>
      <c r="R619" t="str">
        <v>C28</v>
      </c>
      <c r="S619" t="str">
        <v>1000001683 PIACENZA SRL</v>
      </c>
    </row>
    <row r="620" spans="1:19" x14ac:dyDescent="0.3">
      <c r="A620" s="2" t="s">
        <v>14</v>
      </c>
      <c r="B620" s="3" t="s">
        <v>14</v>
      </c>
      <c r="C620" s="3" t="s">
        <v>522</v>
      </c>
      <c r="D620" s="3" t="s">
        <v>14</v>
      </c>
      <c r="E620" s="3" t="s">
        <v>107</v>
      </c>
      <c r="F620" s="4">
        <v>46269</v>
      </c>
      <c r="G620" s="3" t="s">
        <v>44</v>
      </c>
      <c r="H620" s="6">
        <v>-94036.800000000003</v>
      </c>
      <c r="I620" s="3" t="s">
        <v>17</v>
      </c>
      <c r="J620" s="3" t="s">
        <v>14</v>
      </c>
      <c r="K620" s="3" t="s">
        <v>14</v>
      </c>
      <c r="L620" s="3" t="s">
        <v>523</v>
      </c>
      <c r="M620" s="4">
        <v>46273</v>
      </c>
      <c r="N620" s="3" t="s">
        <v>524</v>
      </c>
      <c r="O620" s="3" t="s">
        <v>21</v>
      </c>
      <c r="P620" t="str">
        <f t="shared" si="9"/>
        <v>450013464720</v>
      </c>
      <c r="Q620" s="9" cm="1">
        <f t="array" ref="Q620:S620">VLOOKUP(P620,Hoja1!C:F,{2,3,4},FALSE)</f>
        <v>46269</v>
      </c>
      <c r="R620" t="str">
        <v>C28</v>
      </c>
      <c r="S620" t="str">
        <v>1000001683 PIACENZA SRL</v>
      </c>
    </row>
    <row r="621" spans="1:19" x14ac:dyDescent="0.3">
      <c r="A621" s="2" t="s">
        <v>14</v>
      </c>
      <c r="B621" s="3" t="s">
        <v>14</v>
      </c>
      <c r="C621" s="3" t="s">
        <v>525</v>
      </c>
      <c r="D621" s="3" t="s">
        <v>14</v>
      </c>
      <c r="E621" s="3" t="s">
        <v>107</v>
      </c>
      <c r="F621" s="4">
        <v>46273</v>
      </c>
      <c r="G621" s="3" t="s">
        <v>44</v>
      </c>
      <c r="H621" s="6">
        <v>-515000</v>
      </c>
      <c r="I621" s="3" t="s">
        <v>17</v>
      </c>
      <c r="J621" s="3" t="s">
        <v>14</v>
      </c>
      <c r="K621" s="3" t="s">
        <v>14</v>
      </c>
      <c r="L621" s="3" t="s">
        <v>526</v>
      </c>
      <c r="M621" s="4">
        <v>46273</v>
      </c>
      <c r="N621" s="3" t="s">
        <v>527</v>
      </c>
      <c r="O621" s="3" t="s">
        <v>34</v>
      </c>
      <c r="P621" t="str">
        <f t="shared" si="9"/>
        <v>450013418410</v>
      </c>
      <c r="Q621" s="9" cm="1">
        <f t="array" ref="Q621:S621">VLOOKUP(P621,Hoja1!C:F,{2,3,4},FALSE)</f>
        <v>46231</v>
      </c>
      <c r="R621" t="str">
        <v>EFO</v>
      </c>
      <c r="S621" t="str">
        <v>1000013392 ROCA FUNES MARCELO SEBASTIAN</v>
      </c>
    </row>
    <row r="622" spans="1:19" x14ac:dyDescent="0.3">
      <c r="A622" s="2" t="s">
        <v>14</v>
      </c>
      <c r="B622" s="3" t="s">
        <v>14</v>
      </c>
      <c r="C622" s="3" t="s">
        <v>528</v>
      </c>
      <c r="D622" s="3" t="s">
        <v>14</v>
      </c>
      <c r="E622" s="3" t="s">
        <v>107</v>
      </c>
      <c r="F622" s="4">
        <v>46274</v>
      </c>
      <c r="G622" s="3" t="s">
        <v>44</v>
      </c>
      <c r="H622" s="6">
        <v>-87178.73</v>
      </c>
      <c r="I622" s="3" t="s">
        <v>17</v>
      </c>
      <c r="J622" s="3" t="s">
        <v>14</v>
      </c>
      <c r="K622" s="3" t="s">
        <v>14</v>
      </c>
      <c r="L622" s="3" t="s">
        <v>19</v>
      </c>
      <c r="M622" s="4">
        <v>46274</v>
      </c>
      <c r="N622" s="3" t="s">
        <v>529</v>
      </c>
      <c r="O622" s="3" t="s">
        <v>34</v>
      </c>
      <c r="P622" t="str">
        <f t="shared" si="9"/>
        <v>450013806610</v>
      </c>
      <c r="Q622" s="9" cm="1">
        <f t="array" ref="Q622:S622">VLOOKUP(P622,Hoja1!C:F,{2,3,4},FALSE)</f>
        <v>46275</v>
      </c>
      <c r="R622" t="str">
        <v>C43</v>
      </c>
      <c r="S622" t="str">
        <v>1000001470 SUDAMERICANA CAMIONES SA</v>
      </c>
    </row>
    <row r="623" spans="1:19" x14ac:dyDescent="0.3">
      <c r="A623" s="2" t="s">
        <v>14</v>
      </c>
      <c r="B623" s="3" t="s">
        <v>14</v>
      </c>
      <c r="C623" s="3" t="s">
        <v>528</v>
      </c>
      <c r="D623" s="3" t="s">
        <v>14</v>
      </c>
      <c r="E623" s="3" t="s">
        <v>107</v>
      </c>
      <c r="F623" s="4">
        <v>46274</v>
      </c>
      <c r="G623" s="3" t="s">
        <v>44</v>
      </c>
      <c r="H623" s="6">
        <v>-61159.28</v>
      </c>
      <c r="I623" s="3" t="s">
        <v>17</v>
      </c>
      <c r="J623" s="3" t="s">
        <v>14</v>
      </c>
      <c r="K623" s="3" t="s">
        <v>14</v>
      </c>
      <c r="L623" s="3" t="s">
        <v>19</v>
      </c>
      <c r="M623" s="4">
        <v>46274</v>
      </c>
      <c r="N623" s="3" t="s">
        <v>529</v>
      </c>
      <c r="O623" s="3" t="s">
        <v>21</v>
      </c>
      <c r="P623" t="str">
        <f t="shared" si="9"/>
        <v>450013806620</v>
      </c>
      <c r="Q623" s="9" cm="1">
        <f t="array" ref="Q623:S623">VLOOKUP(P623,Hoja1!C:F,{2,3,4},FALSE)</f>
        <v>46275</v>
      </c>
      <c r="R623" t="str">
        <v>C43</v>
      </c>
      <c r="S623" t="str">
        <v>1000001470 SUDAMERICANA CAMIONES SA</v>
      </c>
    </row>
    <row r="624" spans="1:19" x14ac:dyDescent="0.3">
      <c r="A624" s="2" t="s">
        <v>14</v>
      </c>
      <c r="B624" s="3" t="s">
        <v>14</v>
      </c>
      <c r="C624" s="3" t="s">
        <v>530</v>
      </c>
      <c r="D624" s="3" t="s">
        <v>14</v>
      </c>
      <c r="E624" s="3" t="s">
        <v>107</v>
      </c>
      <c r="F624" s="4">
        <v>46274</v>
      </c>
      <c r="G624" s="3" t="s">
        <v>44</v>
      </c>
      <c r="H624" s="6">
        <v>-10281300</v>
      </c>
      <c r="I624" s="3" t="s">
        <v>17</v>
      </c>
      <c r="J624" s="3" t="s">
        <v>14</v>
      </c>
      <c r="K624" s="3" t="s">
        <v>14</v>
      </c>
      <c r="L624" s="3" t="s">
        <v>121</v>
      </c>
      <c r="M624" s="4">
        <v>46274</v>
      </c>
      <c r="N624" s="3" t="s">
        <v>312</v>
      </c>
      <c r="O624" s="3" t="s">
        <v>34</v>
      </c>
      <c r="P624" t="str">
        <f t="shared" si="9"/>
        <v>450012941210</v>
      </c>
      <c r="Q624" s="9" cm="1">
        <f t="array" ref="Q624:S624">VLOOKUP(P624,Hoja1!C:F,{2,3,4},FALSE)</f>
        <v>46325</v>
      </c>
      <c r="R624" t="str">
        <v>C21</v>
      </c>
      <c r="S624" t="str">
        <v>1000000634 RAIZEN ARGENTINA S.A.U.</v>
      </c>
    </row>
    <row r="625" spans="1:19" x14ac:dyDescent="0.3">
      <c r="A625" s="2" t="s">
        <v>14</v>
      </c>
      <c r="B625" s="3" t="s">
        <v>14</v>
      </c>
      <c r="C625" s="3" t="s">
        <v>530</v>
      </c>
      <c r="D625" s="3" t="s">
        <v>14</v>
      </c>
      <c r="E625" s="3" t="s">
        <v>107</v>
      </c>
      <c r="F625" s="4">
        <v>46274</v>
      </c>
      <c r="G625" s="3" t="s">
        <v>44</v>
      </c>
      <c r="H625" s="6">
        <v>-1171750</v>
      </c>
      <c r="I625" s="3" t="s">
        <v>17</v>
      </c>
      <c r="J625" s="3" t="s">
        <v>14</v>
      </c>
      <c r="K625" s="3" t="s">
        <v>14</v>
      </c>
      <c r="L625" s="3" t="s">
        <v>121</v>
      </c>
      <c r="M625" s="4">
        <v>46274</v>
      </c>
      <c r="N625" s="3" t="s">
        <v>312</v>
      </c>
      <c r="O625" s="3" t="s">
        <v>34</v>
      </c>
      <c r="P625" t="str">
        <f t="shared" si="9"/>
        <v>450012941210</v>
      </c>
      <c r="Q625" s="9" cm="1">
        <f t="array" ref="Q625:S625">VLOOKUP(P625,Hoja1!C:F,{2,3,4},FALSE)</f>
        <v>46325</v>
      </c>
      <c r="R625" t="str">
        <v>C21</v>
      </c>
      <c r="S625" t="str">
        <v>1000000634 RAIZEN ARGENTINA S.A.U.</v>
      </c>
    </row>
    <row r="626" spans="1:19" x14ac:dyDescent="0.3">
      <c r="A626" s="2" t="s">
        <v>14</v>
      </c>
      <c r="B626" s="3" t="s">
        <v>14</v>
      </c>
      <c r="C626" s="3" t="s">
        <v>531</v>
      </c>
      <c r="D626" s="3" t="s">
        <v>14</v>
      </c>
      <c r="E626" s="3" t="s">
        <v>107</v>
      </c>
      <c r="F626" s="4">
        <v>46272</v>
      </c>
      <c r="G626" s="3" t="s">
        <v>44</v>
      </c>
      <c r="H626" s="6">
        <v>-87396.5</v>
      </c>
      <c r="I626" s="3" t="s">
        <v>17</v>
      </c>
      <c r="J626" s="3" t="s">
        <v>14</v>
      </c>
      <c r="K626" s="3" t="s">
        <v>14</v>
      </c>
      <c r="L626" s="3" t="s">
        <v>532</v>
      </c>
      <c r="M626" s="4">
        <v>46274</v>
      </c>
      <c r="N626" s="3" t="s">
        <v>533</v>
      </c>
      <c r="O626" s="3" t="s">
        <v>22</v>
      </c>
      <c r="P626" t="str">
        <f t="shared" si="9"/>
        <v>450013332530</v>
      </c>
      <c r="Q626" s="9" cm="1">
        <f t="array" ref="Q626:S626">VLOOKUP(P626,Hoja1!C:F,{2,3,4},FALSE)</f>
        <v>46246</v>
      </c>
      <c r="R626" t="str">
        <v>C28</v>
      </c>
      <c r="S626" t="str">
        <v>1000002964 LACIAR LEANDRO ADOLFO</v>
      </c>
    </row>
    <row r="627" spans="1:19" x14ac:dyDescent="0.3">
      <c r="A627" s="2" t="s">
        <v>14</v>
      </c>
      <c r="B627" s="3" t="s">
        <v>14</v>
      </c>
      <c r="C627" s="3" t="s">
        <v>534</v>
      </c>
      <c r="D627" s="3" t="s">
        <v>14</v>
      </c>
      <c r="E627" s="3" t="s">
        <v>107</v>
      </c>
      <c r="F627" s="4">
        <v>46275</v>
      </c>
      <c r="G627" s="3" t="s">
        <v>44</v>
      </c>
      <c r="H627" s="6">
        <v>-37936.26</v>
      </c>
      <c r="I627" s="3" t="s">
        <v>17</v>
      </c>
      <c r="J627" s="3" t="s">
        <v>14</v>
      </c>
      <c r="K627" s="3" t="s">
        <v>14</v>
      </c>
      <c r="L627" s="3" t="s">
        <v>535</v>
      </c>
      <c r="M627" s="4">
        <v>46275</v>
      </c>
      <c r="N627" s="3" t="s">
        <v>536</v>
      </c>
      <c r="O627" s="3" t="s">
        <v>34</v>
      </c>
      <c r="P627" t="str">
        <f t="shared" si="9"/>
        <v>450013812910</v>
      </c>
      <c r="Q627" s="9" cm="1">
        <f t="array" ref="Q627:S627">VLOOKUP(P627,Hoja1!C:F,{2,3,4},FALSE)</f>
        <v>46288</v>
      </c>
      <c r="R627" t="str">
        <v>L02</v>
      </c>
      <c r="S627" t="str">
        <v>1000000261 PARANA MAQUINARIAS SRL</v>
      </c>
    </row>
    <row r="628" spans="1:19" x14ac:dyDescent="0.3">
      <c r="A628" s="2" t="s">
        <v>14</v>
      </c>
      <c r="B628" s="3" t="s">
        <v>14</v>
      </c>
      <c r="C628" s="3" t="s">
        <v>537</v>
      </c>
      <c r="D628" s="3" t="s">
        <v>14</v>
      </c>
      <c r="E628" s="3" t="s">
        <v>107</v>
      </c>
      <c r="F628" s="4">
        <v>46275</v>
      </c>
      <c r="G628" s="3" t="s">
        <v>44</v>
      </c>
      <c r="H628" s="6">
        <v>-1011030</v>
      </c>
      <c r="I628" s="3" t="s">
        <v>17</v>
      </c>
      <c r="J628" s="3" t="s">
        <v>14</v>
      </c>
      <c r="K628" s="3" t="s">
        <v>14</v>
      </c>
      <c r="L628" s="3" t="s">
        <v>159</v>
      </c>
      <c r="M628" s="4">
        <v>46275</v>
      </c>
      <c r="N628" s="3" t="s">
        <v>538</v>
      </c>
      <c r="O628" s="3" t="s">
        <v>21</v>
      </c>
      <c r="P628" t="str">
        <f t="shared" si="9"/>
        <v>450013814620</v>
      </c>
      <c r="Q628" s="9" cm="1">
        <f t="array" ref="Q628:S628">VLOOKUP(P628,Hoja1!C:F,{2,3,4},FALSE)</f>
        <v>46281</v>
      </c>
      <c r="R628" t="str">
        <v>C39</v>
      </c>
      <c r="S628" t="str">
        <v>1000010438 TURBOS T&amp;T S.R.L</v>
      </c>
    </row>
    <row r="629" spans="1:19" x14ac:dyDescent="0.3">
      <c r="A629" s="2" t="s">
        <v>14</v>
      </c>
      <c r="B629" s="3" t="s">
        <v>14</v>
      </c>
      <c r="C629" s="3" t="s">
        <v>539</v>
      </c>
      <c r="D629" s="3" t="s">
        <v>14</v>
      </c>
      <c r="E629" s="3" t="s">
        <v>107</v>
      </c>
      <c r="F629" s="4">
        <v>46276</v>
      </c>
      <c r="G629" s="3" t="s">
        <v>44</v>
      </c>
      <c r="H629" s="6">
        <v>-368610</v>
      </c>
      <c r="I629" s="3" t="s">
        <v>17</v>
      </c>
      <c r="J629" s="3" t="s">
        <v>14</v>
      </c>
      <c r="K629" s="3" t="s">
        <v>14</v>
      </c>
      <c r="L629" s="3" t="s">
        <v>108</v>
      </c>
      <c r="M629" s="4">
        <v>46276</v>
      </c>
      <c r="N629" s="3" t="s">
        <v>375</v>
      </c>
      <c r="O629" s="3" t="s">
        <v>34</v>
      </c>
      <c r="P629" t="str">
        <f t="shared" si="9"/>
        <v>450013040410</v>
      </c>
      <c r="Q629" s="9" cm="1">
        <f t="array" ref="Q629:S629">VLOOKUP(P629,Hoja1!C:F,{2,3,4},FALSE)</f>
        <v>46296</v>
      </c>
      <c r="R629" t="str">
        <v>C21</v>
      </c>
      <c r="S629" t="str">
        <v>1000001020 COMBUSTIBLES BARCELO S.R.L.</v>
      </c>
    </row>
    <row r="630" spans="1:19" x14ac:dyDescent="0.3">
      <c r="A630" s="2" t="s">
        <v>14</v>
      </c>
      <c r="B630" s="3" t="s">
        <v>14</v>
      </c>
      <c r="C630" s="3" t="s">
        <v>539</v>
      </c>
      <c r="D630" s="3" t="s">
        <v>14</v>
      </c>
      <c r="E630" s="3" t="s">
        <v>107</v>
      </c>
      <c r="F630" s="4">
        <v>46276</v>
      </c>
      <c r="G630" s="3" t="s">
        <v>44</v>
      </c>
      <c r="H630" s="6">
        <v>-42015</v>
      </c>
      <c r="I630" s="3" t="s">
        <v>17</v>
      </c>
      <c r="J630" s="3" t="s">
        <v>14</v>
      </c>
      <c r="K630" s="3" t="s">
        <v>14</v>
      </c>
      <c r="L630" s="3" t="s">
        <v>108</v>
      </c>
      <c r="M630" s="4">
        <v>46276</v>
      </c>
      <c r="N630" s="3" t="s">
        <v>375</v>
      </c>
      <c r="O630" s="3" t="s">
        <v>34</v>
      </c>
      <c r="P630" t="str">
        <f t="shared" si="9"/>
        <v>450013040410</v>
      </c>
      <c r="Q630" s="9" cm="1">
        <f t="array" ref="Q630:S630">VLOOKUP(P630,Hoja1!C:F,{2,3,4},FALSE)</f>
        <v>46296</v>
      </c>
      <c r="R630" t="str">
        <v>C21</v>
      </c>
      <c r="S630" t="str">
        <v>1000001020 COMBUSTIBLES BARCELO S.R.L.</v>
      </c>
    </row>
    <row r="631" spans="1:19" x14ac:dyDescent="0.3">
      <c r="A631" s="2" t="s">
        <v>14</v>
      </c>
      <c r="B631" s="3" t="s">
        <v>14</v>
      </c>
      <c r="C631" s="3" t="s">
        <v>540</v>
      </c>
      <c r="D631" s="3" t="s">
        <v>14</v>
      </c>
      <c r="E631" s="3" t="s">
        <v>107</v>
      </c>
      <c r="F631" s="4">
        <v>46276</v>
      </c>
      <c r="G631" s="3" t="s">
        <v>44</v>
      </c>
      <c r="H631" s="6">
        <v>-2616607.16</v>
      </c>
      <c r="I631" s="3" t="s">
        <v>17</v>
      </c>
      <c r="J631" s="3" t="s">
        <v>14</v>
      </c>
      <c r="K631" s="3" t="s">
        <v>14</v>
      </c>
      <c r="L631" s="3" t="s">
        <v>506</v>
      </c>
      <c r="M631" s="4">
        <v>46276</v>
      </c>
      <c r="N631" s="3" t="s">
        <v>541</v>
      </c>
      <c r="O631" s="3" t="s">
        <v>34</v>
      </c>
      <c r="P631" t="str">
        <f t="shared" si="9"/>
        <v>450013799610</v>
      </c>
      <c r="Q631" s="9" cm="1">
        <f t="array" ref="Q631:S631">VLOOKUP(P631,Hoja1!C:F,{2,3,4},FALSE)</f>
        <v>46287</v>
      </c>
      <c r="R631" t="str">
        <v>L02</v>
      </c>
      <c r="S631" t="str">
        <v>1000000038 YPF S.A.</v>
      </c>
    </row>
    <row r="632" spans="1:19" x14ac:dyDescent="0.3">
      <c r="A632" s="2" t="s">
        <v>14</v>
      </c>
      <c r="B632" s="3" t="s">
        <v>14</v>
      </c>
      <c r="C632" s="3" t="s">
        <v>542</v>
      </c>
      <c r="D632" s="3" t="s">
        <v>14</v>
      </c>
      <c r="E632" s="3" t="s">
        <v>107</v>
      </c>
      <c r="F632" s="4">
        <v>46274</v>
      </c>
      <c r="G632" s="3" t="s">
        <v>44</v>
      </c>
      <c r="H632" s="6">
        <v>-1826292.16</v>
      </c>
      <c r="I632" s="3" t="s">
        <v>17</v>
      </c>
      <c r="J632" s="3" t="s">
        <v>14</v>
      </c>
      <c r="K632" s="3" t="s">
        <v>14</v>
      </c>
      <c r="L632" s="3" t="s">
        <v>82</v>
      </c>
      <c r="M632" s="4">
        <v>46279</v>
      </c>
      <c r="N632" s="3" t="s">
        <v>543</v>
      </c>
      <c r="O632" s="3" t="s">
        <v>34</v>
      </c>
      <c r="P632" t="str">
        <f t="shared" si="9"/>
        <v>450013764110</v>
      </c>
      <c r="Q632" s="9" cm="1">
        <f t="array" ref="Q632:S632">VLOOKUP(P632,Hoja1!C:F,{2,3,4},FALSE)</f>
        <v>46282</v>
      </c>
      <c r="R632" t="str">
        <v>F06</v>
      </c>
      <c r="S632" t="str">
        <v>1000000012 IGARRETA MAQUINAS S.A.</v>
      </c>
    </row>
    <row r="633" spans="1:19" x14ac:dyDescent="0.3">
      <c r="A633" s="2" t="s">
        <v>14</v>
      </c>
      <c r="B633" s="3" t="s">
        <v>14</v>
      </c>
      <c r="C633" s="3" t="s">
        <v>542</v>
      </c>
      <c r="D633" s="3" t="s">
        <v>14</v>
      </c>
      <c r="E633" s="3" t="s">
        <v>107</v>
      </c>
      <c r="F633" s="4">
        <v>46274</v>
      </c>
      <c r="G633" s="3" t="s">
        <v>44</v>
      </c>
      <c r="H633" s="6">
        <v>-1450517.76</v>
      </c>
      <c r="I633" s="3" t="s">
        <v>17</v>
      </c>
      <c r="J633" s="3" t="s">
        <v>14</v>
      </c>
      <c r="K633" s="3" t="s">
        <v>14</v>
      </c>
      <c r="L633" s="3" t="s">
        <v>82</v>
      </c>
      <c r="M633" s="4">
        <v>46279</v>
      </c>
      <c r="N633" s="3" t="s">
        <v>543</v>
      </c>
      <c r="O633" s="3" t="s">
        <v>21</v>
      </c>
      <c r="P633" t="str">
        <f t="shared" si="9"/>
        <v>450013764120</v>
      </c>
      <c r="Q633" s="9" cm="1">
        <f t="array" ref="Q633:S633">VLOOKUP(P633,Hoja1!C:F,{2,3,4},FALSE)</f>
        <v>46282</v>
      </c>
      <c r="R633" t="str">
        <v>F06</v>
      </c>
      <c r="S633" t="str">
        <v>1000000012 IGARRETA MAQUINAS S.A.</v>
      </c>
    </row>
    <row r="634" spans="1:19" x14ac:dyDescent="0.3">
      <c r="A634" s="2" t="s">
        <v>14</v>
      </c>
      <c r="B634" s="3" t="s">
        <v>14</v>
      </c>
      <c r="C634" s="3" t="s">
        <v>542</v>
      </c>
      <c r="D634" s="3" t="s">
        <v>14</v>
      </c>
      <c r="E634" s="3" t="s">
        <v>107</v>
      </c>
      <c r="F634" s="4">
        <v>46274</v>
      </c>
      <c r="G634" s="3" t="s">
        <v>44</v>
      </c>
      <c r="H634" s="6">
        <v>-1819178.24</v>
      </c>
      <c r="I634" s="3" t="s">
        <v>17</v>
      </c>
      <c r="J634" s="3" t="s">
        <v>14</v>
      </c>
      <c r="K634" s="3" t="s">
        <v>14</v>
      </c>
      <c r="L634" s="3" t="s">
        <v>82</v>
      </c>
      <c r="M634" s="4">
        <v>46279</v>
      </c>
      <c r="N634" s="3" t="s">
        <v>543</v>
      </c>
      <c r="O634" s="3" t="s">
        <v>22</v>
      </c>
      <c r="P634" t="str">
        <f t="shared" si="9"/>
        <v>450013764130</v>
      </c>
      <c r="Q634" s="9" cm="1">
        <f t="array" ref="Q634:S634">VLOOKUP(P634,Hoja1!C:F,{2,3,4},FALSE)</f>
        <v>46282</v>
      </c>
      <c r="R634" t="str">
        <v>F06</v>
      </c>
      <c r="S634" t="str">
        <v>1000000012 IGARRETA MAQUINAS S.A.</v>
      </c>
    </row>
    <row r="635" spans="1:19" x14ac:dyDescent="0.3">
      <c r="A635" s="2" t="s">
        <v>14</v>
      </c>
      <c r="B635" s="3" t="s">
        <v>14</v>
      </c>
      <c r="C635" s="3" t="s">
        <v>544</v>
      </c>
      <c r="D635" s="3" t="s">
        <v>14</v>
      </c>
      <c r="E635" s="3" t="s">
        <v>107</v>
      </c>
      <c r="F635" s="4">
        <v>46269</v>
      </c>
      <c r="G635" s="3" t="s">
        <v>44</v>
      </c>
      <c r="H635" s="6">
        <v>-35496.959999999999</v>
      </c>
      <c r="I635" s="3" t="s">
        <v>17</v>
      </c>
      <c r="J635" s="3" t="s">
        <v>14</v>
      </c>
      <c r="K635" s="3" t="s">
        <v>14</v>
      </c>
      <c r="L635" s="3" t="s">
        <v>89</v>
      </c>
      <c r="M635" s="4">
        <v>46279</v>
      </c>
      <c r="N635" s="3" t="s">
        <v>545</v>
      </c>
      <c r="O635" s="3" t="s">
        <v>34</v>
      </c>
      <c r="P635" t="str">
        <f t="shared" si="9"/>
        <v>450013762410</v>
      </c>
      <c r="Q635" s="9" cm="1">
        <f t="array" ref="Q635:S635">VLOOKUP(P635,Hoja1!C:F,{2,3,4},FALSE)</f>
        <v>46280</v>
      </c>
      <c r="R635" t="str">
        <v>C03</v>
      </c>
      <c r="S635" t="str">
        <v>1000001028 SOSTEN S.A.</v>
      </c>
    </row>
    <row r="636" spans="1:19" x14ac:dyDescent="0.3">
      <c r="A636" s="2" t="s">
        <v>14</v>
      </c>
      <c r="B636" s="3" t="s">
        <v>14</v>
      </c>
      <c r="C636" s="3" t="s">
        <v>546</v>
      </c>
      <c r="D636" s="3" t="s">
        <v>14</v>
      </c>
      <c r="E636" s="3" t="s">
        <v>107</v>
      </c>
      <c r="F636" s="4">
        <v>46267</v>
      </c>
      <c r="G636" s="3" t="s">
        <v>44</v>
      </c>
      <c r="H636" s="6">
        <v>-359095.03999999998</v>
      </c>
      <c r="I636" s="3" t="s">
        <v>17</v>
      </c>
      <c r="J636" s="3" t="s">
        <v>14</v>
      </c>
      <c r="K636" s="3" t="s">
        <v>14</v>
      </c>
      <c r="L636" s="3" t="s">
        <v>547</v>
      </c>
      <c r="M636" s="4">
        <v>46279</v>
      </c>
      <c r="N636" s="3" t="s">
        <v>548</v>
      </c>
      <c r="O636" s="3" t="s">
        <v>21</v>
      </c>
      <c r="P636" t="str">
        <f t="shared" si="9"/>
        <v>450012994320</v>
      </c>
      <c r="Q636" s="9" cm="1">
        <f t="array" ref="Q636:S636">VLOOKUP(P636,Hoja1!C:F,{2,3,4},FALSE)</f>
        <v>46282</v>
      </c>
      <c r="R636" t="str">
        <v>C03</v>
      </c>
      <c r="S636" t="str">
        <v>1000003804 ALL DRILL S.A.</v>
      </c>
    </row>
    <row r="637" spans="1:19" x14ac:dyDescent="0.3">
      <c r="A637" s="2" t="s">
        <v>14</v>
      </c>
      <c r="B637" s="3" t="s">
        <v>14</v>
      </c>
      <c r="C637" s="3" t="s">
        <v>549</v>
      </c>
      <c r="D637" s="3" t="s">
        <v>14</v>
      </c>
      <c r="E637" s="3" t="s">
        <v>107</v>
      </c>
      <c r="F637" s="4">
        <v>46279</v>
      </c>
      <c r="G637" s="3" t="s">
        <v>44</v>
      </c>
      <c r="H637" s="6">
        <v>-902646.85</v>
      </c>
      <c r="I637" s="3" t="s">
        <v>17</v>
      </c>
      <c r="J637" s="3" t="s">
        <v>14</v>
      </c>
      <c r="K637" s="3" t="s">
        <v>14</v>
      </c>
      <c r="L637" s="3" t="s">
        <v>506</v>
      </c>
      <c r="M637" s="4">
        <v>46279</v>
      </c>
      <c r="N637" s="3" t="s">
        <v>550</v>
      </c>
      <c r="O637" s="3" t="s">
        <v>34</v>
      </c>
      <c r="P637" t="str">
        <f t="shared" si="9"/>
        <v>450013743510</v>
      </c>
      <c r="Q637" s="9" cm="1">
        <f t="array" ref="Q637:S637">VLOOKUP(P637,Hoja1!C:F,{2,3,4},FALSE)</f>
        <v>46285</v>
      </c>
      <c r="R637" t="str">
        <v>L01</v>
      </c>
      <c r="S637" t="str">
        <v>1000000038 YPF S.A.</v>
      </c>
    </row>
    <row r="638" spans="1:19" x14ac:dyDescent="0.3">
      <c r="A638" s="2" t="s">
        <v>14</v>
      </c>
      <c r="B638" s="3" t="s">
        <v>14</v>
      </c>
      <c r="C638" s="3" t="s">
        <v>549</v>
      </c>
      <c r="D638" s="3" t="s">
        <v>14</v>
      </c>
      <c r="E638" s="3" t="s">
        <v>107</v>
      </c>
      <c r="F638" s="4">
        <v>46279</v>
      </c>
      <c r="G638" s="3" t="s">
        <v>44</v>
      </c>
      <c r="H638" s="6">
        <v>-18860164</v>
      </c>
      <c r="I638" s="3" t="s">
        <v>17</v>
      </c>
      <c r="J638" s="3" t="s">
        <v>14</v>
      </c>
      <c r="K638" s="3" t="s">
        <v>14</v>
      </c>
      <c r="L638" s="3" t="s">
        <v>506</v>
      </c>
      <c r="M638" s="4">
        <v>46279</v>
      </c>
      <c r="N638" s="3" t="s">
        <v>550</v>
      </c>
      <c r="O638" s="3" t="s">
        <v>21</v>
      </c>
      <c r="P638" t="str">
        <f t="shared" si="9"/>
        <v>450013743520</v>
      </c>
      <c r="Q638" s="9" cm="1">
        <f t="array" ref="Q638:S638">VLOOKUP(P638,Hoja1!C:F,{2,3,4},FALSE)</f>
        <v>46285</v>
      </c>
      <c r="R638" t="str">
        <v>L01</v>
      </c>
      <c r="S638" t="str">
        <v>1000000038 YPF S.A.</v>
      </c>
    </row>
    <row r="639" spans="1:19" x14ac:dyDescent="0.3">
      <c r="A639" s="2" t="s">
        <v>14</v>
      </c>
      <c r="B639" s="3" t="s">
        <v>14</v>
      </c>
      <c r="C639" s="3" t="s">
        <v>549</v>
      </c>
      <c r="D639" s="3" t="s">
        <v>14</v>
      </c>
      <c r="E639" s="3" t="s">
        <v>107</v>
      </c>
      <c r="F639" s="4">
        <v>46279</v>
      </c>
      <c r="G639" s="3" t="s">
        <v>44</v>
      </c>
      <c r="H639" s="6">
        <v>-6274082.75</v>
      </c>
      <c r="I639" s="3" t="s">
        <v>17</v>
      </c>
      <c r="J639" s="3" t="s">
        <v>14</v>
      </c>
      <c r="K639" s="3" t="s">
        <v>14</v>
      </c>
      <c r="L639" s="3" t="s">
        <v>506</v>
      </c>
      <c r="M639" s="4">
        <v>46279</v>
      </c>
      <c r="N639" s="3" t="s">
        <v>550</v>
      </c>
      <c r="O639" s="3" t="s">
        <v>22</v>
      </c>
      <c r="P639" t="str">
        <f t="shared" si="9"/>
        <v>450013743530</v>
      </c>
      <c r="Q639" s="9" cm="1">
        <f t="array" ref="Q639:S639">VLOOKUP(P639,Hoja1!C:F,{2,3,4},FALSE)</f>
        <v>46285</v>
      </c>
      <c r="R639" t="str">
        <v>L01</v>
      </c>
      <c r="S639" t="str">
        <v>1000000038 YPF S.A.</v>
      </c>
    </row>
    <row r="640" spans="1:19" x14ac:dyDescent="0.3">
      <c r="A640" s="2" t="s">
        <v>14</v>
      </c>
      <c r="B640" s="3" t="s">
        <v>14</v>
      </c>
      <c r="C640" s="3" t="s">
        <v>551</v>
      </c>
      <c r="D640" s="3" t="s">
        <v>14</v>
      </c>
      <c r="E640" s="3" t="s">
        <v>107</v>
      </c>
      <c r="F640" s="4">
        <v>46281</v>
      </c>
      <c r="G640" s="3" t="s">
        <v>44</v>
      </c>
      <c r="H640" s="6">
        <v>-676500</v>
      </c>
      <c r="I640" s="3" t="s">
        <v>17</v>
      </c>
      <c r="J640" s="3" t="s">
        <v>14</v>
      </c>
      <c r="K640" s="3" t="s">
        <v>14</v>
      </c>
      <c r="L640" s="3" t="s">
        <v>552</v>
      </c>
      <c r="M640" s="4">
        <v>46281</v>
      </c>
      <c r="N640" s="3" t="s">
        <v>553</v>
      </c>
      <c r="O640" s="3" t="s">
        <v>34</v>
      </c>
      <c r="P640" t="str">
        <f t="shared" si="9"/>
        <v>450013831810</v>
      </c>
      <c r="Q640" s="9" cm="1">
        <f t="array" ref="Q640:S640">VLOOKUP(P640,Hoja1!C:F,{2,3,4},FALSE)</f>
        <v>46357</v>
      </c>
      <c r="R640" t="str">
        <v>C21</v>
      </c>
      <c r="S640" t="str">
        <v>1000013572 MAXFA SA</v>
      </c>
    </row>
    <row r="641" spans="1:19" x14ac:dyDescent="0.3">
      <c r="A641" s="2" t="s">
        <v>14</v>
      </c>
      <c r="B641" s="3" t="s">
        <v>14</v>
      </c>
      <c r="C641" s="3" t="s">
        <v>551</v>
      </c>
      <c r="D641" s="3" t="s">
        <v>14</v>
      </c>
      <c r="E641" s="3" t="s">
        <v>107</v>
      </c>
      <c r="F641" s="4">
        <v>46281</v>
      </c>
      <c r="G641" s="3" t="s">
        <v>44</v>
      </c>
      <c r="H641" s="6">
        <v>-77100</v>
      </c>
      <c r="I641" s="3" t="s">
        <v>17</v>
      </c>
      <c r="J641" s="3" t="s">
        <v>14</v>
      </c>
      <c r="K641" s="3" t="s">
        <v>14</v>
      </c>
      <c r="L641" s="3" t="s">
        <v>552</v>
      </c>
      <c r="M641" s="4">
        <v>46281</v>
      </c>
      <c r="N641" s="3" t="s">
        <v>553</v>
      </c>
      <c r="O641" s="3" t="s">
        <v>34</v>
      </c>
      <c r="P641" t="str">
        <f t="shared" si="9"/>
        <v>450013831810</v>
      </c>
      <c r="Q641" s="9" cm="1">
        <f t="array" ref="Q641:S641">VLOOKUP(P641,Hoja1!C:F,{2,3,4},FALSE)</f>
        <v>46357</v>
      </c>
      <c r="R641" t="str">
        <v>C21</v>
      </c>
      <c r="S641" t="str">
        <v>1000013572 MAXFA SA</v>
      </c>
    </row>
    <row r="642" spans="1:19" x14ac:dyDescent="0.3">
      <c r="A642" s="2" t="s">
        <v>14</v>
      </c>
      <c r="B642" s="3" t="s">
        <v>14</v>
      </c>
      <c r="C642" s="3" t="s">
        <v>554</v>
      </c>
      <c r="D642" s="3" t="s">
        <v>14</v>
      </c>
      <c r="E642" s="3" t="s">
        <v>107</v>
      </c>
      <c r="F642" s="4">
        <v>46281</v>
      </c>
      <c r="G642" s="3" t="s">
        <v>44</v>
      </c>
      <c r="H642" s="6">
        <v>-195537.2</v>
      </c>
      <c r="I642" s="3" t="s">
        <v>17</v>
      </c>
      <c r="J642" s="3" t="s">
        <v>14</v>
      </c>
      <c r="K642" s="3" t="s">
        <v>14</v>
      </c>
      <c r="L642" s="3" t="s">
        <v>555</v>
      </c>
      <c r="M642" s="4">
        <v>46281</v>
      </c>
      <c r="N642" s="3" t="s">
        <v>556</v>
      </c>
      <c r="O642" s="3" t="s">
        <v>34</v>
      </c>
      <c r="P642" t="str">
        <f t="shared" si="9"/>
        <v>450013713610</v>
      </c>
      <c r="Q642" s="9" cm="1">
        <f t="array" ref="Q642:S642">VLOOKUP(P642,Hoja1!C:F,{2,3,4},FALSE)</f>
        <v>46287</v>
      </c>
      <c r="R642" t="str">
        <v>C52</v>
      </c>
      <c r="S642" t="str">
        <v>1000000016 OSVALDO L.SANTILLI E HIJOS S.A</v>
      </c>
    </row>
    <row r="643" spans="1:19" x14ac:dyDescent="0.3">
      <c r="A643" s="2" t="s">
        <v>14</v>
      </c>
      <c r="B643" s="3" t="s">
        <v>14</v>
      </c>
      <c r="C643" s="3" t="s">
        <v>557</v>
      </c>
      <c r="D643" s="3" t="s">
        <v>14</v>
      </c>
      <c r="E643" s="3" t="s">
        <v>107</v>
      </c>
      <c r="F643" s="4">
        <v>46281</v>
      </c>
      <c r="G643" s="3" t="s">
        <v>44</v>
      </c>
      <c r="H643" s="6">
        <v>-125961.98</v>
      </c>
      <c r="I643" s="3" t="s">
        <v>17</v>
      </c>
      <c r="J643" s="3" t="s">
        <v>14</v>
      </c>
      <c r="K643" s="3" t="s">
        <v>14</v>
      </c>
      <c r="L643" s="3" t="s">
        <v>558</v>
      </c>
      <c r="M643" s="4">
        <v>46281</v>
      </c>
      <c r="N643" s="3" t="s">
        <v>559</v>
      </c>
      <c r="O643" s="3" t="s">
        <v>24</v>
      </c>
      <c r="P643" t="str">
        <f t="shared" ref="P643:P706" si="10">_xlfn.CONCAT(N643:O643)</f>
        <v>450012451960</v>
      </c>
      <c r="Q643" s="9" cm="1">
        <f t="array" ref="Q643:S643">VLOOKUP(P643,Hoja1!C:F,{2,3,4},FALSE)</f>
        <v>46290</v>
      </c>
      <c r="R643" t="str">
        <v>CGT</v>
      </c>
      <c r="S643" t="str">
        <v>1000012568 DERGAM SRL</v>
      </c>
    </row>
    <row r="644" spans="1:19" x14ac:dyDescent="0.3">
      <c r="A644" s="2" t="s">
        <v>14</v>
      </c>
      <c r="B644" s="3" t="s">
        <v>14</v>
      </c>
      <c r="C644" s="3" t="s">
        <v>560</v>
      </c>
      <c r="D644" s="3" t="s">
        <v>14</v>
      </c>
      <c r="E644" s="3" t="s">
        <v>107</v>
      </c>
      <c r="F644" s="4">
        <v>46281</v>
      </c>
      <c r="G644" s="3" t="s">
        <v>44</v>
      </c>
      <c r="H644" s="6">
        <v>-336534.4</v>
      </c>
      <c r="I644" s="3" t="s">
        <v>17</v>
      </c>
      <c r="J644" s="3" t="s">
        <v>14</v>
      </c>
      <c r="K644" s="3" t="s">
        <v>14</v>
      </c>
      <c r="L644" s="3" t="s">
        <v>561</v>
      </c>
      <c r="M644" s="4">
        <v>46281</v>
      </c>
      <c r="N644" s="3" t="s">
        <v>562</v>
      </c>
      <c r="O644" s="3" t="s">
        <v>34</v>
      </c>
      <c r="P644" t="str">
        <f t="shared" si="10"/>
        <v>450013868010</v>
      </c>
      <c r="Q644" s="9" cm="1">
        <f t="array" ref="Q644:S644">VLOOKUP(P644,Hoja1!C:F,{2,3,4},FALSE)</f>
        <v>46283</v>
      </c>
      <c r="R644" t="str">
        <v>C43</v>
      </c>
      <c r="S644" t="str">
        <v>1000003386 LA PLATENSE SA</v>
      </c>
    </row>
    <row r="645" spans="1:19" x14ac:dyDescent="0.3">
      <c r="A645" s="2" t="s">
        <v>14</v>
      </c>
      <c r="B645" s="3" t="s">
        <v>14</v>
      </c>
      <c r="C645" s="3" t="s">
        <v>563</v>
      </c>
      <c r="D645" s="3" t="s">
        <v>14</v>
      </c>
      <c r="E645" s="3" t="s">
        <v>107</v>
      </c>
      <c r="F645" s="4">
        <v>46275</v>
      </c>
      <c r="G645" s="3" t="s">
        <v>44</v>
      </c>
      <c r="H645" s="6">
        <v>-147346.20000000001</v>
      </c>
      <c r="I645" s="3" t="s">
        <v>17</v>
      </c>
      <c r="J645" s="3" t="s">
        <v>14</v>
      </c>
      <c r="K645" s="3" t="s">
        <v>14</v>
      </c>
      <c r="L645" s="3" t="s">
        <v>163</v>
      </c>
      <c r="M645" s="4">
        <v>46281</v>
      </c>
      <c r="N645" s="3" t="s">
        <v>564</v>
      </c>
      <c r="O645" s="3" t="s">
        <v>21</v>
      </c>
      <c r="P645" t="str">
        <f t="shared" si="10"/>
        <v>450013724520</v>
      </c>
      <c r="Q645" s="9" cm="1">
        <f t="array" ref="Q645:S645">VLOOKUP(P645,Hoja1!C:F,{2,3,4},FALSE)</f>
        <v>46272</v>
      </c>
      <c r="R645" t="str">
        <v>C03</v>
      </c>
      <c r="S645" t="str">
        <v>1000000062 FINNING ARGENTINA S.A.</v>
      </c>
    </row>
    <row r="646" spans="1:19" x14ac:dyDescent="0.3">
      <c r="A646" s="2" t="s">
        <v>14</v>
      </c>
      <c r="B646" s="3" t="s">
        <v>14</v>
      </c>
      <c r="C646" s="3" t="s">
        <v>563</v>
      </c>
      <c r="D646" s="3" t="s">
        <v>14</v>
      </c>
      <c r="E646" s="3" t="s">
        <v>107</v>
      </c>
      <c r="F646" s="4">
        <v>46275</v>
      </c>
      <c r="G646" s="3" t="s">
        <v>44</v>
      </c>
      <c r="H646" s="6">
        <v>-507120.26</v>
      </c>
      <c r="I646" s="3" t="s">
        <v>17</v>
      </c>
      <c r="J646" s="3" t="s">
        <v>14</v>
      </c>
      <c r="K646" s="3" t="s">
        <v>14</v>
      </c>
      <c r="L646" s="3" t="s">
        <v>163</v>
      </c>
      <c r="M646" s="4">
        <v>46281</v>
      </c>
      <c r="N646" s="3" t="s">
        <v>564</v>
      </c>
      <c r="O646" s="3" t="s">
        <v>22</v>
      </c>
      <c r="P646" t="str">
        <f t="shared" si="10"/>
        <v>450013724530</v>
      </c>
      <c r="Q646" s="9" cm="1">
        <f t="array" ref="Q646:S646">VLOOKUP(P646,Hoja1!C:F,{2,3,4},FALSE)</f>
        <v>46287</v>
      </c>
      <c r="R646" t="str">
        <v>C03</v>
      </c>
      <c r="S646" t="str">
        <v>1000000062 FINNING ARGENTINA S.A.</v>
      </c>
    </row>
    <row r="647" spans="1:19" x14ac:dyDescent="0.3">
      <c r="A647" s="2" t="s">
        <v>14</v>
      </c>
      <c r="B647" s="3" t="s">
        <v>14</v>
      </c>
      <c r="C647" s="3" t="s">
        <v>565</v>
      </c>
      <c r="D647" s="3" t="s">
        <v>14</v>
      </c>
      <c r="E647" s="3" t="s">
        <v>107</v>
      </c>
      <c r="F647" s="4">
        <v>46274</v>
      </c>
      <c r="G647" s="3" t="s">
        <v>44</v>
      </c>
      <c r="H647" s="6">
        <v>-105680.72</v>
      </c>
      <c r="I647" s="3" t="s">
        <v>17</v>
      </c>
      <c r="J647" s="3" t="s">
        <v>14</v>
      </c>
      <c r="K647" s="3" t="s">
        <v>14</v>
      </c>
      <c r="L647" s="3" t="s">
        <v>163</v>
      </c>
      <c r="M647" s="4">
        <v>46281</v>
      </c>
      <c r="N647" s="3" t="s">
        <v>566</v>
      </c>
      <c r="O647" s="3" t="s">
        <v>26</v>
      </c>
      <c r="P647" t="str">
        <f t="shared" si="10"/>
        <v>450013344140</v>
      </c>
      <c r="Q647" s="9" cm="1">
        <f t="array" ref="Q647:S647">VLOOKUP(P647,Hoja1!C:F,{2,3,4},FALSE)</f>
        <v>46356</v>
      </c>
      <c r="R647" t="str">
        <v>C03</v>
      </c>
      <c r="S647" t="str">
        <v>1000000062 FINNING ARGENTINA S.A.</v>
      </c>
    </row>
    <row r="648" spans="1:19" x14ac:dyDescent="0.3">
      <c r="A648" s="2" t="s">
        <v>14</v>
      </c>
      <c r="B648" s="3" t="s">
        <v>14</v>
      </c>
      <c r="C648" s="3" t="s">
        <v>565</v>
      </c>
      <c r="D648" s="3" t="s">
        <v>14</v>
      </c>
      <c r="E648" s="3" t="s">
        <v>107</v>
      </c>
      <c r="F648" s="4">
        <v>46274</v>
      </c>
      <c r="G648" s="3" t="s">
        <v>44</v>
      </c>
      <c r="H648" s="6">
        <v>-204046.7</v>
      </c>
      <c r="I648" s="3" t="s">
        <v>17</v>
      </c>
      <c r="J648" s="3" t="s">
        <v>14</v>
      </c>
      <c r="K648" s="3" t="s">
        <v>14</v>
      </c>
      <c r="L648" s="3" t="s">
        <v>163</v>
      </c>
      <c r="M648" s="4">
        <v>46281</v>
      </c>
      <c r="N648" s="3" t="s">
        <v>566</v>
      </c>
      <c r="O648" s="3" t="s">
        <v>24</v>
      </c>
      <c r="P648" t="str">
        <f t="shared" si="10"/>
        <v>450013344160</v>
      </c>
      <c r="Q648" s="9" cm="1">
        <f t="array" ref="Q648:S648">VLOOKUP(P648,Hoja1!C:F,{2,3,4},FALSE)</f>
        <v>46356</v>
      </c>
      <c r="R648" t="str">
        <v>C03</v>
      </c>
      <c r="S648" t="str">
        <v>1000000062 FINNING ARGENTINA S.A.</v>
      </c>
    </row>
    <row r="649" spans="1:19" x14ac:dyDescent="0.3">
      <c r="A649" s="2" t="s">
        <v>14</v>
      </c>
      <c r="B649" s="3" t="s">
        <v>14</v>
      </c>
      <c r="C649" s="3" t="s">
        <v>567</v>
      </c>
      <c r="D649" s="3" t="s">
        <v>14</v>
      </c>
      <c r="E649" s="3" t="s">
        <v>107</v>
      </c>
      <c r="F649" s="4">
        <v>46282</v>
      </c>
      <c r="G649" s="3" t="s">
        <v>44</v>
      </c>
      <c r="H649" s="6">
        <v>-2000000</v>
      </c>
      <c r="I649" s="3" t="s">
        <v>17</v>
      </c>
      <c r="J649" s="3" t="s">
        <v>14</v>
      </c>
      <c r="K649" s="3" t="s">
        <v>14</v>
      </c>
      <c r="L649" s="3" t="s">
        <v>568</v>
      </c>
      <c r="M649" s="4">
        <v>46282</v>
      </c>
      <c r="N649" s="3" t="s">
        <v>569</v>
      </c>
      <c r="O649" s="3" t="s">
        <v>34</v>
      </c>
      <c r="P649" t="str">
        <f t="shared" si="10"/>
        <v>450013874910</v>
      </c>
      <c r="Q649" s="9" cm="1">
        <f t="array" ref="Q649:S649">VLOOKUP(P649,Hoja1!C:F,{2,3,4},FALSE)</f>
        <v>46281</v>
      </c>
      <c r="R649" t="str">
        <v>EFO</v>
      </c>
      <c r="S649" t="str">
        <v>1000006823 SPEED BUSINESS S. A.</v>
      </c>
    </row>
    <row r="650" spans="1:19" x14ac:dyDescent="0.3">
      <c r="A650" s="2" t="s">
        <v>14</v>
      </c>
      <c r="B650" s="3" t="s">
        <v>14</v>
      </c>
      <c r="C650" s="3" t="s">
        <v>570</v>
      </c>
      <c r="D650" s="3" t="s">
        <v>14</v>
      </c>
      <c r="E650" s="3" t="s">
        <v>107</v>
      </c>
      <c r="F650" s="4">
        <v>46280</v>
      </c>
      <c r="G650" s="3" t="s">
        <v>44</v>
      </c>
      <c r="H650" s="6">
        <v>-1086480</v>
      </c>
      <c r="I650" s="3" t="s">
        <v>17</v>
      </c>
      <c r="J650" s="3" t="s">
        <v>14</v>
      </c>
      <c r="K650" s="3" t="s">
        <v>14</v>
      </c>
      <c r="L650" s="3" t="s">
        <v>159</v>
      </c>
      <c r="M650" s="4">
        <v>46282</v>
      </c>
      <c r="N650" s="3" t="s">
        <v>571</v>
      </c>
      <c r="O650" s="3" t="s">
        <v>34</v>
      </c>
      <c r="P650" t="str">
        <f t="shared" si="10"/>
        <v>450013852110</v>
      </c>
      <c r="Q650" s="9" cm="1">
        <f t="array" ref="Q650:S650">VLOOKUP(P650,Hoja1!C:F,{2,3,4},FALSE)</f>
        <v>46290</v>
      </c>
      <c r="R650" t="str">
        <v>C43</v>
      </c>
      <c r="S650" t="str">
        <v>1000010438 TURBOS T&amp;T S.R.L</v>
      </c>
    </row>
    <row r="651" spans="1:19" x14ac:dyDescent="0.3">
      <c r="A651" s="2" t="s">
        <v>14</v>
      </c>
      <c r="B651" s="3" t="s">
        <v>14</v>
      </c>
      <c r="C651" s="3" t="s">
        <v>572</v>
      </c>
      <c r="D651" s="3" t="s">
        <v>36</v>
      </c>
      <c r="E651" s="3" t="s">
        <v>107</v>
      </c>
      <c r="F651" s="4">
        <v>46274</v>
      </c>
      <c r="G651" s="3" t="s">
        <v>44</v>
      </c>
      <c r="H651" s="6">
        <v>-65852.759999999995</v>
      </c>
      <c r="I651" s="3" t="s">
        <v>17</v>
      </c>
      <c r="J651" s="3" t="s">
        <v>14</v>
      </c>
      <c r="K651" s="3" t="s">
        <v>14</v>
      </c>
      <c r="L651" s="3" t="s">
        <v>464</v>
      </c>
      <c r="M651" s="4">
        <v>46282</v>
      </c>
      <c r="N651" s="3" t="s">
        <v>573</v>
      </c>
      <c r="O651" s="3" t="s">
        <v>34</v>
      </c>
      <c r="P651" t="str">
        <f t="shared" si="10"/>
        <v>450013805310</v>
      </c>
      <c r="Q651" s="9" cm="1">
        <f t="array" ref="Q651:S651">VLOOKUP(P651,Hoja1!C:F,{2,3,4},FALSE)</f>
        <v>46304</v>
      </c>
      <c r="R651" t="str">
        <v>C13</v>
      </c>
      <c r="S651" t="str">
        <v>1000007320 GILIGROUP S.A.S.</v>
      </c>
    </row>
    <row r="652" spans="1:19" x14ac:dyDescent="0.3">
      <c r="A652" s="2" t="s">
        <v>14</v>
      </c>
      <c r="B652" s="3" t="s">
        <v>14</v>
      </c>
      <c r="C652" s="3" t="s">
        <v>574</v>
      </c>
      <c r="D652" s="3" t="s">
        <v>14</v>
      </c>
      <c r="E652" s="3" t="s">
        <v>107</v>
      </c>
      <c r="F652" s="4">
        <v>46280</v>
      </c>
      <c r="G652" s="3" t="s">
        <v>44</v>
      </c>
      <c r="H652" s="6">
        <v>-46570.23</v>
      </c>
      <c r="I652" s="3" t="s">
        <v>17</v>
      </c>
      <c r="J652" s="3" t="s">
        <v>14</v>
      </c>
      <c r="K652" s="3" t="s">
        <v>14</v>
      </c>
      <c r="L652" s="3" t="s">
        <v>104</v>
      </c>
      <c r="M652" s="4">
        <v>46282</v>
      </c>
      <c r="N652" s="3" t="s">
        <v>575</v>
      </c>
      <c r="O652" s="3" t="s">
        <v>34</v>
      </c>
      <c r="P652" t="str">
        <f t="shared" si="10"/>
        <v>450013804510</v>
      </c>
      <c r="Q652" s="9" cm="1">
        <f t="array" ref="Q652:S652">VLOOKUP(P652,Hoja1!C:F,{2,3,4},FALSE)</f>
        <v>46275</v>
      </c>
      <c r="R652" t="str">
        <v>C13</v>
      </c>
      <c r="S652" t="str">
        <v>1000001488 PC SHOWS SRL</v>
      </c>
    </row>
    <row r="653" spans="1:19" x14ac:dyDescent="0.3">
      <c r="A653" s="2" t="s">
        <v>14</v>
      </c>
      <c r="B653" s="3" t="s">
        <v>14</v>
      </c>
      <c r="C653" s="3" t="s">
        <v>576</v>
      </c>
      <c r="D653" s="3" t="s">
        <v>14</v>
      </c>
      <c r="E653" s="3" t="s">
        <v>107</v>
      </c>
      <c r="F653" s="4">
        <v>46283</v>
      </c>
      <c r="G653" s="3" t="s">
        <v>44</v>
      </c>
      <c r="H653" s="6">
        <v>-1380501.87</v>
      </c>
      <c r="I653" s="3" t="s">
        <v>17</v>
      </c>
      <c r="J653" s="3" t="s">
        <v>14</v>
      </c>
      <c r="K653" s="3" t="s">
        <v>14</v>
      </c>
      <c r="L653" s="3" t="s">
        <v>506</v>
      </c>
      <c r="M653" s="4">
        <v>46283</v>
      </c>
      <c r="N653" s="3" t="s">
        <v>577</v>
      </c>
      <c r="O653" s="3" t="s">
        <v>34</v>
      </c>
      <c r="P653" t="str">
        <f t="shared" si="10"/>
        <v>450013772710</v>
      </c>
      <c r="Q653" s="9" cm="1">
        <f t="array" ref="Q653:S653">VLOOKUP(P653,Hoja1!C:F,{2,3,4},FALSE)</f>
        <v>46281</v>
      </c>
      <c r="R653" t="str">
        <v>L02</v>
      </c>
      <c r="S653" t="str">
        <v>1000000038 YPF S.A.</v>
      </c>
    </row>
    <row r="654" spans="1:19" x14ac:dyDescent="0.3">
      <c r="A654" s="2" t="s">
        <v>14</v>
      </c>
      <c r="B654" s="3" t="s">
        <v>14</v>
      </c>
      <c r="C654" s="3" t="s">
        <v>576</v>
      </c>
      <c r="D654" s="3" t="s">
        <v>14</v>
      </c>
      <c r="E654" s="3" t="s">
        <v>107</v>
      </c>
      <c r="F654" s="4">
        <v>46283</v>
      </c>
      <c r="G654" s="3" t="s">
        <v>44</v>
      </c>
      <c r="H654" s="6">
        <v>-27347237.800000001</v>
      </c>
      <c r="I654" s="3" t="s">
        <v>17</v>
      </c>
      <c r="J654" s="3" t="s">
        <v>14</v>
      </c>
      <c r="K654" s="3" t="s">
        <v>14</v>
      </c>
      <c r="L654" s="3" t="s">
        <v>506</v>
      </c>
      <c r="M654" s="4">
        <v>46283</v>
      </c>
      <c r="N654" s="3" t="s">
        <v>577</v>
      </c>
      <c r="O654" s="3" t="s">
        <v>21</v>
      </c>
      <c r="P654" t="str">
        <f t="shared" si="10"/>
        <v>450013772720</v>
      </c>
      <c r="Q654" s="9" cm="1">
        <f t="array" ref="Q654:S654">VLOOKUP(P654,Hoja1!C:F,{2,3,4},FALSE)</f>
        <v>46282</v>
      </c>
      <c r="R654" t="str">
        <v>L02</v>
      </c>
      <c r="S654" t="str">
        <v>1000000038 YPF S.A.</v>
      </c>
    </row>
    <row r="655" spans="1:19" x14ac:dyDescent="0.3">
      <c r="A655" s="2" t="s">
        <v>14</v>
      </c>
      <c r="B655" s="3" t="s">
        <v>14</v>
      </c>
      <c r="C655" s="3" t="s">
        <v>578</v>
      </c>
      <c r="D655" s="3" t="s">
        <v>14</v>
      </c>
      <c r="E655" s="3" t="s">
        <v>107</v>
      </c>
      <c r="F655" s="4">
        <v>46283</v>
      </c>
      <c r="G655" s="3" t="s">
        <v>44</v>
      </c>
      <c r="H655" s="6">
        <v>-10042200</v>
      </c>
      <c r="I655" s="3" t="s">
        <v>17</v>
      </c>
      <c r="J655" s="3" t="s">
        <v>14</v>
      </c>
      <c r="K655" s="3" t="s">
        <v>14</v>
      </c>
      <c r="L655" s="3" t="s">
        <v>121</v>
      </c>
      <c r="M655" s="4">
        <v>46283</v>
      </c>
      <c r="N655" s="3" t="s">
        <v>312</v>
      </c>
      <c r="O655" s="3" t="s">
        <v>34</v>
      </c>
      <c r="P655" t="str">
        <f t="shared" si="10"/>
        <v>450012941210</v>
      </c>
      <c r="Q655" s="9" cm="1">
        <f t="array" ref="Q655:S655">VLOOKUP(P655,Hoja1!C:F,{2,3,4},FALSE)</f>
        <v>46325</v>
      </c>
      <c r="R655" t="str">
        <v>C21</v>
      </c>
      <c r="S655" t="str">
        <v>1000000634 RAIZEN ARGENTINA S.A.U.</v>
      </c>
    </row>
    <row r="656" spans="1:19" x14ac:dyDescent="0.3">
      <c r="A656" s="2" t="s">
        <v>14</v>
      </c>
      <c r="B656" s="3" t="s">
        <v>14</v>
      </c>
      <c r="C656" s="3" t="s">
        <v>578</v>
      </c>
      <c r="D656" s="3" t="s">
        <v>14</v>
      </c>
      <c r="E656" s="3" t="s">
        <v>107</v>
      </c>
      <c r="F656" s="4">
        <v>46283</v>
      </c>
      <c r="G656" s="3" t="s">
        <v>44</v>
      </c>
      <c r="H656" s="6">
        <v>-1144500</v>
      </c>
      <c r="I656" s="3" t="s">
        <v>17</v>
      </c>
      <c r="J656" s="3" t="s">
        <v>14</v>
      </c>
      <c r="K656" s="3" t="s">
        <v>14</v>
      </c>
      <c r="L656" s="3" t="s">
        <v>121</v>
      </c>
      <c r="M656" s="4">
        <v>46283</v>
      </c>
      <c r="N656" s="3" t="s">
        <v>312</v>
      </c>
      <c r="O656" s="3" t="s">
        <v>34</v>
      </c>
      <c r="P656" t="str">
        <f t="shared" si="10"/>
        <v>450012941210</v>
      </c>
      <c r="Q656" s="9" cm="1">
        <f t="array" ref="Q656:S656">VLOOKUP(P656,Hoja1!C:F,{2,3,4},FALSE)</f>
        <v>46325</v>
      </c>
      <c r="R656" t="str">
        <v>C21</v>
      </c>
      <c r="S656" t="str">
        <v>1000000634 RAIZEN ARGENTINA S.A.U.</v>
      </c>
    </row>
    <row r="657" spans="1:19" x14ac:dyDescent="0.3">
      <c r="A657" s="2" t="s">
        <v>14</v>
      </c>
      <c r="B657" s="3" t="s">
        <v>14</v>
      </c>
      <c r="C657" s="3" t="s">
        <v>579</v>
      </c>
      <c r="D657" s="3" t="s">
        <v>14</v>
      </c>
      <c r="E657" s="3" t="s">
        <v>107</v>
      </c>
      <c r="F657" s="4">
        <v>46282</v>
      </c>
      <c r="G657" s="3" t="s">
        <v>44</v>
      </c>
      <c r="H657" s="6">
        <v>-318610</v>
      </c>
      <c r="I657" s="3" t="s">
        <v>17</v>
      </c>
      <c r="J657" s="3" t="s">
        <v>14</v>
      </c>
      <c r="K657" s="3" t="s">
        <v>14</v>
      </c>
      <c r="L657" s="3" t="s">
        <v>19</v>
      </c>
      <c r="M657" s="4">
        <v>46284</v>
      </c>
      <c r="N657" s="3" t="s">
        <v>580</v>
      </c>
      <c r="O657" s="3" t="s">
        <v>22</v>
      </c>
      <c r="P657" t="str">
        <f t="shared" si="10"/>
        <v>450013870930</v>
      </c>
      <c r="Q657" s="9" cm="1">
        <f t="array" ref="Q657:S657">VLOOKUP(P657,Hoja1!C:F,{2,3,4},FALSE)</f>
        <v>46287</v>
      </c>
      <c r="R657" t="str">
        <v>F10</v>
      </c>
      <c r="S657" t="str">
        <v>1000001470 SUDAMERICANA CAMIONES SA</v>
      </c>
    </row>
    <row r="658" spans="1:19" x14ac:dyDescent="0.3">
      <c r="A658" s="2" t="s">
        <v>14</v>
      </c>
      <c r="B658" s="3" t="s">
        <v>14</v>
      </c>
      <c r="C658" s="3" t="s">
        <v>579</v>
      </c>
      <c r="D658" s="3" t="s">
        <v>14</v>
      </c>
      <c r="E658" s="3" t="s">
        <v>107</v>
      </c>
      <c r="F658" s="4">
        <v>46282</v>
      </c>
      <c r="G658" s="3" t="s">
        <v>44</v>
      </c>
      <c r="H658" s="6">
        <v>-784097.7</v>
      </c>
      <c r="I658" s="3" t="s">
        <v>17</v>
      </c>
      <c r="J658" s="3" t="s">
        <v>14</v>
      </c>
      <c r="K658" s="3" t="s">
        <v>14</v>
      </c>
      <c r="L658" s="3" t="s">
        <v>19</v>
      </c>
      <c r="M658" s="4">
        <v>46284</v>
      </c>
      <c r="N658" s="3" t="s">
        <v>580</v>
      </c>
      <c r="O658" s="3" t="s">
        <v>23</v>
      </c>
      <c r="P658" t="str">
        <f t="shared" si="10"/>
        <v>450013870950</v>
      </c>
      <c r="Q658" s="9" cm="1">
        <f t="array" ref="Q658:S658">VLOOKUP(P658,Hoja1!C:F,{2,3,4},FALSE)</f>
        <v>46287</v>
      </c>
      <c r="R658" t="str">
        <v>F10</v>
      </c>
      <c r="S658" t="str">
        <v>1000001470 SUDAMERICANA CAMIONES SA</v>
      </c>
    </row>
    <row r="659" spans="1:19" x14ac:dyDescent="0.3">
      <c r="A659" s="2" t="s">
        <v>14</v>
      </c>
      <c r="B659" s="3" t="s">
        <v>14</v>
      </c>
      <c r="C659" s="3" t="s">
        <v>581</v>
      </c>
      <c r="D659" s="3" t="s">
        <v>14</v>
      </c>
      <c r="E659" s="3" t="s">
        <v>107</v>
      </c>
      <c r="F659" s="4">
        <v>46282</v>
      </c>
      <c r="G659" s="3" t="s">
        <v>44</v>
      </c>
      <c r="H659" s="6">
        <v>-150320.5</v>
      </c>
      <c r="I659" s="3" t="s">
        <v>17</v>
      </c>
      <c r="J659" s="3" t="s">
        <v>14</v>
      </c>
      <c r="K659" s="3" t="s">
        <v>14</v>
      </c>
      <c r="L659" s="3" t="s">
        <v>19</v>
      </c>
      <c r="M659" s="4">
        <v>46284</v>
      </c>
      <c r="N659" s="3" t="s">
        <v>580</v>
      </c>
      <c r="O659" s="3" t="s">
        <v>34</v>
      </c>
      <c r="P659" t="str">
        <f t="shared" si="10"/>
        <v>450013870910</v>
      </c>
      <c r="Q659" s="9" cm="1">
        <f t="array" ref="Q659:S659">VLOOKUP(P659,Hoja1!C:F,{2,3,4},FALSE)</f>
        <v>46287</v>
      </c>
      <c r="R659" t="str">
        <v>F10</v>
      </c>
      <c r="S659" t="str">
        <v>1000001470 SUDAMERICANA CAMIONES SA</v>
      </c>
    </row>
    <row r="660" spans="1:19" x14ac:dyDescent="0.3">
      <c r="A660" s="2" t="s">
        <v>14</v>
      </c>
      <c r="B660" s="3" t="s">
        <v>14</v>
      </c>
      <c r="C660" s="3" t="s">
        <v>581</v>
      </c>
      <c r="D660" s="3" t="s">
        <v>14</v>
      </c>
      <c r="E660" s="3" t="s">
        <v>107</v>
      </c>
      <c r="F660" s="4">
        <v>46282</v>
      </c>
      <c r="G660" s="3" t="s">
        <v>44</v>
      </c>
      <c r="H660" s="6">
        <v>-600496.80000000005</v>
      </c>
      <c r="I660" s="3" t="s">
        <v>17</v>
      </c>
      <c r="J660" s="3" t="s">
        <v>14</v>
      </c>
      <c r="K660" s="3" t="s">
        <v>14</v>
      </c>
      <c r="L660" s="3" t="s">
        <v>19</v>
      </c>
      <c r="M660" s="4">
        <v>46284</v>
      </c>
      <c r="N660" s="3" t="s">
        <v>580</v>
      </c>
      <c r="O660" s="3" t="s">
        <v>21</v>
      </c>
      <c r="P660" t="str">
        <f t="shared" si="10"/>
        <v>450013870920</v>
      </c>
      <c r="Q660" s="9" cm="1">
        <f t="array" ref="Q660:S660">VLOOKUP(P660,Hoja1!C:F,{2,3,4},FALSE)</f>
        <v>46287</v>
      </c>
      <c r="R660" t="str">
        <v>F10</v>
      </c>
      <c r="S660" t="str">
        <v>1000001470 SUDAMERICANA CAMIONES SA</v>
      </c>
    </row>
    <row r="661" spans="1:19" x14ac:dyDescent="0.3">
      <c r="A661" s="2" t="s">
        <v>14</v>
      </c>
      <c r="B661" s="3" t="s">
        <v>14</v>
      </c>
      <c r="C661" s="3" t="s">
        <v>581</v>
      </c>
      <c r="D661" s="3" t="s">
        <v>14</v>
      </c>
      <c r="E661" s="3" t="s">
        <v>107</v>
      </c>
      <c r="F661" s="4">
        <v>46282</v>
      </c>
      <c r="G661" s="3" t="s">
        <v>44</v>
      </c>
      <c r="H661" s="6">
        <v>-165073.20000000001</v>
      </c>
      <c r="I661" s="3" t="s">
        <v>17</v>
      </c>
      <c r="J661" s="3" t="s">
        <v>14</v>
      </c>
      <c r="K661" s="3" t="s">
        <v>14</v>
      </c>
      <c r="L661" s="3" t="s">
        <v>19</v>
      </c>
      <c r="M661" s="4">
        <v>46284</v>
      </c>
      <c r="N661" s="3" t="s">
        <v>580</v>
      </c>
      <c r="O661" s="3" t="s">
        <v>26</v>
      </c>
      <c r="P661" t="str">
        <f t="shared" si="10"/>
        <v>450013870940</v>
      </c>
      <c r="Q661" s="9" cm="1">
        <f t="array" ref="Q661:S661">VLOOKUP(P661,Hoja1!C:F,{2,3,4},FALSE)</f>
        <v>46287</v>
      </c>
      <c r="R661" t="str">
        <v>F10</v>
      </c>
      <c r="S661" t="str">
        <v>1000001470 SUDAMERICANA CAMIONES SA</v>
      </c>
    </row>
    <row r="662" spans="1:19" x14ac:dyDescent="0.3">
      <c r="A662" s="2" t="s">
        <v>14</v>
      </c>
      <c r="B662" s="3" t="s">
        <v>14</v>
      </c>
      <c r="C662" s="3" t="s">
        <v>581</v>
      </c>
      <c r="D662" s="3" t="s">
        <v>14</v>
      </c>
      <c r="E662" s="3" t="s">
        <v>107</v>
      </c>
      <c r="F662" s="4">
        <v>46282</v>
      </c>
      <c r="G662" s="3" t="s">
        <v>44</v>
      </c>
      <c r="H662" s="6">
        <v>-1874770.7</v>
      </c>
      <c r="I662" s="3" t="s">
        <v>17</v>
      </c>
      <c r="J662" s="3" t="s">
        <v>14</v>
      </c>
      <c r="K662" s="3" t="s">
        <v>14</v>
      </c>
      <c r="L662" s="3" t="s">
        <v>19</v>
      </c>
      <c r="M662" s="4">
        <v>46284</v>
      </c>
      <c r="N662" s="3" t="s">
        <v>580</v>
      </c>
      <c r="O662" s="3" t="s">
        <v>24</v>
      </c>
      <c r="P662" t="str">
        <f t="shared" si="10"/>
        <v>450013870960</v>
      </c>
      <c r="Q662" s="9" cm="1">
        <f t="array" ref="Q662:S662">VLOOKUP(P662,Hoja1!C:F,{2,3,4},FALSE)</f>
        <v>46287</v>
      </c>
      <c r="R662" t="str">
        <v>F10</v>
      </c>
      <c r="S662" t="str">
        <v>1000001470 SUDAMERICANA CAMIONES SA</v>
      </c>
    </row>
    <row r="663" spans="1:19" x14ac:dyDescent="0.3">
      <c r="A663" s="2" t="s">
        <v>14</v>
      </c>
      <c r="B663" s="3" t="s">
        <v>14</v>
      </c>
      <c r="C663" s="3" t="s">
        <v>581</v>
      </c>
      <c r="D663" s="3" t="s">
        <v>14</v>
      </c>
      <c r="E663" s="3" t="s">
        <v>107</v>
      </c>
      <c r="F663" s="4">
        <v>46282</v>
      </c>
      <c r="G663" s="3" t="s">
        <v>44</v>
      </c>
      <c r="H663" s="6">
        <v>-860835.9</v>
      </c>
      <c r="I663" s="3" t="s">
        <v>17</v>
      </c>
      <c r="J663" s="3" t="s">
        <v>14</v>
      </c>
      <c r="K663" s="3" t="s">
        <v>14</v>
      </c>
      <c r="L663" s="3" t="s">
        <v>19</v>
      </c>
      <c r="M663" s="4">
        <v>46284</v>
      </c>
      <c r="N663" s="3" t="s">
        <v>580</v>
      </c>
      <c r="O663" s="3" t="s">
        <v>25</v>
      </c>
      <c r="P663" t="str">
        <f t="shared" si="10"/>
        <v>450013870970</v>
      </c>
      <c r="Q663" s="9" cm="1">
        <f t="array" ref="Q663:S663">VLOOKUP(P663,Hoja1!C:F,{2,3,4},FALSE)</f>
        <v>46287</v>
      </c>
      <c r="R663" t="str">
        <v>F10</v>
      </c>
      <c r="S663" t="str">
        <v>1000001470 SUDAMERICANA CAMIONES SA</v>
      </c>
    </row>
    <row r="664" spans="1:19" x14ac:dyDescent="0.3">
      <c r="A664" s="2" t="s">
        <v>14</v>
      </c>
      <c r="B664" s="3" t="s">
        <v>14</v>
      </c>
      <c r="C664" s="3" t="s">
        <v>582</v>
      </c>
      <c r="D664" s="3" t="s">
        <v>14</v>
      </c>
      <c r="E664" s="3" t="s">
        <v>107</v>
      </c>
      <c r="F664" s="4">
        <v>46283</v>
      </c>
      <c r="G664" s="3" t="s">
        <v>44</v>
      </c>
      <c r="H664" s="6">
        <v>-597960</v>
      </c>
      <c r="I664" s="3" t="s">
        <v>17</v>
      </c>
      <c r="J664" s="3" t="s">
        <v>14</v>
      </c>
      <c r="K664" s="3" t="s">
        <v>14</v>
      </c>
      <c r="L664" s="3" t="s">
        <v>583</v>
      </c>
      <c r="M664" s="4">
        <v>46284</v>
      </c>
      <c r="N664" s="3" t="s">
        <v>584</v>
      </c>
      <c r="O664" s="3" t="s">
        <v>34</v>
      </c>
      <c r="P664" t="str">
        <f t="shared" si="10"/>
        <v>450013672910</v>
      </c>
      <c r="Q664" s="9" cm="1">
        <f t="array" ref="Q664:S664">VLOOKUP(P664,Hoja1!C:F,{2,3,4},FALSE)</f>
        <v>46269</v>
      </c>
      <c r="R664" t="str">
        <v>C28</v>
      </c>
      <c r="S664" t="str">
        <v>1000001474 CALZADOS ARGENTINOS SA</v>
      </c>
    </row>
    <row r="665" spans="1:19" x14ac:dyDescent="0.3">
      <c r="A665" s="2" t="s">
        <v>14</v>
      </c>
      <c r="B665" s="3" t="s">
        <v>14</v>
      </c>
      <c r="C665" s="3" t="s">
        <v>582</v>
      </c>
      <c r="D665" s="3" t="s">
        <v>14</v>
      </c>
      <c r="E665" s="3" t="s">
        <v>107</v>
      </c>
      <c r="F665" s="4">
        <v>46283</v>
      </c>
      <c r="G665" s="3" t="s">
        <v>44</v>
      </c>
      <c r="H665" s="6">
        <v>-3737250</v>
      </c>
      <c r="I665" s="3" t="s">
        <v>17</v>
      </c>
      <c r="J665" s="3" t="s">
        <v>14</v>
      </c>
      <c r="K665" s="3" t="s">
        <v>14</v>
      </c>
      <c r="L665" s="3" t="s">
        <v>583</v>
      </c>
      <c r="M665" s="4">
        <v>46284</v>
      </c>
      <c r="N665" s="3" t="s">
        <v>584</v>
      </c>
      <c r="O665" s="3" t="s">
        <v>21</v>
      </c>
      <c r="P665" t="str">
        <f t="shared" si="10"/>
        <v>450013672920</v>
      </c>
      <c r="Q665" s="9" cm="1">
        <f t="array" ref="Q665:S665">VLOOKUP(P665,Hoja1!C:F,{2,3,4},FALSE)</f>
        <v>46269</v>
      </c>
      <c r="R665" t="str">
        <v>C28</v>
      </c>
      <c r="S665" t="str">
        <v>1000001474 CALZADOS ARGENTINOS SA</v>
      </c>
    </row>
    <row r="666" spans="1:19" x14ac:dyDescent="0.3">
      <c r="A666" s="2" t="s">
        <v>14</v>
      </c>
      <c r="B666" s="3" t="s">
        <v>14</v>
      </c>
      <c r="C666" s="3" t="s">
        <v>585</v>
      </c>
      <c r="D666" s="3" t="s">
        <v>14</v>
      </c>
      <c r="E666" s="3" t="s">
        <v>107</v>
      </c>
      <c r="F666" s="4">
        <v>46286</v>
      </c>
      <c r="G666" s="3" t="s">
        <v>44</v>
      </c>
      <c r="H666" s="6">
        <v>-95130</v>
      </c>
      <c r="I666" s="3" t="s">
        <v>17</v>
      </c>
      <c r="J666" s="3" t="s">
        <v>14</v>
      </c>
      <c r="K666" s="3" t="s">
        <v>14</v>
      </c>
      <c r="L666" s="3" t="s">
        <v>586</v>
      </c>
      <c r="M666" s="4">
        <v>46286</v>
      </c>
      <c r="N666" s="3" t="s">
        <v>587</v>
      </c>
      <c r="O666" s="3" t="s">
        <v>34</v>
      </c>
      <c r="P666" t="str">
        <f t="shared" si="10"/>
        <v>450013297110</v>
      </c>
      <c r="Q666" s="9" cm="1">
        <f t="array" ref="Q666:S666">VLOOKUP(P666,Hoja1!C:F,{2,3,4},FALSE)</f>
        <v>46237</v>
      </c>
      <c r="R666" t="str">
        <v>EFO</v>
      </c>
      <c r="S666" t="str">
        <v>1000001550 OLIVARES ANTONIO ALBERTO</v>
      </c>
    </row>
    <row r="667" spans="1:19" x14ac:dyDescent="0.3">
      <c r="A667" s="2" t="s">
        <v>14</v>
      </c>
      <c r="B667" s="3" t="s">
        <v>14</v>
      </c>
      <c r="C667" s="3" t="s">
        <v>588</v>
      </c>
      <c r="D667" s="3" t="s">
        <v>14</v>
      </c>
      <c r="E667" s="3" t="s">
        <v>107</v>
      </c>
      <c r="F667" s="4">
        <v>46281</v>
      </c>
      <c r="G667" s="3" t="s">
        <v>16</v>
      </c>
      <c r="H667" s="5">
        <v>125961.98</v>
      </c>
      <c r="I667" s="3" t="s">
        <v>17</v>
      </c>
      <c r="J667" s="3" t="s">
        <v>14</v>
      </c>
      <c r="K667" s="3" t="s">
        <v>14</v>
      </c>
      <c r="L667" s="3" t="s">
        <v>558</v>
      </c>
      <c r="M667" s="4">
        <v>46281</v>
      </c>
      <c r="N667" s="3" t="s">
        <v>559</v>
      </c>
      <c r="O667" s="3" t="s">
        <v>193</v>
      </c>
      <c r="P667" t="str">
        <f t="shared" si="10"/>
        <v>4500124519110</v>
      </c>
      <c r="Q667" s="9" cm="1">
        <f t="array" ref="Q667:S667">VLOOKUP(P667,Hoja1!C:F,{2,3,4},FALSE)</f>
        <v>46301</v>
      </c>
      <c r="R667" t="str">
        <v>CGT</v>
      </c>
      <c r="S667" t="str">
        <v>1000012568 DERGAM SRL</v>
      </c>
    </row>
    <row r="668" spans="1:19" x14ac:dyDescent="0.3">
      <c r="A668" s="2" t="s">
        <v>14</v>
      </c>
      <c r="B668" s="3" t="s">
        <v>14</v>
      </c>
      <c r="C668" s="3" t="s">
        <v>589</v>
      </c>
      <c r="D668" s="3" t="s">
        <v>14</v>
      </c>
      <c r="E668" s="3" t="s">
        <v>107</v>
      </c>
      <c r="F668" s="4">
        <v>46286</v>
      </c>
      <c r="G668" s="3" t="s">
        <v>44</v>
      </c>
      <c r="H668" s="6">
        <v>-11459070</v>
      </c>
      <c r="I668" s="3" t="s">
        <v>17</v>
      </c>
      <c r="J668" s="3" t="s">
        <v>14</v>
      </c>
      <c r="K668" s="3" t="s">
        <v>14</v>
      </c>
      <c r="L668" s="3" t="s">
        <v>590</v>
      </c>
      <c r="M668" s="4">
        <v>46286</v>
      </c>
      <c r="N668" s="3" t="s">
        <v>591</v>
      </c>
      <c r="O668" s="3" t="s">
        <v>34</v>
      </c>
      <c r="P668" t="str">
        <f t="shared" si="10"/>
        <v>450013579310</v>
      </c>
      <c r="Q668" s="9" cm="1">
        <f t="array" ref="Q668:S668">VLOOKUP(P668,Hoja1!C:F,{2,3,4},FALSE)</f>
        <v>46325</v>
      </c>
      <c r="R668" t="str">
        <v>C21</v>
      </c>
      <c r="S668" t="str">
        <v>1000013345 PASFERR ENERGY SRL</v>
      </c>
    </row>
    <row r="669" spans="1:19" x14ac:dyDescent="0.3">
      <c r="A669" s="2" t="s">
        <v>14</v>
      </c>
      <c r="B669" s="3" t="s">
        <v>14</v>
      </c>
      <c r="C669" s="3" t="s">
        <v>589</v>
      </c>
      <c r="D669" s="3" t="s">
        <v>14</v>
      </c>
      <c r="E669" s="3" t="s">
        <v>107</v>
      </c>
      <c r="F669" s="4">
        <v>46286</v>
      </c>
      <c r="G669" s="3" t="s">
        <v>44</v>
      </c>
      <c r="H669" s="6">
        <v>-1305910</v>
      </c>
      <c r="I669" s="3" t="s">
        <v>17</v>
      </c>
      <c r="J669" s="3" t="s">
        <v>14</v>
      </c>
      <c r="K669" s="3" t="s">
        <v>14</v>
      </c>
      <c r="L669" s="3" t="s">
        <v>590</v>
      </c>
      <c r="M669" s="4">
        <v>46286</v>
      </c>
      <c r="N669" s="3" t="s">
        <v>591</v>
      </c>
      <c r="O669" s="3" t="s">
        <v>34</v>
      </c>
      <c r="P669" t="str">
        <f t="shared" si="10"/>
        <v>450013579310</v>
      </c>
      <c r="Q669" s="9" cm="1">
        <f t="array" ref="Q669:S669">VLOOKUP(P669,Hoja1!C:F,{2,3,4},FALSE)</f>
        <v>46325</v>
      </c>
      <c r="R669" t="str">
        <v>C21</v>
      </c>
      <c r="S669" t="str">
        <v>1000013345 PASFERR ENERGY SRL</v>
      </c>
    </row>
    <row r="670" spans="1:19" x14ac:dyDescent="0.3">
      <c r="A670" s="2" t="s">
        <v>14</v>
      </c>
      <c r="B670" s="3" t="s">
        <v>14</v>
      </c>
      <c r="C670" s="3" t="s">
        <v>592</v>
      </c>
      <c r="D670" s="3" t="s">
        <v>14</v>
      </c>
      <c r="E670" s="3" t="s">
        <v>107</v>
      </c>
      <c r="F670" s="4">
        <v>46283</v>
      </c>
      <c r="G670" s="3" t="s">
        <v>44</v>
      </c>
      <c r="H670" s="6">
        <v>-168244.2</v>
      </c>
      <c r="I670" s="3" t="s">
        <v>17</v>
      </c>
      <c r="J670" s="3" t="s">
        <v>14</v>
      </c>
      <c r="K670" s="3" t="s">
        <v>14</v>
      </c>
      <c r="L670" s="3" t="s">
        <v>95</v>
      </c>
      <c r="M670" s="4">
        <v>46286</v>
      </c>
      <c r="N670" s="3" t="s">
        <v>593</v>
      </c>
      <c r="O670" s="3" t="s">
        <v>21</v>
      </c>
      <c r="P670" t="str">
        <f t="shared" si="10"/>
        <v>450013450520</v>
      </c>
      <c r="Q670" s="9" cm="1">
        <f t="array" ref="Q670:S670">VLOOKUP(P670,Hoja1!C:F,{2,3,4},FALSE)</f>
        <v>46275</v>
      </c>
      <c r="R670" t="str">
        <v>C03</v>
      </c>
      <c r="S670" t="str">
        <v>1000000561 ESCANDINAVIA DEL PLATA SA</v>
      </c>
    </row>
    <row r="671" spans="1:19" x14ac:dyDescent="0.3">
      <c r="A671" s="2" t="s">
        <v>14</v>
      </c>
      <c r="B671" s="3" t="s">
        <v>14</v>
      </c>
      <c r="C671" s="3" t="s">
        <v>594</v>
      </c>
      <c r="D671" s="3" t="s">
        <v>14</v>
      </c>
      <c r="E671" s="3" t="s">
        <v>107</v>
      </c>
      <c r="F671" s="4">
        <v>46283</v>
      </c>
      <c r="G671" s="3" t="s">
        <v>44</v>
      </c>
      <c r="H671" s="6">
        <v>-200226</v>
      </c>
      <c r="I671" s="3" t="s">
        <v>17</v>
      </c>
      <c r="J671" s="3" t="s">
        <v>14</v>
      </c>
      <c r="K671" s="3" t="s">
        <v>14</v>
      </c>
      <c r="L671" s="3" t="s">
        <v>95</v>
      </c>
      <c r="M671" s="4">
        <v>46286</v>
      </c>
      <c r="N671" s="3" t="s">
        <v>96</v>
      </c>
      <c r="O671" s="3" t="s">
        <v>34</v>
      </c>
      <c r="P671" t="str">
        <f t="shared" si="10"/>
        <v>450013337410</v>
      </c>
      <c r="Q671" s="9" cm="1">
        <f t="array" ref="Q671:S671">VLOOKUP(P671,Hoja1!C:F,{2,3,4},FALSE)</f>
        <v>46304</v>
      </c>
      <c r="R671" t="str">
        <v>G05</v>
      </c>
      <c r="S671" t="str">
        <v>1000000561 ESCANDINAVIA DEL PLATA SA</v>
      </c>
    </row>
    <row r="672" spans="1:19" x14ac:dyDescent="0.3">
      <c r="A672" s="2" t="s">
        <v>14</v>
      </c>
      <c r="B672" s="3" t="s">
        <v>14</v>
      </c>
      <c r="C672" s="3" t="s">
        <v>595</v>
      </c>
      <c r="D672" s="3" t="s">
        <v>14</v>
      </c>
      <c r="E672" s="3" t="s">
        <v>107</v>
      </c>
      <c r="F672" s="4">
        <v>46287</v>
      </c>
      <c r="G672" s="3" t="s">
        <v>44</v>
      </c>
      <c r="H672" s="6">
        <v>-676500</v>
      </c>
      <c r="I672" s="3" t="s">
        <v>17</v>
      </c>
      <c r="J672" s="3" t="s">
        <v>14</v>
      </c>
      <c r="K672" s="3" t="s">
        <v>14</v>
      </c>
      <c r="L672" s="3" t="s">
        <v>552</v>
      </c>
      <c r="M672" s="4">
        <v>46287</v>
      </c>
      <c r="N672" s="3" t="s">
        <v>553</v>
      </c>
      <c r="O672" s="3" t="s">
        <v>34</v>
      </c>
      <c r="P672" t="str">
        <f t="shared" si="10"/>
        <v>450013831810</v>
      </c>
      <c r="Q672" s="9" cm="1">
        <f t="array" ref="Q672:S672">VLOOKUP(P672,Hoja1!C:F,{2,3,4},FALSE)</f>
        <v>46357</v>
      </c>
      <c r="R672" t="str">
        <v>C21</v>
      </c>
      <c r="S672" t="str">
        <v>1000013572 MAXFA SA</v>
      </c>
    </row>
    <row r="673" spans="1:19" x14ac:dyDescent="0.3">
      <c r="A673" s="2" t="s">
        <v>14</v>
      </c>
      <c r="B673" s="3" t="s">
        <v>14</v>
      </c>
      <c r="C673" s="3" t="s">
        <v>595</v>
      </c>
      <c r="D673" s="3" t="s">
        <v>14</v>
      </c>
      <c r="E673" s="3" t="s">
        <v>107</v>
      </c>
      <c r="F673" s="4">
        <v>46287</v>
      </c>
      <c r="G673" s="3" t="s">
        <v>44</v>
      </c>
      <c r="H673" s="6">
        <v>-77100</v>
      </c>
      <c r="I673" s="3" t="s">
        <v>17</v>
      </c>
      <c r="J673" s="3" t="s">
        <v>14</v>
      </c>
      <c r="K673" s="3" t="s">
        <v>14</v>
      </c>
      <c r="L673" s="3" t="s">
        <v>552</v>
      </c>
      <c r="M673" s="4">
        <v>46287</v>
      </c>
      <c r="N673" s="3" t="s">
        <v>553</v>
      </c>
      <c r="O673" s="3" t="s">
        <v>34</v>
      </c>
      <c r="P673" t="str">
        <f t="shared" si="10"/>
        <v>450013831810</v>
      </c>
      <c r="Q673" s="9" cm="1">
        <f t="array" ref="Q673:S673">VLOOKUP(P673,Hoja1!C:F,{2,3,4},FALSE)</f>
        <v>46357</v>
      </c>
      <c r="R673" t="str">
        <v>C21</v>
      </c>
      <c r="S673" t="str">
        <v>1000013572 MAXFA SA</v>
      </c>
    </row>
    <row r="674" spans="1:19" x14ac:dyDescent="0.3">
      <c r="A674" s="2" t="s">
        <v>14</v>
      </c>
      <c r="B674" s="3" t="s">
        <v>14</v>
      </c>
      <c r="C674" s="3" t="s">
        <v>596</v>
      </c>
      <c r="D674" s="3" t="s">
        <v>14</v>
      </c>
      <c r="E674" s="3" t="s">
        <v>107</v>
      </c>
      <c r="F674" s="4">
        <v>46275</v>
      </c>
      <c r="G674" s="3" t="s">
        <v>44</v>
      </c>
      <c r="H674" s="6">
        <v>-87913.279999999999</v>
      </c>
      <c r="I674" s="3" t="s">
        <v>17</v>
      </c>
      <c r="J674" s="3" t="s">
        <v>14</v>
      </c>
      <c r="K674" s="3" t="s">
        <v>14</v>
      </c>
      <c r="L674" s="3" t="s">
        <v>89</v>
      </c>
      <c r="M674" s="4">
        <v>46287</v>
      </c>
      <c r="N674" s="3" t="s">
        <v>597</v>
      </c>
      <c r="O674" s="3" t="s">
        <v>34</v>
      </c>
      <c r="P674" t="str">
        <f t="shared" si="10"/>
        <v>450013695610</v>
      </c>
      <c r="Q674" s="9" cm="1">
        <f t="array" ref="Q674:S674">VLOOKUP(P674,Hoja1!C:F,{2,3,4},FALSE)</f>
        <v>46275</v>
      </c>
      <c r="R674" t="str">
        <v>C28</v>
      </c>
      <c r="S674" t="str">
        <v>1000001028 SOSTEN S.A.</v>
      </c>
    </row>
    <row r="675" spans="1:19" x14ac:dyDescent="0.3">
      <c r="A675" s="2" t="s">
        <v>14</v>
      </c>
      <c r="B675" s="3" t="s">
        <v>14</v>
      </c>
      <c r="C675" s="3" t="s">
        <v>598</v>
      </c>
      <c r="D675" s="3" t="s">
        <v>14</v>
      </c>
      <c r="E675" s="3" t="s">
        <v>107</v>
      </c>
      <c r="F675" s="4">
        <v>46273</v>
      </c>
      <c r="G675" s="3" t="s">
        <v>44</v>
      </c>
      <c r="H675" s="6">
        <v>-475869.88</v>
      </c>
      <c r="I675" s="3" t="s">
        <v>17</v>
      </c>
      <c r="J675" s="3" t="s">
        <v>14</v>
      </c>
      <c r="K675" s="3" t="s">
        <v>14</v>
      </c>
      <c r="L675" s="3" t="s">
        <v>169</v>
      </c>
      <c r="M675" s="4">
        <v>46287</v>
      </c>
      <c r="N675" s="3" t="s">
        <v>599</v>
      </c>
      <c r="O675" s="3" t="s">
        <v>21</v>
      </c>
      <c r="P675" t="str">
        <f t="shared" si="10"/>
        <v>450013691820</v>
      </c>
      <c r="Q675" s="9" cm="1">
        <f t="array" ref="Q675:S675">VLOOKUP(P675,Hoja1!C:F,{2,3,4},FALSE)</f>
        <v>46304</v>
      </c>
      <c r="R675" t="str">
        <v>C29</v>
      </c>
      <c r="S675" t="str">
        <v>1000002607 DIESEL LANGE S.R.L</v>
      </c>
    </row>
    <row r="676" spans="1:19" x14ac:dyDescent="0.3">
      <c r="A676" s="2" t="s">
        <v>14</v>
      </c>
      <c r="B676" s="3" t="s">
        <v>14</v>
      </c>
      <c r="C676" s="3" t="s">
        <v>600</v>
      </c>
      <c r="D676" s="3" t="s">
        <v>14</v>
      </c>
      <c r="E676" s="3" t="s">
        <v>107</v>
      </c>
      <c r="F676" s="4">
        <v>46288</v>
      </c>
      <c r="G676" s="3" t="s">
        <v>44</v>
      </c>
      <c r="H676" s="6">
        <v>-195329.3</v>
      </c>
      <c r="I676" s="3" t="s">
        <v>17</v>
      </c>
      <c r="J676" s="3" t="s">
        <v>14</v>
      </c>
      <c r="K676" s="3" t="s">
        <v>14</v>
      </c>
      <c r="L676" s="3" t="s">
        <v>95</v>
      </c>
      <c r="M676" s="4">
        <v>46288</v>
      </c>
      <c r="N676" s="3" t="s">
        <v>601</v>
      </c>
      <c r="O676" s="3" t="s">
        <v>34</v>
      </c>
      <c r="P676" t="str">
        <f t="shared" si="10"/>
        <v>450013751110</v>
      </c>
      <c r="Q676" s="9" cm="1">
        <f t="array" ref="Q676:S676">VLOOKUP(P676,Hoja1!C:F,{2,3,4},FALSE)</f>
        <v>46280</v>
      </c>
      <c r="R676" t="str">
        <v>C03</v>
      </c>
      <c r="S676" t="str">
        <v>1000000561 ESCANDINAVIA DEL PLATA SA</v>
      </c>
    </row>
    <row r="677" spans="1:19" x14ac:dyDescent="0.3">
      <c r="A677" s="2" t="s">
        <v>14</v>
      </c>
      <c r="B677" s="3" t="s">
        <v>14</v>
      </c>
      <c r="C677" s="3" t="s">
        <v>602</v>
      </c>
      <c r="D677" s="3" t="s">
        <v>14</v>
      </c>
      <c r="E677" s="3" t="s">
        <v>107</v>
      </c>
      <c r="F677" s="4">
        <v>46288</v>
      </c>
      <c r="G677" s="3" t="s">
        <v>44</v>
      </c>
      <c r="H677" s="6">
        <v>-773347.04</v>
      </c>
      <c r="I677" s="3" t="s">
        <v>17</v>
      </c>
      <c r="J677" s="3" t="s">
        <v>14</v>
      </c>
      <c r="K677" s="3" t="s">
        <v>14</v>
      </c>
      <c r="L677" s="3" t="s">
        <v>169</v>
      </c>
      <c r="M677" s="4">
        <v>46288</v>
      </c>
      <c r="N677" s="3" t="s">
        <v>599</v>
      </c>
      <c r="O677" s="3" t="s">
        <v>34</v>
      </c>
      <c r="P677" t="str">
        <f t="shared" si="10"/>
        <v>450013691810</v>
      </c>
      <c r="Q677" s="9" cm="1">
        <f t="array" ref="Q677:S677">VLOOKUP(P677,Hoja1!C:F,{2,3,4},FALSE)</f>
        <v>46287</v>
      </c>
      <c r="R677" t="str">
        <v>C29</v>
      </c>
      <c r="S677" t="str">
        <v>1000002607 DIESEL LANGE S.R.L</v>
      </c>
    </row>
    <row r="678" spans="1:19" x14ac:dyDescent="0.3">
      <c r="A678" s="2" t="s">
        <v>14</v>
      </c>
      <c r="B678" s="3" t="s">
        <v>14</v>
      </c>
      <c r="C678" s="3" t="s">
        <v>602</v>
      </c>
      <c r="D678" s="3" t="s">
        <v>14</v>
      </c>
      <c r="E678" s="3" t="s">
        <v>107</v>
      </c>
      <c r="F678" s="4">
        <v>46288</v>
      </c>
      <c r="G678" s="3" t="s">
        <v>44</v>
      </c>
      <c r="H678" s="6">
        <v>-612977.76</v>
      </c>
      <c r="I678" s="3" t="s">
        <v>17</v>
      </c>
      <c r="J678" s="3" t="s">
        <v>14</v>
      </c>
      <c r="K678" s="3" t="s">
        <v>14</v>
      </c>
      <c r="L678" s="3" t="s">
        <v>169</v>
      </c>
      <c r="M678" s="4">
        <v>46288</v>
      </c>
      <c r="N678" s="3" t="s">
        <v>599</v>
      </c>
      <c r="O678" s="3" t="s">
        <v>22</v>
      </c>
      <c r="P678" t="str">
        <f t="shared" si="10"/>
        <v>450013691830</v>
      </c>
      <c r="Q678" s="9" cm="1">
        <f t="array" ref="Q678:S678">VLOOKUP(P678,Hoja1!C:F,{2,3,4},FALSE)</f>
        <v>46287</v>
      </c>
      <c r="R678" t="str">
        <v>C29</v>
      </c>
      <c r="S678" t="str">
        <v>1000002607 DIESEL LANGE S.R.L</v>
      </c>
    </row>
    <row r="679" spans="1:19" x14ac:dyDescent="0.3">
      <c r="A679" s="2" t="s">
        <v>14</v>
      </c>
      <c r="B679" s="3" t="s">
        <v>14</v>
      </c>
      <c r="C679" s="3" t="s">
        <v>602</v>
      </c>
      <c r="D679" s="3" t="s">
        <v>14</v>
      </c>
      <c r="E679" s="3" t="s">
        <v>107</v>
      </c>
      <c r="F679" s="4">
        <v>46288</v>
      </c>
      <c r="G679" s="3" t="s">
        <v>44</v>
      </c>
      <c r="H679" s="6">
        <v>-306488.88</v>
      </c>
      <c r="I679" s="3" t="s">
        <v>17</v>
      </c>
      <c r="J679" s="3" t="s">
        <v>14</v>
      </c>
      <c r="K679" s="3" t="s">
        <v>14</v>
      </c>
      <c r="L679" s="3" t="s">
        <v>169</v>
      </c>
      <c r="M679" s="4">
        <v>46288</v>
      </c>
      <c r="N679" s="3" t="s">
        <v>599</v>
      </c>
      <c r="O679" s="3" t="s">
        <v>26</v>
      </c>
      <c r="P679" t="str">
        <f t="shared" si="10"/>
        <v>450013691840</v>
      </c>
      <c r="Q679" s="9" cm="1">
        <f t="array" ref="Q679:S679">VLOOKUP(P679,Hoja1!C:F,{2,3,4},FALSE)</f>
        <v>46287</v>
      </c>
      <c r="R679" t="str">
        <v>C29</v>
      </c>
      <c r="S679" t="str">
        <v>1000002607 DIESEL LANGE S.R.L</v>
      </c>
    </row>
    <row r="680" spans="1:19" x14ac:dyDescent="0.3">
      <c r="A680" s="2" t="s">
        <v>14</v>
      </c>
      <c r="B680" s="3" t="s">
        <v>14</v>
      </c>
      <c r="C680" s="3" t="s">
        <v>603</v>
      </c>
      <c r="D680" s="3" t="s">
        <v>14</v>
      </c>
      <c r="E680" s="3" t="s">
        <v>107</v>
      </c>
      <c r="F680" s="4">
        <v>46289</v>
      </c>
      <c r="G680" s="3" t="s">
        <v>44</v>
      </c>
      <c r="H680" s="6">
        <v>-11459070</v>
      </c>
      <c r="I680" s="3" t="s">
        <v>17</v>
      </c>
      <c r="J680" s="3" t="s">
        <v>14</v>
      </c>
      <c r="K680" s="3" t="s">
        <v>14</v>
      </c>
      <c r="L680" s="3" t="s">
        <v>590</v>
      </c>
      <c r="M680" s="4">
        <v>46289</v>
      </c>
      <c r="N680" s="3" t="s">
        <v>591</v>
      </c>
      <c r="O680" s="3" t="s">
        <v>34</v>
      </c>
      <c r="P680" t="str">
        <f t="shared" si="10"/>
        <v>450013579310</v>
      </c>
      <c r="Q680" s="9" cm="1">
        <f t="array" ref="Q680:S680">VLOOKUP(P680,Hoja1!C:F,{2,3,4},FALSE)</f>
        <v>46325</v>
      </c>
      <c r="R680" t="str">
        <v>C21</v>
      </c>
      <c r="S680" t="str">
        <v>1000013345 PASFERR ENERGY SRL</v>
      </c>
    </row>
    <row r="681" spans="1:19" x14ac:dyDescent="0.3">
      <c r="A681" s="2" t="s">
        <v>14</v>
      </c>
      <c r="B681" s="3" t="s">
        <v>14</v>
      </c>
      <c r="C681" s="3" t="s">
        <v>603</v>
      </c>
      <c r="D681" s="3" t="s">
        <v>14</v>
      </c>
      <c r="E681" s="3" t="s">
        <v>107</v>
      </c>
      <c r="F681" s="4">
        <v>46289</v>
      </c>
      <c r="G681" s="3" t="s">
        <v>44</v>
      </c>
      <c r="H681" s="6">
        <v>-1305910</v>
      </c>
      <c r="I681" s="3" t="s">
        <v>17</v>
      </c>
      <c r="J681" s="3" t="s">
        <v>14</v>
      </c>
      <c r="K681" s="3" t="s">
        <v>14</v>
      </c>
      <c r="L681" s="3" t="s">
        <v>590</v>
      </c>
      <c r="M681" s="4">
        <v>46289</v>
      </c>
      <c r="N681" s="3" t="s">
        <v>591</v>
      </c>
      <c r="O681" s="3" t="s">
        <v>34</v>
      </c>
      <c r="P681" t="str">
        <f t="shared" si="10"/>
        <v>450013579310</v>
      </c>
      <c r="Q681" s="9" cm="1">
        <f t="array" ref="Q681:S681">VLOOKUP(P681,Hoja1!C:F,{2,3,4},FALSE)</f>
        <v>46325</v>
      </c>
      <c r="R681" t="str">
        <v>C21</v>
      </c>
      <c r="S681" t="str">
        <v>1000013345 PASFERR ENERGY SRL</v>
      </c>
    </row>
    <row r="682" spans="1:19" x14ac:dyDescent="0.3">
      <c r="A682" s="2" t="s">
        <v>14</v>
      </c>
      <c r="B682" s="3" t="s">
        <v>14</v>
      </c>
      <c r="C682" s="3" t="s">
        <v>604</v>
      </c>
      <c r="D682" s="3" t="s">
        <v>14</v>
      </c>
      <c r="E682" s="3" t="s">
        <v>107</v>
      </c>
      <c r="F682" s="4">
        <v>46281</v>
      </c>
      <c r="G682" s="3" t="s">
        <v>44</v>
      </c>
      <c r="H682" s="6">
        <v>-5286320.0999999996</v>
      </c>
      <c r="I682" s="3" t="s">
        <v>17</v>
      </c>
      <c r="J682" s="3" t="s">
        <v>14</v>
      </c>
      <c r="K682" s="3" t="s">
        <v>14</v>
      </c>
      <c r="L682" s="3" t="s">
        <v>105</v>
      </c>
      <c r="M682" s="4">
        <v>46289</v>
      </c>
      <c r="N682" s="3" t="s">
        <v>605</v>
      </c>
      <c r="O682" s="3" t="s">
        <v>34</v>
      </c>
      <c r="P682" t="str">
        <f t="shared" si="10"/>
        <v>450013695410</v>
      </c>
      <c r="Q682" s="9" cm="1">
        <f t="array" ref="Q682:S682">VLOOKUP(P682,Hoja1!C:F,{2,3,4},FALSE)</f>
        <v>46280</v>
      </c>
      <c r="R682" t="str">
        <v>C28</v>
      </c>
      <c r="S682" t="str">
        <v>1000011286 FERMEB SAS</v>
      </c>
    </row>
    <row r="683" spans="1:19" x14ac:dyDescent="0.3">
      <c r="A683" s="2" t="s">
        <v>14</v>
      </c>
      <c r="B683" s="3" t="s">
        <v>14</v>
      </c>
      <c r="C683" s="3" t="s">
        <v>606</v>
      </c>
      <c r="D683" s="3" t="s">
        <v>14</v>
      </c>
      <c r="E683" s="3" t="s">
        <v>107</v>
      </c>
      <c r="F683" s="4">
        <v>46282</v>
      </c>
      <c r="G683" s="3" t="s">
        <v>44</v>
      </c>
      <c r="H683" s="6">
        <v>-59338.84</v>
      </c>
      <c r="I683" s="3" t="s">
        <v>17</v>
      </c>
      <c r="J683" s="3" t="s">
        <v>14</v>
      </c>
      <c r="K683" s="3" t="s">
        <v>14</v>
      </c>
      <c r="L683" s="3" t="s">
        <v>607</v>
      </c>
      <c r="M683" s="4">
        <v>46290</v>
      </c>
      <c r="N683" s="3" t="s">
        <v>608</v>
      </c>
      <c r="O683" s="3" t="s">
        <v>34</v>
      </c>
      <c r="P683" t="str">
        <f t="shared" si="10"/>
        <v>450013866710</v>
      </c>
      <c r="Q683" s="9" cm="1">
        <f t="array" ref="Q683:S683">VLOOKUP(P683,Hoja1!C:F,{2,3,4},FALSE)</f>
        <v>46297</v>
      </c>
      <c r="R683" t="str">
        <v>C03</v>
      </c>
      <c r="S683" t="str">
        <v>1000012464 LOOPING REPUESTOS SOCIEDAD ANONIMA</v>
      </c>
    </row>
    <row r="684" spans="1:19" x14ac:dyDescent="0.3">
      <c r="A684" s="2" t="s">
        <v>14</v>
      </c>
      <c r="B684" s="3" t="s">
        <v>14</v>
      </c>
      <c r="C684" s="3" t="s">
        <v>609</v>
      </c>
      <c r="D684" s="3" t="s">
        <v>14</v>
      </c>
      <c r="E684" s="3" t="s">
        <v>107</v>
      </c>
      <c r="F684" s="4">
        <v>46286</v>
      </c>
      <c r="G684" s="3" t="s">
        <v>44</v>
      </c>
      <c r="H684" s="6">
        <v>-131850.45000000001</v>
      </c>
      <c r="I684" s="3" t="s">
        <v>17</v>
      </c>
      <c r="J684" s="3" t="s">
        <v>14</v>
      </c>
      <c r="K684" s="3" t="s">
        <v>14</v>
      </c>
      <c r="L684" s="3" t="s">
        <v>163</v>
      </c>
      <c r="M684" s="4">
        <v>46290</v>
      </c>
      <c r="N684" s="3" t="s">
        <v>610</v>
      </c>
      <c r="O684" s="3" t="s">
        <v>25</v>
      </c>
      <c r="P684" t="str">
        <f t="shared" si="10"/>
        <v>450013657470</v>
      </c>
      <c r="Q684" s="9" cm="1">
        <f t="array" ref="Q684:S684">VLOOKUP(P684,Hoja1!C:F,{2,3,4},FALSE)</f>
        <v>46290</v>
      </c>
      <c r="R684" t="str">
        <v>C03</v>
      </c>
      <c r="S684" t="str">
        <v>1000000062 FINNING ARGENTINA S.A.</v>
      </c>
    </row>
    <row r="685" spans="1:19" x14ac:dyDescent="0.3">
      <c r="A685" s="2" t="s">
        <v>14</v>
      </c>
      <c r="B685" s="3" t="s">
        <v>14</v>
      </c>
      <c r="C685" s="3" t="s">
        <v>611</v>
      </c>
      <c r="D685" s="3" t="s">
        <v>36</v>
      </c>
      <c r="E685" s="3" t="s">
        <v>107</v>
      </c>
      <c r="F685" s="4">
        <v>46290</v>
      </c>
      <c r="G685" s="3" t="s">
        <v>44</v>
      </c>
      <c r="H685" s="6">
        <v>-22960500</v>
      </c>
      <c r="I685" s="3" t="s">
        <v>17</v>
      </c>
      <c r="J685" s="3" t="s">
        <v>14</v>
      </c>
      <c r="K685" s="3" t="s">
        <v>14</v>
      </c>
      <c r="L685" s="3" t="s">
        <v>612</v>
      </c>
      <c r="M685" s="4">
        <v>46290</v>
      </c>
      <c r="N685" s="3" t="s">
        <v>613</v>
      </c>
      <c r="O685" s="3" t="s">
        <v>34</v>
      </c>
      <c r="P685" t="str">
        <f t="shared" si="10"/>
        <v>450013687910</v>
      </c>
      <c r="Q685" s="9" cm="1">
        <f t="array" ref="Q685:S685">VLOOKUP(P685,Hoja1!C:F,{2,3,4},FALSE)</f>
        <v>46297</v>
      </c>
      <c r="R685" t="str">
        <v>C18</v>
      </c>
      <c r="S685" t="str">
        <v>1000013533 PREAR MINING SAS</v>
      </c>
    </row>
    <row r="686" spans="1:19" x14ac:dyDescent="0.3">
      <c r="A686" s="2" t="s">
        <v>14</v>
      </c>
      <c r="B686" s="3" t="s">
        <v>14</v>
      </c>
      <c r="C686" s="3" t="s">
        <v>614</v>
      </c>
      <c r="D686" s="3" t="s">
        <v>14</v>
      </c>
      <c r="E686" s="3" t="s">
        <v>107</v>
      </c>
      <c r="F686" s="4">
        <v>46279</v>
      </c>
      <c r="G686" s="3" t="s">
        <v>44</v>
      </c>
      <c r="H686" s="6">
        <v>-104292.6</v>
      </c>
      <c r="I686" s="3" t="s">
        <v>17</v>
      </c>
      <c r="J686" s="3" t="s">
        <v>14</v>
      </c>
      <c r="K686" s="3" t="s">
        <v>14</v>
      </c>
      <c r="L686" s="3" t="s">
        <v>169</v>
      </c>
      <c r="M686" s="4">
        <v>46290</v>
      </c>
      <c r="N686" s="3" t="s">
        <v>615</v>
      </c>
      <c r="O686" s="3" t="s">
        <v>21</v>
      </c>
      <c r="P686" t="str">
        <f t="shared" si="10"/>
        <v>450013950320</v>
      </c>
      <c r="Q686" s="9" cm="1">
        <f t="array" ref="Q686:S686">VLOOKUP(P686,Hoja1!C:F,{2,3,4},FALSE)</f>
        <v>46295</v>
      </c>
      <c r="R686" t="str">
        <v>G05</v>
      </c>
      <c r="S686" t="str">
        <v>1000002607 DIESEL LANGE S.R.L</v>
      </c>
    </row>
    <row r="687" spans="1:19" x14ac:dyDescent="0.3">
      <c r="A687" s="2" t="s">
        <v>14</v>
      </c>
      <c r="B687" s="3" t="s">
        <v>14</v>
      </c>
      <c r="C687" s="3" t="s">
        <v>617</v>
      </c>
      <c r="D687" s="3" t="s">
        <v>14</v>
      </c>
      <c r="E687" s="3" t="s">
        <v>107</v>
      </c>
      <c r="F687" s="4">
        <v>46290</v>
      </c>
      <c r="G687" s="3" t="s">
        <v>44</v>
      </c>
      <c r="H687" s="6">
        <v>-696900</v>
      </c>
      <c r="I687" s="3" t="s">
        <v>17</v>
      </c>
      <c r="J687" s="3" t="s">
        <v>14</v>
      </c>
      <c r="K687" s="3" t="s">
        <v>14</v>
      </c>
      <c r="L687" s="3" t="s">
        <v>159</v>
      </c>
      <c r="M687" s="4">
        <v>46290</v>
      </c>
      <c r="N687" s="3" t="s">
        <v>618</v>
      </c>
      <c r="O687" s="3" t="s">
        <v>34</v>
      </c>
      <c r="P687" t="str">
        <f t="shared" si="10"/>
        <v>450013952710</v>
      </c>
      <c r="Q687" s="9" cm="1">
        <f t="array" ref="Q687:S687">VLOOKUP(P687,Hoja1!C:F,{2,3,4},FALSE)</f>
        <v>46306</v>
      </c>
      <c r="R687" t="str">
        <v>C39</v>
      </c>
      <c r="S687" t="str">
        <v>1000010438 TURBOS T&amp;T S.R.L</v>
      </c>
    </row>
    <row r="688" spans="1:19" x14ac:dyDescent="0.3">
      <c r="A688" s="2" t="s">
        <v>14</v>
      </c>
      <c r="B688" s="3" t="s">
        <v>14</v>
      </c>
      <c r="C688" s="3" t="s">
        <v>617</v>
      </c>
      <c r="D688" s="3" t="s">
        <v>14</v>
      </c>
      <c r="E688" s="3" t="s">
        <v>107</v>
      </c>
      <c r="F688" s="4">
        <v>46290</v>
      </c>
      <c r="G688" s="3" t="s">
        <v>44</v>
      </c>
      <c r="H688" s="6">
        <v>-696900</v>
      </c>
      <c r="I688" s="3" t="s">
        <v>17</v>
      </c>
      <c r="J688" s="3" t="s">
        <v>14</v>
      </c>
      <c r="K688" s="3" t="s">
        <v>14</v>
      </c>
      <c r="L688" s="3" t="s">
        <v>159</v>
      </c>
      <c r="M688" s="4">
        <v>46290</v>
      </c>
      <c r="N688" s="3" t="s">
        <v>618</v>
      </c>
      <c r="O688" s="3" t="s">
        <v>21</v>
      </c>
      <c r="P688" t="str">
        <f t="shared" si="10"/>
        <v>450013952720</v>
      </c>
      <c r="Q688" s="9" cm="1">
        <f t="array" ref="Q688:S688">VLOOKUP(P688,Hoja1!C:F,{2,3,4},FALSE)</f>
        <v>46306</v>
      </c>
      <c r="R688" t="str">
        <v>C39</v>
      </c>
      <c r="S688" t="str">
        <v>1000010438 TURBOS T&amp;T S.R.L</v>
      </c>
    </row>
    <row r="689" spans="1:19" x14ac:dyDescent="0.3">
      <c r="A689" s="2" t="s">
        <v>14</v>
      </c>
      <c r="B689" s="3" t="s">
        <v>14</v>
      </c>
      <c r="C689" s="3" t="s">
        <v>619</v>
      </c>
      <c r="D689" s="3" t="s">
        <v>14</v>
      </c>
      <c r="E689" s="3" t="s">
        <v>107</v>
      </c>
      <c r="F689" s="4">
        <v>46290</v>
      </c>
      <c r="G689" s="3" t="s">
        <v>44</v>
      </c>
      <c r="H689" s="6">
        <v>-169353.48</v>
      </c>
      <c r="I689" s="3" t="s">
        <v>17</v>
      </c>
      <c r="J689" s="3" t="s">
        <v>14</v>
      </c>
      <c r="K689" s="3" t="s">
        <v>14</v>
      </c>
      <c r="L689" s="3" t="s">
        <v>89</v>
      </c>
      <c r="M689" s="4">
        <v>46290</v>
      </c>
      <c r="N689" s="3" t="s">
        <v>620</v>
      </c>
      <c r="O689" s="3" t="s">
        <v>34</v>
      </c>
      <c r="P689" t="str">
        <f t="shared" si="10"/>
        <v>450013938210</v>
      </c>
      <c r="Q689" s="9" cm="1">
        <f t="array" ref="Q689:S689">VLOOKUP(P689,Hoja1!C:F,{2,3,4},FALSE)</f>
        <v>46297</v>
      </c>
      <c r="R689" t="str">
        <v>C28</v>
      </c>
      <c r="S689" t="str">
        <v>1000001028 SOSTEN S.A.</v>
      </c>
    </row>
    <row r="690" spans="1:19" x14ac:dyDescent="0.3">
      <c r="A690" s="2" t="s">
        <v>14</v>
      </c>
      <c r="B690" s="3" t="s">
        <v>14</v>
      </c>
      <c r="C690" s="3" t="s">
        <v>621</v>
      </c>
      <c r="D690" s="3" t="s">
        <v>36</v>
      </c>
      <c r="E690" s="3" t="s">
        <v>107</v>
      </c>
      <c r="F690" s="4">
        <v>46290</v>
      </c>
      <c r="G690" s="3" t="s">
        <v>44</v>
      </c>
      <c r="H690" s="6">
        <v>-633270</v>
      </c>
      <c r="I690" s="3" t="s">
        <v>17</v>
      </c>
      <c r="J690" s="3" t="s">
        <v>14</v>
      </c>
      <c r="K690" s="3" t="s">
        <v>14</v>
      </c>
      <c r="L690" s="3" t="s">
        <v>622</v>
      </c>
      <c r="M690" s="4">
        <v>46290</v>
      </c>
      <c r="N690" s="3" t="s">
        <v>623</v>
      </c>
      <c r="O690" s="3" t="s">
        <v>34</v>
      </c>
      <c r="P690" t="str">
        <f t="shared" si="10"/>
        <v>450013917310</v>
      </c>
      <c r="Q690" s="9" cm="1">
        <f t="array" ref="Q690:S690">VLOOKUP(P690,Hoja1!C:F,{2,3,4},FALSE)</f>
        <v>46303</v>
      </c>
      <c r="R690" t="str">
        <v>C07</v>
      </c>
      <c r="S690" t="str">
        <v>1000007442 CALINS SA</v>
      </c>
    </row>
    <row r="691" spans="1:19" x14ac:dyDescent="0.3">
      <c r="A691" s="2" t="s">
        <v>14</v>
      </c>
      <c r="B691" s="3" t="s">
        <v>14</v>
      </c>
      <c r="C691" s="3" t="s">
        <v>621</v>
      </c>
      <c r="D691" s="3" t="s">
        <v>36</v>
      </c>
      <c r="E691" s="3" t="s">
        <v>107</v>
      </c>
      <c r="F691" s="4">
        <v>46290</v>
      </c>
      <c r="G691" s="3" t="s">
        <v>44</v>
      </c>
      <c r="H691" s="6">
        <v>-554490</v>
      </c>
      <c r="I691" s="3" t="s">
        <v>17</v>
      </c>
      <c r="J691" s="3" t="s">
        <v>14</v>
      </c>
      <c r="K691" s="3" t="s">
        <v>14</v>
      </c>
      <c r="L691" s="3" t="s">
        <v>622</v>
      </c>
      <c r="M691" s="4">
        <v>46290</v>
      </c>
      <c r="N691" s="3" t="s">
        <v>623</v>
      </c>
      <c r="O691" s="3" t="s">
        <v>21</v>
      </c>
      <c r="P691" t="str">
        <f t="shared" si="10"/>
        <v>450013917320</v>
      </c>
      <c r="Q691" s="9" cm="1">
        <f t="array" ref="Q691:S691">VLOOKUP(P691,Hoja1!C:F,{2,3,4},FALSE)</f>
        <v>46303</v>
      </c>
      <c r="R691" t="str">
        <v>C07</v>
      </c>
      <c r="S691" t="str">
        <v>1000007442 CALINS SA</v>
      </c>
    </row>
    <row r="692" spans="1:19" x14ac:dyDescent="0.3">
      <c r="A692" s="2" t="s">
        <v>14</v>
      </c>
      <c r="B692" s="3" t="s">
        <v>14</v>
      </c>
      <c r="C692" s="3" t="s">
        <v>621</v>
      </c>
      <c r="D692" s="3" t="s">
        <v>36</v>
      </c>
      <c r="E692" s="3" t="s">
        <v>107</v>
      </c>
      <c r="F692" s="4">
        <v>46290</v>
      </c>
      <c r="G692" s="3" t="s">
        <v>44</v>
      </c>
      <c r="H692" s="6">
        <v>-279396.3</v>
      </c>
      <c r="I692" s="3" t="s">
        <v>17</v>
      </c>
      <c r="J692" s="3" t="s">
        <v>14</v>
      </c>
      <c r="K692" s="3" t="s">
        <v>14</v>
      </c>
      <c r="L692" s="3" t="s">
        <v>622</v>
      </c>
      <c r="M692" s="4">
        <v>46290</v>
      </c>
      <c r="N692" s="3" t="s">
        <v>623</v>
      </c>
      <c r="O692" s="3" t="s">
        <v>22</v>
      </c>
      <c r="P692" t="str">
        <f t="shared" si="10"/>
        <v>450013917330</v>
      </c>
      <c r="Q692" s="9" cm="1">
        <f t="array" ref="Q692:S692">VLOOKUP(P692,Hoja1!C:F,{2,3,4},FALSE)</f>
        <v>46303</v>
      </c>
      <c r="R692" t="str">
        <v>C07</v>
      </c>
      <c r="S692" t="str">
        <v>1000007442 CALINS SA</v>
      </c>
    </row>
    <row r="693" spans="1:19" x14ac:dyDescent="0.3">
      <c r="A693" s="2" t="s">
        <v>14</v>
      </c>
      <c r="B693" s="3" t="s">
        <v>14</v>
      </c>
      <c r="C693" s="3" t="s">
        <v>621</v>
      </c>
      <c r="D693" s="3" t="s">
        <v>36</v>
      </c>
      <c r="E693" s="3" t="s">
        <v>107</v>
      </c>
      <c r="F693" s="4">
        <v>46290</v>
      </c>
      <c r="G693" s="3" t="s">
        <v>44</v>
      </c>
      <c r="H693" s="6">
        <v>-287607.59999999998</v>
      </c>
      <c r="I693" s="3" t="s">
        <v>17</v>
      </c>
      <c r="J693" s="3" t="s">
        <v>14</v>
      </c>
      <c r="K693" s="3" t="s">
        <v>14</v>
      </c>
      <c r="L693" s="3" t="s">
        <v>622</v>
      </c>
      <c r="M693" s="4">
        <v>46290</v>
      </c>
      <c r="N693" s="3" t="s">
        <v>623</v>
      </c>
      <c r="O693" s="3" t="s">
        <v>26</v>
      </c>
      <c r="P693" t="str">
        <f t="shared" si="10"/>
        <v>450013917340</v>
      </c>
      <c r="Q693" s="9" cm="1">
        <f t="array" ref="Q693:S693">VLOOKUP(P693,Hoja1!C:F,{2,3,4},FALSE)</f>
        <v>46303</v>
      </c>
      <c r="R693" t="str">
        <v>C07</v>
      </c>
      <c r="S693" t="str">
        <v>1000007442 CALINS SA</v>
      </c>
    </row>
    <row r="694" spans="1:19" x14ac:dyDescent="0.3">
      <c r="A694" s="2" t="s">
        <v>14</v>
      </c>
      <c r="B694" s="3" t="s">
        <v>14</v>
      </c>
      <c r="C694" s="3" t="s">
        <v>624</v>
      </c>
      <c r="D694" s="3" t="s">
        <v>14</v>
      </c>
      <c r="E694" s="3" t="s">
        <v>107</v>
      </c>
      <c r="F694" s="4">
        <v>46273</v>
      </c>
      <c r="G694" s="3" t="s">
        <v>44</v>
      </c>
      <c r="H694" s="6">
        <v>-59448.6</v>
      </c>
      <c r="I694" s="3" t="s">
        <v>17</v>
      </c>
      <c r="J694" s="3" t="s">
        <v>14</v>
      </c>
      <c r="K694" s="3" t="s">
        <v>14</v>
      </c>
      <c r="L694" s="3" t="s">
        <v>523</v>
      </c>
      <c r="M694" s="4">
        <v>46290</v>
      </c>
      <c r="N694" s="3" t="s">
        <v>524</v>
      </c>
      <c r="O694" s="3" t="s">
        <v>22</v>
      </c>
      <c r="P694" t="str">
        <f t="shared" si="10"/>
        <v>450013464730</v>
      </c>
      <c r="Q694" s="9" cm="1">
        <f t="array" ref="Q694:S694">VLOOKUP(P694,Hoja1!C:F,{2,3,4},FALSE)</f>
        <v>46269</v>
      </c>
      <c r="R694" t="str">
        <v>C28</v>
      </c>
      <c r="S694" t="str">
        <v>1000001683 PIACENZA SRL</v>
      </c>
    </row>
    <row r="695" spans="1:19" x14ac:dyDescent="0.3">
      <c r="A695" s="2" t="s">
        <v>14</v>
      </c>
      <c r="B695" s="3" t="s">
        <v>14</v>
      </c>
      <c r="C695" s="3" t="s">
        <v>624</v>
      </c>
      <c r="D695" s="3" t="s">
        <v>14</v>
      </c>
      <c r="E695" s="3" t="s">
        <v>107</v>
      </c>
      <c r="F695" s="4">
        <v>46273</v>
      </c>
      <c r="G695" s="3" t="s">
        <v>44</v>
      </c>
      <c r="H695" s="6">
        <v>-59448.6</v>
      </c>
      <c r="I695" s="3" t="s">
        <v>17</v>
      </c>
      <c r="J695" s="3" t="s">
        <v>14</v>
      </c>
      <c r="K695" s="3" t="s">
        <v>14</v>
      </c>
      <c r="L695" s="3" t="s">
        <v>523</v>
      </c>
      <c r="M695" s="4">
        <v>46290</v>
      </c>
      <c r="N695" s="3" t="s">
        <v>524</v>
      </c>
      <c r="O695" s="3" t="s">
        <v>26</v>
      </c>
      <c r="P695" t="str">
        <f t="shared" si="10"/>
        <v>450013464740</v>
      </c>
      <c r="Q695" s="9" cm="1">
        <f t="array" ref="Q695:S695">VLOOKUP(P695,Hoja1!C:F,{2,3,4},FALSE)</f>
        <v>46269</v>
      </c>
      <c r="R695" t="str">
        <v>C28</v>
      </c>
      <c r="S695" t="str">
        <v>1000001683 PIACENZA SRL</v>
      </c>
    </row>
    <row r="696" spans="1:19" x14ac:dyDescent="0.3">
      <c r="A696" s="2" t="s">
        <v>14</v>
      </c>
      <c r="B696" s="3" t="s">
        <v>14</v>
      </c>
      <c r="C696" s="3" t="s">
        <v>625</v>
      </c>
      <c r="D696" s="3" t="s">
        <v>14</v>
      </c>
      <c r="E696" s="3" t="s">
        <v>107</v>
      </c>
      <c r="F696" s="4">
        <v>46281</v>
      </c>
      <c r="G696" s="3" t="s">
        <v>44</v>
      </c>
      <c r="H696" s="6">
        <v>-56368.26</v>
      </c>
      <c r="I696" s="3" t="s">
        <v>17</v>
      </c>
      <c r="J696" s="3" t="s">
        <v>14</v>
      </c>
      <c r="K696" s="3" t="s">
        <v>14</v>
      </c>
      <c r="L696" s="3" t="s">
        <v>523</v>
      </c>
      <c r="M696" s="4">
        <v>46293</v>
      </c>
      <c r="N696" s="3" t="s">
        <v>626</v>
      </c>
      <c r="O696" s="3" t="s">
        <v>25</v>
      </c>
      <c r="P696" t="str">
        <f t="shared" si="10"/>
        <v>450013464670</v>
      </c>
      <c r="Q696" s="9" cm="1">
        <f t="array" ref="Q696:S696">VLOOKUP(P696,Hoja1!C:F,{2,3,4},FALSE)</f>
        <v>46269</v>
      </c>
      <c r="R696" t="str">
        <v>C28</v>
      </c>
      <c r="S696" t="str">
        <v>1000001683 PIACENZA SRL</v>
      </c>
    </row>
    <row r="697" spans="1:19" x14ac:dyDescent="0.3">
      <c r="A697" s="2" t="s">
        <v>14</v>
      </c>
      <c r="B697" s="3" t="s">
        <v>14</v>
      </c>
      <c r="C697" s="3" t="s">
        <v>625</v>
      </c>
      <c r="D697" s="3" t="s">
        <v>14</v>
      </c>
      <c r="E697" s="3" t="s">
        <v>107</v>
      </c>
      <c r="F697" s="4">
        <v>46281</v>
      </c>
      <c r="G697" s="3" t="s">
        <v>44</v>
      </c>
      <c r="H697" s="6">
        <v>-253657.17</v>
      </c>
      <c r="I697" s="3" t="s">
        <v>17</v>
      </c>
      <c r="J697" s="3" t="s">
        <v>14</v>
      </c>
      <c r="K697" s="3" t="s">
        <v>14</v>
      </c>
      <c r="L697" s="3" t="s">
        <v>523</v>
      </c>
      <c r="M697" s="4">
        <v>46293</v>
      </c>
      <c r="N697" s="3" t="s">
        <v>626</v>
      </c>
      <c r="O697" s="3" t="s">
        <v>343</v>
      </c>
      <c r="P697" t="str">
        <f t="shared" si="10"/>
        <v>450013464680</v>
      </c>
      <c r="Q697" s="9" cm="1">
        <f t="array" ref="Q697:S697">VLOOKUP(P697,Hoja1!C:F,{2,3,4},FALSE)</f>
        <v>46269</v>
      </c>
      <c r="R697" t="str">
        <v>C28</v>
      </c>
      <c r="S697" t="str">
        <v>1000001683 PIACENZA SRL</v>
      </c>
    </row>
    <row r="698" spans="1:19" x14ac:dyDescent="0.3">
      <c r="A698" s="2" t="s">
        <v>14</v>
      </c>
      <c r="B698" s="3" t="s">
        <v>14</v>
      </c>
      <c r="C698" s="3" t="s">
        <v>625</v>
      </c>
      <c r="D698" s="3" t="s">
        <v>14</v>
      </c>
      <c r="E698" s="3" t="s">
        <v>107</v>
      </c>
      <c r="F698" s="4">
        <v>46281</v>
      </c>
      <c r="G698" s="3" t="s">
        <v>44</v>
      </c>
      <c r="H698" s="6">
        <v>-1014628.68</v>
      </c>
      <c r="I698" s="3" t="s">
        <v>17</v>
      </c>
      <c r="J698" s="3" t="s">
        <v>14</v>
      </c>
      <c r="K698" s="3" t="s">
        <v>14</v>
      </c>
      <c r="L698" s="3" t="s">
        <v>523</v>
      </c>
      <c r="M698" s="4">
        <v>46293</v>
      </c>
      <c r="N698" s="3" t="s">
        <v>626</v>
      </c>
      <c r="O698" s="3" t="s">
        <v>344</v>
      </c>
      <c r="P698" t="str">
        <f t="shared" si="10"/>
        <v>450013464690</v>
      </c>
      <c r="Q698" s="9" cm="1">
        <f t="array" ref="Q698:S698">VLOOKUP(P698,Hoja1!C:F,{2,3,4},FALSE)</f>
        <v>46269</v>
      </c>
      <c r="R698" t="str">
        <v>C28</v>
      </c>
      <c r="S698" t="str">
        <v>1000001683 PIACENZA SRL</v>
      </c>
    </row>
    <row r="699" spans="1:19" x14ac:dyDescent="0.3">
      <c r="A699" s="2" t="s">
        <v>14</v>
      </c>
      <c r="B699" s="3" t="s">
        <v>14</v>
      </c>
      <c r="C699" s="3" t="s">
        <v>625</v>
      </c>
      <c r="D699" s="3" t="s">
        <v>14</v>
      </c>
      <c r="E699" s="3" t="s">
        <v>107</v>
      </c>
      <c r="F699" s="4">
        <v>46281</v>
      </c>
      <c r="G699" s="3" t="s">
        <v>44</v>
      </c>
      <c r="H699" s="6">
        <v>-112736.52</v>
      </c>
      <c r="I699" s="3" t="s">
        <v>17</v>
      </c>
      <c r="J699" s="3" t="s">
        <v>14</v>
      </c>
      <c r="K699" s="3" t="s">
        <v>14</v>
      </c>
      <c r="L699" s="3" t="s">
        <v>523</v>
      </c>
      <c r="M699" s="4">
        <v>46293</v>
      </c>
      <c r="N699" s="3" t="s">
        <v>626</v>
      </c>
      <c r="O699" s="3" t="s">
        <v>345</v>
      </c>
      <c r="P699" t="str">
        <f t="shared" si="10"/>
        <v>4500134646100</v>
      </c>
      <c r="Q699" s="9" cm="1">
        <f t="array" ref="Q699:S699">VLOOKUP(P699,Hoja1!C:F,{2,3,4},FALSE)</f>
        <v>46269</v>
      </c>
      <c r="R699" t="str">
        <v>C28</v>
      </c>
      <c r="S699" t="str">
        <v>1000001683 PIACENZA SRL</v>
      </c>
    </row>
    <row r="700" spans="1:19" x14ac:dyDescent="0.3">
      <c r="A700" s="2" t="s">
        <v>14</v>
      </c>
      <c r="B700" s="3" t="s">
        <v>14</v>
      </c>
      <c r="C700" s="3" t="s">
        <v>625</v>
      </c>
      <c r="D700" s="3" t="s">
        <v>14</v>
      </c>
      <c r="E700" s="3" t="s">
        <v>107</v>
      </c>
      <c r="F700" s="4">
        <v>46281</v>
      </c>
      <c r="G700" s="3" t="s">
        <v>44</v>
      </c>
      <c r="H700" s="6">
        <v>-61995.96</v>
      </c>
      <c r="I700" s="3" t="s">
        <v>17</v>
      </c>
      <c r="J700" s="3" t="s">
        <v>14</v>
      </c>
      <c r="K700" s="3" t="s">
        <v>14</v>
      </c>
      <c r="L700" s="3" t="s">
        <v>523</v>
      </c>
      <c r="M700" s="4">
        <v>46293</v>
      </c>
      <c r="N700" s="3" t="s">
        <v>626</v>
      </c>
      <c r="O700" s="3" t="s">
        <v>193</v>
      </c>
      <c r="P700" t="str">
        <f t="shared" si="10"/>
        <v>4500134646110</v>
      </c>
      <c r="Q700" s="9" cm="1">
        <f t="array" ref="Q700:S700">VLOOKUP(P700,Hoja1!C:F,{2,3,4},FALSE)</f>
        <v>46269</v>
      </c>
      <c r="R700" t="str">
        <v>C28</v>
      </c>
      <c r="S700" t="str">
        <v>1000001683 PIACENZA SRL</v>
      </c>
    </row>
    <row r="701" spans="1:19" x14ac:dyDescent="0.3">
      <c r="A701" s="2" t="s">
        <v>14</v>
      </c>
      <c r="B701" s="3" t="s">
        <v>14</v>
      </c>
      <c r="C701" s="3" t="s">
        <v>625</v>
      </c>
      <c r="D701" s="3" t="s">
        <v>14</v>
      </c>
      <c r="E701" s="3" t="s">
        <v>107</v>
      </c>
      <c r="F701" s="4">
        <v>46281</v>
      </c>
      <c r="G701" s="3" t="s">
        <v>44</v>
      </c>
      <c r="H701" s="6">
        <v>-526965.66</v>
      </c>
      <c r="I701" s="3" t="s">
        <v>17</v>
      </c>
      <c r="J701" s="3" t="s">
        <v>14</v>
      </c>
      <c r="K701" s="3" t="s">
        <v>14</v>
      </c>
      <c r="L701" s="3" t="s">
        <v>523</v>
      </c>
      <c r="M701" s="4">
        <v>46293</v>
      </c>
      <c r="N701" s="3" t="s">
        <v>626</v>
      </c>
      <c r="O701" s="3" t="s">
        <v>400</v>
      </c>
      <c r="P701" t="str">
        <f t="shared" si="10"/>
        <v>4500134646120</v>
      </c>
      <c r="Q701" s="9" cm="1">
        <f t="array" ref="Q701:S701">VLOOKUP(P701,Hoja1!C:F,{2,3,4},FALSE)</f>
        <v>46269</v>
      </c>
      <c r="R701" t="str">
        <v>C28</v>
      </c>
      <c r="S701" t="str">
        <v>1000001683 PIACENZA SRL</v>
      </c>
    </row>
    <row r="702" spans="1:19" x14ac:dyDescent="0.3">
      <c r="A702" s="2" t="s">
        <v>14</v>
      </c>
      <c r="B702" s="3" t="s">
        <v>14</v>
      </c>
      <c r="C702" s="3" t="s">
        <v>627</v>
      </c>
      <c r="D702" s="3" t="s">
        <v>14</v>
      </c>
      <c r="E702" s="3" t="s">
        <v>107</v>
      </c>
      <c r="F702" s="4">
        <v>46281</v>
      </c>
      <c r="G702" s="3" t="s">
        <v>44</v>
      </c>
      <c r="H702" s="6">
        <v>-5523709.2300000004</v>
      </c>
      <c r="I702" s="3" t="s">
        <v>17</v>
      </c>
      <c r="J702" s="3" t="s">
        <v>14</v>
      </c>
      <c r="K702" s="3" t="s">
        <v>14</v>
      </c>
      <c r="L702" s="3" t="s">
        <v>523</v>
      </c>
      <c r="M702" s="4">
        <v>46293</v>
      </c>
      <c r="N702" s="3" t="s">
        <v>626</v>
      </c>
      <c r="O702" s="3" t="s">
        <v>26</v>
      </c>
      <c r="P702" t="str">
        <f t="shared" si="10"/>
        <v>450013464640</v>
      </c>
      <c r="Q702" s="9" cm="1">
        <f t="array" ref="Q702:S702">VLOOKUP(P702,Hoja1!C:F,{2,3,4},FALSE)</f>
        <v>46269</v>
      </c>
      <c r="R702" t="str">
        <v>C28</v>
      </c>
      <c r="S702" t="str">
        <v>1000001683 PIACENZA SRL</v>
      </c>
    </row>
    <row r="703" spans="1:19" x14ac:dyDescent="0.3">
      <c r="A703" s="2" t="s">
        <v>14</v>
      </c>
      <c r="B703" s="3" t="s">
        <v>14</v>
      </c>
      <c r="C703" s="3" t="s">
        <v>628</v>
      </c>
      <c r="D703" s="3" t="s">
        <v>14</v>
      </c>
      <c r="E703" s="3" t="s">
        <v>107</v>
      </c>
      <c r="F703" s="4">
        <v>46290</v>
      </c>
      <c r="G703" s="3" t="s">
        <v>44</v>
      </c>
      <c r="H703" s="6">
        <v>-415689.3</v>
      </c>
      <c r="I703" s="3" t="s">
        <v>17</v>
      </c>
      <c r="J703" s="3" t="s">
        <v>14</v>
      </c>
      <c r="K703" s="3" t="s">
        <v>14</v>
      </c>
      <c r="L703" s="3" t="s">
        <v>19</v>
      </c>
      <c r="M703" s="4">
        <v>46293</v>
      </c>
      <c r="N703" s="3" t="s">
        <v>629</v>
      </c>
      <c r="O703" s="3" t="s">
        <v>34</v>
      </c>
      <c r="P703" t="str">
        <f t="shared" si="10"/>
        <v>450013913410</v>
      </c>
      <c r="Q703" s="9" cm="1">
        <f t="array" ref="Q703:S703">VLOOKUP(P703,Hoja1!C:F,{2,3,4},FALSE)</f>
        <v>46297</v>
      </c>
      <c r="R703" t="str">
        <v>F06</v>
      </c>
      <c r="S703" t="str">
        <v>1000001470 SUDAMERICANA CAMIONES SA</v>
      </c>
    </row>
    <row r="704" spans="1:19" x14ac:dyDescent="0.3">
      <c r="A704" s="2" t="s">
        <v>14</v>
      </c>
      <c r="B704" s="3" t="s">
        <v>14</v>
      </c>
      <c r="C704" s="3" t="s">
        <v>628</v>
      </c>
      <c r="D704" s="3" t="s">
        <v>14</v>
      </c>
      <c r="E704" s="3" t="s">
        <v>107</v>
      </c>
      <c r="F704" s="4">
        <v>46290</v>
      </c>
      <c r="G704" s="3" t="s">
        <v>44</v>
      </c>
      <c r="H704" s="6">
        <v>-942624.54</v>
      </c>
      <c r="I704" s="3" t="s">
        <v>17</v>
      </c>
      <c r="J704" s="3" t="s">
        <v>14</v>
      </c>
      <c r="K704" s="3" t="s">
        <v>14</v>
      </c>
      <c r="L704" s="3" t="s">
        <v>19</v>
      </c>
      <c r="M704" s="4">
        <v>46293</v>
      </c>
      <c r="N704" s="3" t="s">
        <v>629</v>
      </c>
      <c r="O704" s="3" t="s">
        <v>21</v>
      </c>
      <c r="P704" t="str">
        <f t="shared" si="10"/>
        <v>450013913420</v>
      </c>
      <c r="Q704" s="9" cm="1">
        <f t="array" ref="Q704:S704">VLOOKUP(P704,Hoja1!C:F,{2,3,4},FALSE)</f>
        <v>46297</v>
      </c>
      <c r="R704" t="str">
        <v>F06</v>
      </c>
      <c r="S704" t="str">
        <v>1000001470 SUDAMERICANA CAMIONES SA</v>
      </c>
    </row>
    <row r="705" spans="1:19" x14ac:dyDescent="0.3">
      <c r="A705" s="2" t="s">
        <v>14</v>
      </c>
      <c r="B705" s="3" t="s">
        <v>14</v>
      </c>
      <c r="C705" s="3" t="s">
        <v>628</v>
      </c>
      <c r="D705" s="3" t="s">
        <v>14</v>
      </c>
      <c r="E705" s="3" t="s">
        <v>107</v>
      </c>
      <c r="F705" s="4">
        <v>46290</v>
      </c>
      <c r="G705" s="3" t="s">
        <v>44</v>
      </c>
      <c r="H705" s="6">
        <v>-89921.52</v>
      </c>
      <c r="I705" s="3" t="s">
        <v>17</v>
      </c>
      <c r="J705" s="3" t="s">
        <v>14</v>
      </c>
      <c r="K705" s="3" t="s">
        <v>14</v>
      </c>
      <c r="L705" s="3" t="s">
        <v>19</v>
      </c>
      <c r="M705" s="4">
        <v>46293</v>
      </c>
      <c r="N705" s="3" t="s">
        <v>629</v>
      </c>
      <c r="O705" s="3" t="s">
        <v>22</v>
      </c>
      <c r="P705" t="str">
        <f t="shared" si="10"/>
        <v>450013913430</v>
      </c>
      <c r="Q705" s="9" cm="1">
        <f t="array" ref="Q705:S705">VLOOKUP(P705,Hoja1!C:F,{2,3,4},FALSE)</f>
        <v>46297</v>
      </c>
      <c r="R705" t="str">
        <v>F06</v>
      </c>
      <c r="S705" t="str">
        <v>1000001470 SUDAMERICANA CAMIONES SA</v>
      </c>
    </row>
    <row r="706" spans="1:19" x14ac:dyDescent="0.3">
      <c r="A706" s="2" t="s">
        <v>14</v>
      </c>
      <c r="B706" s="3" t="s">
        <v>14</v>
      </c>
      <c r="C706" s="3" t="s">
        <v>628</v>
      </c>
      <c r="D706" s="3" t="s">
        <v>14</v>
      </c>
      <c r="E706" s="3" t="s">
        <v>107</v>
      </c>
      <c r="F706" s="4">
        <v>46290</v>
      </c>
      <c r="G706" s="3" t="s">
        <v>44</v>
      </c>
      <c r="H706" s="6">
        <v>-544031.28</v>
      </c>
      <c r="I706" s="3" t="s">
        <v>17</v>
      </c>
      <c r="J706" s="3" t="s">
        <v>14</v>
      </c>
      <c r="K706" s="3" t="s">
        <v>14</v>
      </c>
      <c r="L706" s="3" t="s">
        <v>19</v>
      </c>
      <c r="M706" s="4">
        <v>46293</v>
      </c>
      <c r="N706" s="3" t="s">
        <v>629</v>
      </c>
      <c r="O706" s="3" t="s">
        <v>26</v>
      </c>
      <c r="P706" t="str">
        <f t="shared" si="10"/>
        <v>450013913440</v>
      </c>
      <c r="Q706" s="9" cm="1">
        <f t="array" ref="Q706:S706">VLOOKUP(P706,Hoja1!C:F,{2,3,4},FALSE)</f>
        <v>46297</v>
      </c>
      <c r="R706" t="str">
        <v>F06</v>
      </c>
      <c r="S706" t="str">
        <v>1000001470 SUDAMERICANA CAMIONES SA</v>
      </c>
    </row>
    <row r="707" spans="1:19" x14ac:dyDescent="0.3">
      <c r="A707" s="2" t="s">
        <v>14</v>
      </c>
      <c r="B707" s="3" t="s">
        <v>14</v>
      </c>
      <c r="C707" s="3" t="s">
        <v>630</v>
      </c>
      <c r="D707" s="3" t="s">
        <v>14</v>
      </c>
      <c r="E707" s="3" t="s">
        <v>107</v>
      </c>
      <c r="F707" s="4">
        <v>46294</v>
      </c>
      <c r="G707" s="3" t="s">
        <v>44</v>
      </c>
      <c r="H707" s="6">
        <v>-455373</v>
      </c>
      <c r="I707" s="3" t="s">
        <v>17</v>
      </c>
      <c r="J707" s="3" t="s">
        <v>14</v>
      </c>
      <c r="K707" s="3" t="s">
        <v>14</v>
      </c>
      <c r="L707" s="3" t="s">
        <v>631</v>
      </c>
      <c r="M707" s="4">
        <v>46294</v>
      </c>
      <c r="N707" s="3" t="s">
        <v>632</v>
      </c>
      <c r="O707" s="3" t="s">
        <v>34</v>
      </c>
      <c r="P707" t="str">
        <f t="shared" ref="P707:P770" si="11">_xlfn.CONCAT(N707:O707)</f>
        <v>450013649010</v>
      </c>
      <c r="Q707" s="9" cm="1">
        <f t="array" ref="Q707:S707">VLOOKUP(P707,Hoja1!C:F,{2,3,4},FALSE)</f>
        <v>46305</v>
      </c>
      <c r="R707" t="str">
        <v>C47</v>
      </c>
      <c r="S707" t="str">
        <v>1000002774 MILLA MAR DEL PLATA S.A.</v>
      </c>
    </row>
    <row r="708" spans="1:19" x14ac:dyDescent="0.3">
      <c r="A708" s="2" t="s">
        <v>14</v>
      </c>
      <c r="B708" s="3" t="s">
        <v>14</v>
      </c>
      <c r="C708" s="3" t="s">
        <v>633</v>
      </c>
      <c r="D708" s="3" t="s">
        <v>14</v>
      </c>
      <c r="E708" s="3" t="s">
        <v>107</v>
      </c>
      <c r="F708" s="4">
        <v>46294</v>
      </c>
      <c r="G708" s="3" t="s">
        <v>44</v>
      </c>
      <c r="H708" s="6">
        <v>-38304000</v>
      </c>
      <c r="I708" s="3" t="s">
        <v>17</v>
      </c>
      <c r="J708" s="3" t="s">
        <v>14</v>
      </c>
      <c r="K708" s="3" t="s">
        <v>14</v>
      </c>
      <c r="L708" s="3" t="s">
        <v>631</v>
      </c>
      <c r="M708" s="4">
        <v>46294</v>
      </c>
      <c r="N708" s="3" t="s">
        <v>634</v>
      </c>
      <c r="O708" s="3" t="s">
        <v>34</v>
      </c>
      <c r="P708" t="str">
        <f t="shared" si="11"/>
        <v>450013667310</v>
      </c>
      <c r="Q708" s="9" cm="1">
        <f t="array" ref="Q708:S708">VLOOKUP(P708,Hoja1!C:F,{2,3,4},FALSE)</f>
        <v>46305</v>
      </c>
      <c r="R708" t="str">
        <v>C50</v>
      </c>
      <c r="S708" t="str">
        <v>1000002774 MILLA MAR DEL PLATA S.A.</v>
      </c>
    </row>
    <row r="709" spans="1:19" x14ac:dyDescent="0.3">
      <c r="A709" s="2" t="s">
        <v>14</v>
      </c>
      <c r="B709" s="3" t="s">
        <v>14</v>
      </c>
      <c r="C709" s="3" t="s">
        <v>635</v>
      </c>
      <c r="D709" s="3" t="s">
        <v>14</v>
      </c>
      <c r="E709" s="3" t="s">
        <v>107</v>
      </c>
      <c r="F709" s="4">
        <v>46294</v>
      </c>
      <c r="G709" s="3" t="s">
        <v>44</v>
      </c>
      <c r="H709" s="6">
        <v>-934777.2</v>
      </c>
      <c r="I709" s="3" t="s">
        <v>17</v>
      </c>
      <c r="J709" s="3" t="s">
        <v>14</v>
      </c>
      <c r="K709" s="3" t="s">
        <v>14</v>
      </c>
      <c r="L709" s="3" t="s">
        <v>19</v>
      </c>
      <c r="M709" s="4">
        <v>46294</v>
      </c>
      <c r="N709" s="3" t="s">
        <v>636</v>
      </c>
      <c r="O709" s="3" t="s">
        <v>34</v>
      </c>
      <c r="P709" t="str">
        <f t="shared" si="11"/>
        <v>450013724010</v>
      </c>
      <c r="Q709" s="9" cm="1">
        <f t="array" ref="Q709:S709">VLOOKUP(P709,Hoja1!C:F,{2,3,4},FALSE)</f>
        <v>46290</v>
      </c>
      <c r="R709" t="str">
        <v>C03</v>
      </c>
      <c r="S709" t="str">
        <v>1000001470 SUDAMERICANA CAMIONES SA</v>
      </c>
    </row>
    <row r="710" spans="1:19" x14ac:dyDescent="0.3">
      <c r="A710" s="2" t="s">
        <v>14</v>
      </c>
      <c r="B710" s="3" t="s">
        <v>14</v>
      </c>
      <c r="C710" s="3" t="s">
        <v>637</v>
      </c>
      <c r="D710" s="3" t="s">
        <v>14</v>
      </c>
      <c r="E710" s="3" t="s">
        <v>107</v>
      </c>
      <c r="F710" s="4">
        <v>46294</v>
      </c>
      <c r="G710" s="3" t="s">
        <v>44</v>
      </c>
      <c r="H710" s="6">
        <v>-330000</v>
      </c>
      <c r="I710" s="3" t="s">
        <v>17</v>
      </c>
      <c r="J710" s="3" t="s">
        <v>14</v>
      </c>
      <c r="K710" s="3" t="s">
        <v>14</v>
      </c>
      <c r="L710" s="3" t="s">
        <v>638</v>
      </c>
      <c r="M710" s="4">
        <v>46294</v>
      </c>
      <c r="N710" s="3" t="s">
        <v>639</v>
      </c>
      <c r="O710" s="3" t="s">
        <v>34</v>
      </c>
      <c r="P710" t="str">
        <f t="shared" si="11"/>
        <v>450012086910</v>
      </c>
      <c r="Q710" s="9" cm="1">
        <f t="array" ref="Q710:S710">VLOOKUP(P710,Hoja1!C:F,{2,3,4},FALSE)</f>
        <v>46072</v>
      </c>
      <c r="R710" t="str">
        <v>EFO</v>
      </c>
      <c r="S710" t="str">
        <v>1000001262 MIGUEL ANGEL ALVAREZ</v>
      </c>
    </row>
    <row r="711" spans="1:19" x14ac:dyDescent="0.3">
      <c r="A711" s="2" t="s">
        <v>14</v>
      </c>
      <c r="B711" s="3" t="s">
        <v>14</v>
      </c>
      <c r="C711" s="3" t="s">
        <v>640</v>
      </c>
      <c r="D711" s="3" t="s">
        <v>14</v>
      </c>
      <c r="E711" s="3" t="s">
        <v>107</v>
      </c>
      <c r="F711" s="4">
        <v>46294</v>
      </c>
      <c r="G711" s="3" t="s">
        <v>44</v>
      </c>
      <c r="H711" s="6">
        <v>-2402526</v>
      </c>
      <c r="I711" s="3" t="s">
        <v>17</v>
      </c>
      <c r="J711" s="3" t="s">
        <v>14</v>
      </c>
      <c r="K711" s="3" t="s">
        <v>14</v>
      </c>
      <c r="L711" s="3" t="s">
        <v>53</v>
      </c>
      <c r="M711" s="4">
        <v>46294</v>
      </c>
      <c r="N711" s="3" t="s">
        <v>641</v>
      </c>
      <c r="O711" s="3" t="s">
        <v>34</v>
      </c>
      <c r="P711" t="str">
        <f t="shared" si="11"/>
        <v>450013692310</v>
      </c>
      <c r="Q711" s="9" cm="1">
        <f t="array" ref="Q711:S711">VLOOKUP(P711,Hoja1!C:F,{2,3,4},FALSE)</f>
        <v>46295</v>
      </c>
      <c r="R711" t="str">
        <v>C04</v>
      </c>
      <c r="S711" t="str">
        <v>1000002834 J.M.F. VIAL &amp; PARTS SAS</v>
      </c>
    </row>
    <row r="712" spans="1:19" x14ac:dyDescent="0.3">
      <c r="A712" s="2" t="s">
        <v>14</v>
      </c>
      <c r="B712" s="3" t="s">
        <v>14</v>
      </c>
      <c r="C712" s="3" t="s">
        <v>642</v>
      </c>
      <c r="D712" s="3" t="s">
        <v>14</v>
      </c>
      <c r="E712" s="3" t="s">
        <v>107</v>
      </c>
      <c r="F712" s="4">
        <v>46294</v>
      </c>
      <c r="G712" s="3" t="s">
        <v>44</v>
      </c>
      <c r="H712" s="6">
        <v>-2402526</v>
      </c>
      <c r="I712" s="3" t="s">
        <v>17</v>
      </c>
      <c r="J712" s="3" t="s">
        <v>14</v>
      </c>
      <c r="K712" s="3" t="s">
        <v>14</v>
      </c>
      <c r="L712" s="3" t="s">
        <v>53</v>
      </c>
      <c r="M712" s="4">
        <v>46294</v>
      </c>
      <c r="N712" s="3" t="s">
        <v>641</v>
      </c>
      <c r="O712" s="3" t="s">
        <v>21</v>
      </c>
      <c r="P712" t="str">
        <f t="shared" si="11"/>
        <v>450013692320</v>
      </c>
      <c r="Q712" s="9" cm="1">
        <f t="array" ref="Q712:S712">VLOOKUP(P712,Hoja1!C:F,{2,3,4},FALSE)</f>
        <v>46295</v>
      </c>
      <c r="R712" t="str">
        <v>C04</v>
      </c>
      <c r="S712" t="str">
        <v>1000002834 J.M.F. VIAL &amp; PARTS SAS</v>
      </c>
    </row>
    <row r="713" spans="1:19" x14ac:dyDescent="0.3">
      <c r="A713" s="2" t="s">
        <v>14</v>
      </c>
      <c r="B713" s="3" t="s">
        <v>14</v>
      </c>
      <c r="C713" s="3" t="s">
        <v>643</v>
      </c>
      <c r="D713" s="3" t="s">
        <v>14</v>
      </c>
      <c r="E713" s="3" t="s">
        <v>107</v>
      </c>
      <c r="F713" s="4">
        <v>46287</v>
      </c>
      <c r="G713" s="3" t="s">
        <v>44</v>
      </c>
      <c r="H713" s="6">
        <v>-1631502.21</v>
      </c>
      <c r="I713" s="3" t="s">
        <v>17</v>
      </c>
      <c r="J713" s="3" t="s">
        <v>14</v>
      </c>
      <c r="K713" s="3" t="s">
        <v>14</v>
      </c>
      <c r="L713" s="3" t="s">
        <v>506</v>
      </c>
      <c r="M713" s="4">
        <v>46294</v>
      </c>
      <c r="N713" s="3" t="s">
        <v>644</v>
      </c>
      <c r="O713" s="3" t="s">
        <v>34</v>
      </c>
      <c r="P713" t="str">
        <f t="shared" si="11"/>
        <v>450013813110</v>
      </c>
      <c r="Q713" s="9" cm="1">
        <f t="array" ref="Q713:S713">VLOOKUP(P713,Hoja1!C:F,{2,3,4},FALSE)</f>
        <v>46297</v>
      </c>
      <c r="R713" t="str">
        <v>L02</v>
      </c>
      <c r="S713" t="str">
        <v>1000000038 YPF S.A.</v>
      </c>
    </row>
    <row r="714" spans="1:19" x14ac:dyDescent="0.3">
      <c r="A714" s="2" t="s">
        <v>14</v>
      </c>
      <c r="B714" s="3" t="s">
        <v>14</v>
      </c>
      <c r="C714" s="3" t="s">
        <v>645</v>
      </c>
      <c r="D714" s="3" t="s">
        <v>14</v>
      </c>
      <c r="E714" s="3" t="s">
        <v>107</v>
      </c>
      <c r="F714" s="4">
        <v>46294</v>
      </c>
      <c r="G714" s="3" t="s">
        <v>44</v>
      </c>
      <c r="H714" s="6">
        <v>-234500</v>
      </c>
      <c r="I714" s="3" t="s">
        <v>17</v>
      </c>
      <c r="J714" s="3" t="s">
        <v>14</v>
      </c>
      <c r="K714" s="3" t="s">
        <v>14</v>
      </c>
      <c r="L714" s="3" t="s">
        <v>424</v>
      </c>
      <c r="M714" s="4">
        <v>46294</v>
      </c>
      <c r="N714" s="3" t="s">
        <v>425</v>
      </c>
      <c r="O714" s="3" t="s">
        <v>348</v>
      </c>
      <c r="P714" t="str">
        <f t="shared" si="11"/>
        <v>4500133974210</v>
      </c>
      <c r="Q714" s="9" cm="1">
        <f t="array" ref="Q714:S714">VLOOKUP(P714,Hoja1!C:F,{2,3,4},FALSE)</f>
        <v>46295</v>
      </c>
      <c r="R714" t="str">
        <v>C03</v>
      </c>
      <c r="S714" t="str">
        <v>1000000754 AURELIA SACIYF</v>
      </c>
    </row>
    <row r="715" spans="1:19" x14ac:dyDescent="0.3">
      <c r="A715" s="2" t="s">
        <v>14</v>
      </c>
      <c r="B715" s="3" t="s">
        <v>14</v>
      </c>
      <c r="C715" s="3" t="s">
        <v>646</v>
      </c>
      <c r="D715" s="3" t="s">
        <v>14</v>
      </c>
      <c r="E715" s="3" t="s">
        <v>107</v>
      </c>
      <c r="F715" s="4">
        <v>46295</v>
      </c>
      <c r="G715" s="3" t="s">
        <v>44</v>
      </c>
      <c r="H715" s="6">
        <v>-28680750</v>
      </c>
      <c r="I715" s="3" t="s">
        <v>17</v>
      </c>
      <c r="J715" s="3" t="s">
        <v>14</v>
      </c>
      <c r="K715" s="3" t="s">
        <v>14</v>
      </c>
      <c r="L715" s="3" t="s">
        <v>631</v>
      </c>
      <c r="M715" s="4">
        <v>46295</v>
      </c>
      <c r="N715" s="3" t="s">
        <v>634</v>
      </c>
      <c r="O715" s="3" t="s">
        <v>34</v>
      </c>
      <c r="P715" t="str">
        <f t="shared" si="11"/>
        <v>450013667310</v>
      </c>
      <c r="Q715" s="9" cm="1">
        <f t="array" ref="Q715:S715">VLOOKUP(P715,Hoja1!C:F,{2,3,4},FALSE)</f>
        <v>46305</v>
      </c>
      <c r="R715" t="str">
        <v>C50</v>
      </c>
      <c r="S715" t="str">
        <v>1000002774 MILLA MAR DEL PLATA S.A.</v>
      </c>
    </row>
    <row r="716" spans="1:19" x14ac:dyDescent="0.3">
      <c r="A716" s="2" t="s">
        <v>14</v>
      </c>
      <c r="B716" s="3" t="s">
        <v>14</v>
      </c>
      <c r="C716" s="3" t="s">
        <v>647</v>
      </c>
      <c r="D716" s="3" t="s">
        <v>14</v>
      </c>
      <c r="E716" s="3" t="s">
        <v>107</v>
      </c>
      <c r="F716" s="4">
        <v>46295</v>
      </c>
      <c r="G716" s="3" t="s">
        <v>44</v>
      </c>
      <c r="H716" s="6">
        <v>-478511</v>
      </c>
      <c r="I716" s="3" t="s">
        <v>17</v>
      </c>
      <c r="J716" s="3" t="s">
        <v>14</v>
      </c>
      <c r="K716" s="3" t="s">
        <v>14</v>
      </c>
      <c r="L716" s="3" t="s">
        <v>616</v>
      </c>
      <c r="M716" s="4">
        <v>46295</v>
      </c>
      <c r="N716" s="3" t="s">
        <v>648</v>
      </c>
      <c r="O716" s="3" t="s">
        <v>34</v>
      </c>
      <c r="P716" t="str">
        <f t="shared" si="11"/>
        <v>450013918210</v>
      </c>
      <c r="Q716" s="9" cm="1">
        <f t="array" ref="Q716:S716">VLOOKUP(P716,Hoja1!C:F,{2,3,4},FALSE)</f>
        <v>46300</v>
      </c>
      <c r="R716" t="str">
        <v>F07</v>
      </c>
      <c r="S716" t="str">
        <v>1000001154 TRAVEL FILTERS SRL</v>
      </c>
    </row>
    <row r="717" spans="1:19" x14ac:dyDescent="0.3">
      <c r="A717" s="2" t="s">
        <v>14</v>
      </c>
      <c r="B717" s="3" t="s">
        <v>14</v>
      </c>
      <c r="C717" s="3" t="s">
        <v>649</v>
      </c>
      <c r="D717" s="3" t="s">
        <v>14</v>
      </c>
      <c r="E717" s="3" t="s">
        <v>107</v>
      </c>
      <c r="F717" s="4">
        <v>46291</v>
      </c>
      <c r="G717" s="3" t="s">
        <v>44</v>
      </c>
      <c r="H717" s="6">
        <v>-383529.21</v>
      </c>
      <c r="I717" s="3" t="s">
        <v>17</v>
      </c>
      <c r="J717" s="3" t="s">
        <v>14</v>
      </c>
      <c r="K717" s="3" t="s">
        <v>14</v>
      </c>
      <c r="L717" s="3" t="s">
        <v>650</v>
      </c>
      <c r="M717" s="4">
        <v>46295</v>
      </c>
      <c r="N717" s="3" t="s">
        <v>651</v>
      </c>
      <c r="O717" s="3" t="s">
        <v>34</v>
      </c>
      <c r="P717" t="str">
        <f t="shared" si="11"/>
        <v>450013914910</v>
      </c>
      <c r="Q717" s="9" cm="1">
        <f t="array" ref="Q717:S717">VLOOKUP(P717,Hoja1!C:F,{2,3,4},FALSE)</f>
        <v>46294</v>
      </c>
      <c r="R717" t="str">
        <v>C17</v>
      </c>
      <c r="S717" t="str">
        <v>1000013664 RAMOS ROBERTO DANIEL</v>
      </c>
    </row>
    <row r="718" spans="1:19" x14ac:dyDescent="0.3">
      <c r="A718" s="2" t="s">
        <v>14</v>
      </c>
      <c r="B718" s="3" t="s">
        <v>14</v>
      </c>
      <c r="C718" s="3" t="s">
        <v>652</v>
      </c>
      <c r="D718" s="3" t="s">
        <v>14</v>
      </c>
      <c r="E718" s="3" t="s">
        <v>107</v>
      </c>
      <c r="F718" s="4">
        <v>46287</v>
      </c>
      <c r="G718" s="3" t="s">
        <v>44</v>
      </c>
      <c r="H718" s="6">
        <v>-59183.46</v>
      </c>
      <c r="I718" s="3" t="s">
        <v>17</v>
      </c>
      <c r="J718" s="3" t="s">
        <v>14</v>
      </c>
      <c r="K718" s="3" t="s">
        <v>14</v>
      </c>
      <c r="L718" s="3" t="s">
        <v>89</v>
      </c>
      <c r="M718" s="4">
        <v>46295</v>
      </c>
      <c r="N718" s="3" t="s">
        <v>653</v>
      </c>
      <c r="O718" s="3" t="s">
        <v>34</v>
      </c>
      <c r="P718" t="str">
        <f t="shared" si="11"/>
        <v>450013920410</v>
      </c>
      <c r="Q718" s="9" cm="1">
        <f t="array" ref="Q718:S718">VLOOKUP(P718,Hoja1!C:F,{2,3,4},FALSE)</f>
        <v>46302</v>
      </c>
      <c r="R718" t="str">
        <v>C28</v>
      </c>
      <c r="S718" t="str">
        <v>1000001028 SOSTEN S.A.</v>
      </c>
    </row>
    <row r="719" spans="1:19" x14ac:dyDescent="0.3">
      <c r="A719" s="2" t="s">
        <v>14</v>
      </c>
      <c r="B719" s="3" t="s">
        <v>14</v>
      </c>
      <c r="C719" s="3" t="s">
        <v>654</v>
      </c>
      <c r="D719" s="3" t="s">
        <v>56</v>
      </c>
      <c r="E719" s="3" t="s">
        <v>107</v>
      </c>
      <c r="F719" s="4">
        <v>46295</v>
      </c>
      <c r="G719" s="3" t="s">
        <v>44</v>
      </c>
      <c r="H719" s="6">
        <v>-205000</v>
      </c>
      <c r="I719" s="3" t="s">
        <v>17</v>
      </c>
      <c r="J719" s="3" t="s">
        <v>14</v>
      </c>
      <c r="K719" s="3" t="s">
        <v>14</v>
      </c>
      <c r="L719" s="3" t="s">
        <v>655</v>
      </c>
      <c r="M719" s="4">
        <v>46295</v>
      </c>
      <c r="N719" s="3" t="s">
        <v>656</v>
      </c>
      <c r="O719" s="3" t="s">
        <v>34</v>
      </c>
      <c r="P719" t="str">
        <f t="shared" si="11"/>
        <v>450010157010</v>
      </c>
      <c r="Q719" s="9" cm="1">
        <f t="array" ref="Q719:S719">VLOOKUP(P719,Hoja1!C:F,{2,3,4},FALSE)</f>
        <v>46325</v>
      </c>
      <c r="R719" t="str">
        <v>C25</v>
      </c>
      <c r="S719" t="str">
        <v>1000011956 CARDOSO JOSE DANIEL</v>
      </c>
    </row>
    <row r="720" spans="1:19" x14ac:dyDescent="0.3">
      <c r="A720" s="2" t="s">
        <v>14</v>
      </c>
      <c r="B720" s="3" t="s">
        <v>14</v>
      </c>
      <c r="C720" s="3" t="s">
        <v>657</v>
      </c>
      <c r="D720" s="3" t="s">
        <v>56</v>
      </c>
      <c r="E720" s="3" t="s">
        <v>107</v>
      </c>
      <c r="F720" s="4">
        <v>46295</v>
      </c>
      <c r="G720" s="3" t="s">
        <v>44</v>
      </c>
      <c r="H720" s="6">
        <v>-645000</v>
      </c>
      <c r="I720" s="3" t="s">
        <v>17</v>
      </c>
      <c r="J720" s="3" t="s">
        <v>14</v>
      </c>
      <c r="K720" s="3" t="s">
        <v>14</v>
      </c>
      <c r="L720" s="3" t="s">
        <v>658</v>
      </c>
      <c r="M720" s="4">
        <v>46295</v>
      </c>
      <c r="N720" s="3" t="s">
        <v>659</v>
      </c>
      <c r="O720" s="3" t="s">
        <v>34</v>
      </c>
      <c r="P720" t="str">
        <f t="shared" si="11"/>
        <v>450013266110</v>
      </c>
      <c r="Q720" s="9" cm="1">
        <f t="array" ref="Q720:S720">VLOOKUP(P720,Hoja1!C:F,{2,3,4},FALSE)</f>
        <v>46596</v>
      </c>
      <c r="R720" t="str">
        <v>C26</v>
      </c>
      <c r="S720" t="str">
        <v>1000003883 DOMINGUEZ ELIAS IVAN</v>
      </c>
    </row>
    <row r="721" spans="1:19" x14ac:dyDescent="0.3">
      <c r="A721" s="2" t="s">
        <v>14</v>
      </c>
      <c r="B721" s="3" t="s">
        <v>14</v>
      </c>
      <c r="C721" s="3" t="s">
        <v>657</v>
      </c>
      <c r="D721" s="3" t="s">
        <v>56</v>
      </c>
      <c r="E721" s="3" t="s">
        <v>107</v>
      </c>
      <c r="F721" s="4">
        <v>46295</v>
      </c>
      <c r="G721" s="3" t="s">
        <v>44</v>
      </c>
      <c r="H721" s="6">
        <v>-645000</v>
      </c>
      <c r="I721" s="3" t="s">
        <v>17</v>
      </c>
      <c r="J721" s="3" t="s">
        <v>14</v>
      </c>
      <c r="K721" s="3" t="s">
        <v>14</v>
      </c>
      <c r="L721" s="3" t="s">
        <v>658</v>
      </c>
      <c r="M721" s="4">
        <v>46295</v>
      </c>
      <c r="N721" s="3" t="s">
        <v>659</v>
      </c>
      <c r="O721" s="3" t="s">
        <v>21</v>
      </c>
      <c r="P721" t="str">
        <f t="shared" si="11"/>
        <v>450013266120</v>
      </c>
      <c r="Q721" s="9" cm="1">
        <f t="array" ref="Q721:S721">VLOOKUP(P721,Hoja1!C:F,{2,3,4},FALSE)</f>
        <v>46596</v>
      </c>
      <c r="R721" t="str">
        <v>C26</v>
      </c>
      <c r="S721" t="str">
        <v>1000003883 DOMINGUEZ ELIAS IVAN</v>
      </c>
    </row>
    <row r="722" spans="1:19" x14ac:dyDescent="0.3">
      <c r="A722" s="2" t="s">
        <v>14</v>
      </c>
      <c r="B722" s="3" t="s">
        <v>14</v>
      </c>
      <c r="C722" s="3" t="s">
        <v>657</v>
      </c>
      <c r="D722" s="3" t="s">
        <v>56</v>
      </c>
      <c r="E722" s="3" t="s">
        <v>107</v>
      </c>
      <c r="F722" s="4">
        <v>46295</v>
      </c>
      <c r="G722" s="3" t="s">
        <v>44</v>
      </c>
      <c r="H722" s="6">
        <v>-645000</v>
      </c>
      <c r="I722" s="3" t="s">
        <v>17</v>
      </c>
      <c r="J722" s="3" t="s">
        <v>14</v>
      </c>
      <c r="K722" s="3" t="s">
        <v>14</v>
      </c>
      <c r="L722" s="3" t="s">
        <v>658</v>
      </c>
      <c r="M722" s="4">
        <v>46295</v>
      </c>
      <c r="N722" s="3" t="s">
        <v>659</v>
      </c>
      <c r="O722" s="3" t="s">
        <v>22</v>
      </c>
      <c r="P722" t="str">
        <f t="shared" si="11"/>
        <v>450013266130</v>
      </c>
      <c r="Q722" s="9" cm="1">
        <f t="array" ref="Q722:S722">VLOOKUP(P722,Hoja1!C:F,{2,3,4},FALSE)</f>
        <v>46596</v>
      </c>
      <c r="R722" t="str">
        <v>C26</v>
      </c>
      <c r="S722" t="str">
        <v>1000003883 DOMINGUEZ ELIAS IVAN</v>
      </c>
    </row>
    <row r="723" spans="1:19" x14ac:dyDescent="0.3">
      <c r="A723" s="2" t="s">
        <v>14</v>
      </c>
      <c r="B723" s="3" t="s">
        <v>14</v>
      </c>
      <c r="C723" s="3" t="s">
        <v>660</v>
      </c>
      <c r="D723" s="3" t="s">
        <v>56</v>
      </c>
      <c r="E723" s="3" t="s">
        <v>107</v>
      </c>
      <c r="F723" s="4">
        <v>46295</v>
      </c>
      <c r="G723" s="3" t="s">
        <v>44</v>
      </c>
      <c r="H723" s="6">
        <v>-176000</v>
      </c>
      <c r="I723" s="3" t="s">
        <v>17</v>
      </c>
      <c r="J723" s="3" t="s">
        <v>14</v>
      </c>
      <c r="K723" s="3" t="s">
        <v>14</v>
      </c>
      <c r="L723" s="3" t="s">
        <v>661</v>
      </c>
      <c r="M723" s="4">
        <v>46295</v>
      </c>
      <c r="N723" s="3" t="s">
        <v>662</v>
      </c>
      <c r="O723" s="3" t="s">
        <v>34</v>
      </c>
      <c r="P723" t="str">
        <f t="shared" si="11"/>
        <v>450012426610</v>
      </c>
      <c r="Q723" s="9" cm="1">
        <f t="array" ref="Q723:S723">VLOOKUP(P723,Hoja1!C:F,{2,3,4},FALSE)</f>
        <v>46387</v>
      </c>
      <c r="R723" t="str">
        <v>C25</v>
      </c>
      <c r="S723" t="str">
        <v>1000008807 CRIMALDI BRUNO</v>
      </c>
    </row>
    <row r="724" spans="1:19" x14ac:dyDescent="0.3">
      <c r="A724" s="2" t="s">
        <v>14</v>
      </c>
      <c r="B724" s="3" t="s">
        <v>14</v>
      </c>
      <c r="C724" s="3" t="s">
        <v>660</v>
      </c>
      <c r="D724" s="3" t="s">
        <v>56</v>
      </c>
      <c r="E724" s="3" t="s">
        <v>107</v>
      </c>
      <c r="F724" s="4">
        <v>46295</v>
      </c>
      <c r="G724" s="3" t="s">
        <v>44</v>
      </c>
      <c r="H724" s="6">
        <v>-289100</v>
      </c>
      <c r="I724" s="3" t="s">
        <v>17</v>
      </c>
      <c r="J724" s="3" t="s">
        <v>14</v>
      </c>
      <c r="K724" s="3" t="s">
        <v>14</v>
      </c>
      <c r="L724" s="3" t="s">
        <v>661</v>
      </c>
      <c r="M724" s="4">
        <v>46295</v>
      </c>
      <c r="N724" s="3" t="s">
        <v>662</v>
      </c>
      <c r="O724" s="3" t="s">
        <v>21</v>
      </c>
      <c r="P724" t="str">
        <f t="shared" si="11"/>
        <v>450012426620</v>
      </c>
      <c r="Q724" s="9" cm="1">
        <f t="array" ref="Q724:S724">VLOOKUP(P724,Hoja1!C:F,{2,3,4},FALSE)</f>
        <v>46387</v>
      </c>
      <c r="R724" t="str">
        <v>C25</v>
      </c>
      <c r="S724" t="str">
        <v>1000008807 CRIMALDI BRUNO</v>
      </c>
    </row>
    <row r="725" spans="1:19" x14ac:dyDescent="0.3">
      <c r="A725" s="2" t="s">
        <v>14</v>
      </c>
      <c r="B725" s="3" t="s">
        <v>14</v>
      </c>
      <c r="C725" s="3" t="s">
        <v>663</v>
      </c>
      <c r="D725" s="3" t="s">
        <v>56</v>
      </c>
      <c r="E725" s="3" t="s">
        <v>107</v>
      </c>
      <c r="F725" s="4">
        <v>46295</v>
      </c>
      <c r="G725" s="3" t="s">
        <v>44</v>
      </c>
      <c r="H725" s="6">
        <v>-2124500</v>
      </c>
      <c r="I725" s="3" t="s">
        <v>17</v>
      </c>
      <c r="J725" s="3" t="s">
        <v>14</v>
      </c>
      <c r="K725" s="3" t="s">
        <v>14</v>
      </c>
      <c r="L725" s="3" t="s">
        <v>664</v>
      </c>
      <c r="M725" s="4">
        <v>46295</v>
      </c>
      <c r="N725" s="3" t="s">
        <v>665</v>
      </c>
      <c r="O725" s="3" t="s">
        <v>34</v>
      </c>
      <c r="P725" t="str">
        <f t="shared" si="11"/>
        <v>450013245910</v>
      </c>
      <c r="Q725" s="9" cm="1">
        <f t="array" ref="Q725:S725">VLOOKUP(P725,Hoja1!C:F,{2,3,4},FALSE)</f>
        <v>46326</v>
      </c>
      <c r="R725" t="str">
        <v>C25</v>
      </c>
      <c r="S725" t="str">
        <v>1000007459 SAVE TRACK S.A.</v>
      </c>
    </row>
    <row r="726" spans="1:19" x14ac:dyDescent="0.3">
      <c r="A726" s="2" t="s">
        <v>14</v>
      </c>
      <c r="B726" s="3" t="s">
        <v>14</v>
      </c>
      <c r="C726" s="3" t="s">
        <v>666</v>
      </c>
      <c r="D726" s="3" t="s">
        <v>14</v>
      </c>
      <c r="E726" s="3" t="s">
        <v>107</v>
      </c>
      <c r="F726" s="4">
        <v>46280</v>
      </c>
      <c r="G726" s="3" t="s">
        <v>44</v>
      </c>
      <c r="H726" s="6">
        <v>-127045.1</v>
      </c>
      <c r="I726" s="3" t="s">
        <v>17</v>
      </c>
      <c r="J726" s="3" t="s">
        <v>14</v>
      </c>
      <c r="K726" s="3" t="s">
        <v>14</v>
      </c>
      <c r="L726" s="3" t="s">
        <v>89</v>
      </c>
      <c r="M726" s="4">
        <v>46295</v>
      </c>
      <c r="N726" s="3" t="s">
        <v>597</v>
      </c>
      <c r="O726" s="3" t="s">
        <v>23</v>
      </c>
      <c r="P726" t="str">
        <f t="shared" si="11"/>
        <v>450013695650</v>
      </c>
      <c r="Q726" s="9" cm="1">
        <f t="array" ref="Q726:S726">VLOOKUP(P726,Hoja1!C:F,{2,3,4},FALSE)</f>
        <v>46275</v>
      </c>
      <c r="R726" t="str">
        <v>C28</v>
      </c>
      <c r="S726" t="str">
        <v>1000001028 SOSTEN S.A.</v>
      </c>
    </row>
    <row r="727" spans="1:19" x14ac:dyDescent="0.3">
      <c r="A727" s="2" t="s">
        <v>14</v>
      </c>
      <c r="B727" s="3" t="s">
        <v>14</v>
      </c>
      <c r="C727" s="3" t="s">
        <v>667</v>
      </c>
      <c r="D727" s="3" t="s">
        <v>14</v>
      </c>
      <c r="E727" s="3" t="s">
        <v>107</v>
      </c>
      <c r="F727" s="4">
        <v>46295</v>
      </c>
      <c r="G727" s="3" t="s">
        <v>44</v>
      </c>
      <c r="H727" s="6">
        <v>-1786765.2</v>
      </c>
      <c r="I727" s="3" t="s">
        <v>17</v>
      </c>
      <c r="J727" s="3" t="s">
        <v>14</v>
      </c>
      <c r="K727" s="3" t="s">
        <v>14</v>
      </c>
      <c r="L727" s="3" t="s">
        <v>95</v>
      </c>
      <c r="M727" s="4">
        <v>46295</v>
      </c>
      <c r="N727" s="3" t="s">
        <v>668</v>
      </c>
      <c r="O727" s="3" t="s">
        <v>34</v>
      </c>
      <c r="P727" t="str">
        <f t="shared" si="11"/>
        <v>450013942710</v>
      </c>
      <c r="Q727" s="9" cm="1">
        <f t="array" ref="Q727:S727">VLOOKUP(P727,Hoja1!C:F,{2,3,4},FALSE)</f>
        <v>46320</v>
      </c>
      <c r="R727" t="str">
        <v>G04</v>
      </c>
      <c r="S727" t="str">
        <v>1000000561 ESCANDINAVIA DEL PLATA SA</v>
      </c>
    </row>
    <row r="728" spans="1:19" x14ac:dyDescent="0.3">
      <c r="A728" s="2" t="s">
        <v>14</v>
      </c>
      <c r="B728" s="3" t="s">
        <v>14</v>
      </c>
      <c r="C728" s="3" t="s">
        <v>669</v>
      </c>
      <c r="D728" s="3" t="s">
        <v>14</v>
      </c>
      <c r="E728" s="3" t="s">
        <v>107</v>
      </c>
      <c r="F728" s="4">
        <v>46286</v>
      </c>
      <c r="G728" s="3" t="s">
        <v>44</v>
      </c>
      <c r="H728" s="6">
        <v>-6242.86</v>
      </c>
      <c r="I728" s="3" t="s">
        <v>17</v>
      </c>
      <c r="J728" s="3" t="s">
        <v>14</v>
      </c>
      <c r="K728" s="3" t="s">
        <v>14</v>
      </c>
      <c r="L728" s="3" t="s">
        <v>520</v>
      </c>
      <c r="M728" s="4">
        <v>46295</v>
      </c>
      <c r="N728" s="3" t="s">
        <v>521</v>
      </c>
      <c r="O728" s="3" t="s">
        <v>34</v>
      </c>
      <c r="P728" t="str">
        <f t="shared" si="11"/>
        <v>450013666510</v>
      </c>
      <c r="Q728" s="9" cm="1">
        <f t="array" ref="Q728:S728">VLOOKUP(P728,Hoja1!C:F,{2,3,4},FALSE)</f>
        <v>46286</v>
      </c>
      <c r="R728" t="str">
        <v>C17</v>
      </c>
      <c r="S728" t="str">
        <v>1000008044 AGUDO DOHMEN MARIA ROMINA</v>
      </c>
    </row>
    <row r="729" spans="1:19" x14ac:dyDescent="0.3">
      <c r="A729" s="2" t="s">
        <v>14</v>
      </c>
      <c r="B729" s="3" t="s">
        <v>14</v>
      </c>
      <c r="C729" s="3" t="s">
        <v>669</v>
      </c>
      <c r="D729" s="3" t="s">
        <v>14</v>
      </c>
      <c r="E729" s="3" t="s">
        <v>107</v>
      </c>
      <c r="F729" s="4">
        <v>46286</v>
      </c>
      <c r="G729" s="3" t="s">
        <v>44</v>
      </c>
      <c r="H729" s="6">
        <v>-124200</v>
      </c>
      <c r="I729" s="3" t="s">
        <v>17</v>
      </c>
      <c r="J729" s="3" t="s">
        <v>14</v>
      </c>
      <c r="K729" s="3" t="s">
        <v>14</v>
      </c>
      <c r="L729" s="3" t="s">
        <v>520</v>
      </c>
      <c r="M729" s="4">
        <v>46295</v>
      </c>
      <c r="N729" s="3" t="s">
        <v>521</v>
      </c>
      <c r="O729" s="3" t="s">
        <v>21</v>
      </c>
      <c r="P729" t="str">
        <f t="shared" si="11"/>
        <v>450013666520</v>
      </c>
      <c r="Q729" s="9" cm="1">
        <f t="array" ref="Q729:S729">VLOOKUP(P729,Hoja1!C:F,{2,3,4},FALSE)</f>
        <v>46286</v>
      </c>
      <c r="R729" t="str">
        <v>C17</v>
      </c>
      <c r="S729" t="str">
        <v>1000008044 AGUDO DOHMEN MARIA ROMINA</v>
      </c>
    </row>
    <row r="730" spans="1:19" x14ac:dyDescent="0.3">
      <c r="A730" s="2" t="s">
        <v>14</v>
      </c>
      <c r="B730" s="3" t="s">
        <v>14</v>
      </c>
      <c r="C730" s="3" t="s">
        <v>669</v>
      </c>
      <c r="D730" s="3" t="s">
        <v>14</v>
      </c>
      <c r="E730" s="3" t="s">
        <v>107</v>
      </c>
      <c r="F730" s="4">
        <v>46286</v>
      </c>
      <c r="G730" s="3" t="s">
        <v>44</v>
      </c>
      <c r="H730" s="6">
        <v>-7038</v>
      </c>
      <c r="I730" s="3" t="s">
        <v>17</v>
      </c>
      <c r="J730" s="3" t="s">
        <v>14</v>
      </c>
      <c r="K730" s="3" t="s">
        <v>14</v>
      </c>
      <c r="L730" s="3" t="s">
        <v>520</v>
      </c>
      <c r="M730" s="4">
        <v>46295</v>
      </c>
      <c r="N730" s="3" t="s">
        <v>521</v>
      </c>
      <c r="O730" s="3" t="s">
        <v>22</v>
      </c>
      <c r="P730" t="str">
        <f t="shared" si="11"/>
        <v>450013666530</v>
      </c>
      <c r="Q730" s="9" cm="1">
        <f t="array" ref="Q730:S730">VLOOKUP(P730,Hoja1!C:F,{2,3,4},FALSE)</f>
        <v>46286</v>
      </c>
      <c r="R730" t="str">
        <v>C17</v>
      </c>
      <c r="S730" t="str">
        <v>1000008044 AGUDO DOHMEN MARIA ROMINA</v>
      </c>
    </row>
    <row r="731" spans="1:19" x14ac:dyDescent="0.3">
      <c r="A731" s="2" t="s">
        <v>14</v>
      </c>
      <c r="B731" s="3" t="s">
        <v>14</v>
      </c>
      <c r="C731" s="3" t="s">
        <v>669</v>
      </c>
      <c r="D731" s="3" t="s">
        <v>14</v>
      </c>
      <c r="E731" s="3" t="s">
        <v>107</v>
      </c>
      <c r="F731" s="4">
        <v>46286</v>
      </c>
      <c r="G731" s="3" t="s">
        <v>44</v>
      </c>
      <c r="H731" s="6">
        <v>-18728.580000000002</v>
      </c>
      <c r="I731" s="3" t="s">
        <v>17</v>
      </c>
      <c r="J731" s="3" t="s">
        <v>14</v>
      </c>
      <c r="K731" s="3" t="s">
        <v>14</v>
      </c>
      <c r="L731" s="3" t="s">
        <v>520</v>
      </c>
      <c r="M731" s="4">
        <v>46295</v>
      </c>
      <c r="N731" s="3" t="s">
        <v>521</v>
      </c>
      <c r="O731" s="3" t="s">
        <v>25</v>
      </c>
      <c r="P731" t="str">
        <f t="shared" si="11"/>
        <v>450013666570</v>
      </c>
      <c r="Q731" s="9" cm="1">
        <f t="array" ref="Q731:S731">VLOOKUP(P731,Hoja1!C:F,{2,3,4},FALSE)</f>
        <v>46286</v>
      </c>
      <c r="R731" t="str">
        <v>C17</v>
      </c>
      <c r="S731" t="str">
        <v>1000008044 AGUDO DOHMEN MARIA ROMINA</v>
      </c>
    </row>
    <row r="732" spans="1:19" x14ac:dyDescent="0.3">
      <c r="A732" s="2" t="s">
        <v>14</v>
      </c>
      <c r="B732" s="3" t="s">
        <v>14</v>
      </c>
      <c r="C732" s="3" t="s">
        <v>669</v>
      </c>
      <c r="D732" s="3" t="s">
        <v>14</v>
      </c>
      <c r="E732" s="3" t="s">
        <v>107</v>
      </c>
      <c r="F732" s="4">
        <v>46286</v>
      </c>
      <c r="G732" s="3" t="s">
        <v>44</v>
      </c>
      <c r="H732" s="6">
        <v>-1704.9</v>
      </c>
      <c r="I732" s="3" t="s">
        <v>17</v>
      </c>
      <c r="J732" s="3" t="s">
        <v>14</v>
      </c>
      <c r="K732" s="3" t="s">
        <v>14</v>
      </c>
      <c r="L732" s="3" t="s">
        <v>520</v>
      </c>
      <c r="M732" s="4">
        <v>46295</v>
      </c>
      <c r="N732" s="3" t="s">
        <v>521</v>
      </c>
      <c r="O732" s="3" t="s">
        <v>343</v>
      </c>
      <c r="P732" t="str">
        <f t="shared" si="11"/>
        <v>450013666580</v>
      </c>
      <c r="Q732" s="9" cm="1">
        <f t="array" ref="Q732:S732">VLOOKUP(P732,Hoja1!C:F,{2,3,4},FALSE)</f>
        <v>46286</v>
      </c>
      <c r="R732" t="str">
        <v>C17</v>
      </c>
      <c r="S732" t="str">
        <v>1000008044 AGUDO DOHMEN MARIA ROMINA</v>
      </c>
    </row>
    <row r="733" spans="1:19" x14ac:dyDescent="0.3">
      <c r="A733" s="2" t="s">
        <v>14</v>
      </c>
      <c r="B733" s="3" t="s">
        <v>14</v>
      </c>
      <c r="C733" s="3" t="s">
        <v>670</v>
      </c>
      <c r="D733" s="3" t="s">
        <v>14</v>
      </c>
      <c r="E733" s="3" t="s">
        <v>107</v>
      </c>
      <c r="F733" s="4">
        <v>46291</v>
      </c>
      <c r="G733" s="3" t="s">
        <v>44</v>
      </c>
      <c r="H733" s="6">
        <v>-3186750</v>
      </c>
      <c r="I733" s="3" t="s">
        <v>17</v>
      </c>
      <c r="J733" s="3" t="s">
        <v>14</v>
      </c>
      <c r="K733" s="3" t="s">
        <v>14</v>
      </c>
      <c r="L733" s="3" t="s">
        <v>671</v>
      </c>
      <c r="M733" s="4">
        <v>46295</v>
      </c>
      <c r="N733" s="3" t="s">
        <v>672</v>
      </c>
      <c r="O733" s="3" t="s">
        <v>34</v>
      </c>
      <c r="P733" t="str">
        <f t="shared" si="11"/>
        <v>450013711010</v>
      </c>
      <c r="Q733" s="9" cm="1">
        <f t="array" ref="Q733:S733">VLOOKUP(P733,Hoja1!C:F,{2,3,4},FALSE)</f>
        <v>46325</v>
      </c>
      <c r="R733" t="str">
        <v>C13</v>
      </c>
      <c r="S733" t="str">
        <v>1000004943 DANIEL SORIN E HIJOS SRL</v>
      </c>
    </row>
    <row r="734" spans="1:19" x14ac:dyDescent="0.3">
      <c r="A734" s="2" t="s">
        <v>14</v>
      </c>
      <c r="B734" s="3" t="s">
        <v>14</v>
      </c>
      <c r="C734" s="3" t="s">
        <v>673</v>
      </c>
      <c r="D734" s="3" t="s">
        <v>14</v>
      </c>
      <c r="E734" s="3" t="s">
        <v>107</v>
      </c>
      <c r="F734" s="4">
        <v>46295</v>
      </c>
      <c r="G734" s="3" t="s">
        <v>44</v>
      </c>
      <c r="H734" s="6">
        <v>-3095700</v>
      </c>
      <c r="I734" s="3" t="s">
        <v>17</v>
      </c>
      <c r="J734" s="3" t="s">
        <v>14</v>
      </c>
      <c r="K734" s="3" t="s">
        <v>14</v>
      </c>
      <c r="L734" s="3" t="s">
        <v>19</v>
      </c>
      <c r="M734" s="4">
        <v>46295</v>
      </c>
      <c r="N734" s="3" t="s">
        <v>674</v>
      </c>
      <c r="O734" s="3" t="s">
        <v>34</v>
      </c>
      <c r="P734" t="str">
        <f t="shared" si="11"/>
        <v>450013940110</v>
      </c>
      <c r="Q734" s="9" cm="1">
        <f t="array" ref="Q734:S734">VLOOKUP(P734,Hoja1!C:F,{2,3,4},FALSE)</f>
        <v>46283</v>
      </c>
      <c r="R734" t="str">
        <v>EFO</v>
      </c>
      <c r="S734" t="str">
        <v>1000001470 SUDAMERICANA CAMIONES SA</v>
      </c>
    </row>
    <row r="735" spans="1:19" x14ac:dyDescent="0.3">
      <c r="A735" s="2" t="s">
        <v>14</v>
      </c>
      <c r="B735" s="3" t="s">
        <v>14</v>
      </c>
      <c r="C735" s="3" t="s">
        <v>675</v>
      </c>
      <c r="D735" s="3" t="s">
        <v>14</v>
      </c>
      <c r="E735" s="3" t="s">
        <v>107</v>
      </c>
      <c r="F735" s="4">
        <v>46294</v>
      </c>
      <c r="G735" s="3" t="s">
        <v>44</v>
      </c>
      <c r="H735" s="6">
        <v>-456142.26</v>
      </c>
      <c r="I735" s="3" t="s">
        <v>17</v>
      </c>
      <c r="J735" s="3" t="s">
        <v>14</v>
      </c>
      <c r="K735" s="3" t="s">
        <v>14</v>
      </c>
      <c r="L735" s="3" t="s">
        <v>228</v>
      </c>
      <c r="M735" s="4">
        <v>46295</v>
      </c>
      <c r="N735" s="3" t="s">
        <v>676</v>
      </c>
      <c r="O735" s="3" t="s">
        <v>21</v>
      </c>
      <c r="P735" t="str">
        <f t="shared" si="11"/>
        <v>450013912720</v>
      </c>
      <c r="Q735" s="9" cm="1">
        <f t="array" ref="Q735:S735">VLOOKUP(P735,Hoja1!C:F,{2,3,4},FALSE)</f>
        <v>46300</v>
      </c>
      <c r="R735" t="str">
        <v>C29</v>
      </c>
      <c r="S735" t="str">
        <v>1000000488 BETA S.A.</v>
      </c>
    </row>
    <row r="736" spans="1:19" x14ac:dyDescent="0.3">
      <c r="A736" s="2" t="s">
        <v>14</v>
      </c>
      <c r="B736" s="3" t="s">
        <v>14</v>
      </c>
      <c r="C736" s="3" t="s">
        <v>677</v>
      </c>
      <c r="D736" s="3" t="s">
        <v>56</v>
      </c>
      <c r="E736" s="3" t="s">
        <v>107</v>
      </c>
      <c r="F736" s="4">
        <v>46295</v>
      </c>
      <c r="G736" s="3" t="s">
        <v>44</v>
      </c>
      <c r="H736" s="6">
        <v>-301428.26</v>
      </c>
      <c r="I736" s="3" t="s">
        <v>17</v>
      </c>
      <c r="J736" s="3" t="s">
        <v>14</v>
      </c>
      <c r="K736" s="3" t="s">
        <v>14</v>
      </c>
      <c r="L736" s="3" t="s">
        <v>678</v>
      </c>
      <c r="M736" s="4">
        <v>46295</v>
      </c>
      <c r="N736" s="3" t="s">
        <v>679</v>
      </c>
      <c r="O736" s="3" t="s">
        <v>34</v>
      </c>
      <c r="P736" t="str">
        <f t="shared" si="11"/>
        <v>450013988810</v>
      </c>
      <c r="Q736" s="9" cm="1">
        <f t="array" ref="Q736:S736">VLOOKUP(P736,Hoja1!C:F,{2,3,4},FALSE)</f>
        <v>46302</v>
      </c>
      <c r="R736" t="str">
        <v>C01</v>
      </c>
      <c r="S736" t="str">
        <v>1000012277 MARPAOL S.R.L.</v>
      </c>
    </row>
    <row r="737" spans="1:19" x14ac:dyDescent="0.3">
      <c r="A737" s="2" t="s">
        <v>14</v>
      </c>
      <c r="B737" s="3" t="s">
        <v>14</v>
      </c>
      <c r="C737" s="3" t="s">
        <v>680</v>
      </c>
      <c r="D737" s="3" t="s">
        <v>14</v>
      </c>
      <c r="E737" s="3" t="s">
        <v>107</v>
      </c>
      <c r="F737" s="4">
        <v>46295</v>
      </c>
      <c r="G737" s="3" t="s">
        <v>44</v>
      </c>
      <c r="H737" s="6">
        <v>-201192.75</v>
      </c>
      <c r="I737" s="3" t="s">
        <v>17</v>
      </c>
      <c r="J737" s="3" t="s">
        <v>14</v>
      </c>
      <c r="K737" s="3" t="s">
        <v>14</v>
      </c>
      <c r="L737" s="3" t="s">
        <v>19</v>
      </c>
      <c r="M737" s="4">
        <v>46296</v>
      </c>
      <c r="N737" s="3" t="s">
        <v>20</v>
      </c>
      <c r="O737" s="3" t="s">
        <v>34</v>
      </c>
      <c r="P737" t="str">
        <f t="shared" si="11"/>
        <v>450013836810</v>
      </c>
      <c r="Q737" s="9" cm="1">
        <f t="array" ref="Q737:S737">VLOOKUP(P737,Hoja1!C:F,{2,3,4},FALSE)</f>
        <v>46295</v>
      </c>
      <c r="R737" t="str">
        <v>C03</v>
      </c>
      <c r="S737" t="str">
        <v>1000001470 SUDAMERICANA CAMIONES SA</v>
      </c>
    </row>
    <row r="738" spans="1:19" x14ac:dyDescent="0.3">
      <c r="A738" s="2" t="s">
        <v>14</v>
      </c>
      <c r="B738" s="3" t="s">
        <v>14</v>
      </c>
      <c r="C738" s="3" t="s">
        <v>681</v>
      </c>
      <c r="D738" s="3" t="s">
        <v>14</v>
      </c>
      <c r="E738" s="3" t="s">
        <v>107</v>
      </c>
      <c r="F738" s="4">
        <v>46295</v>
      </c>
      <c r="G738" s="3" t="s">
        <v>44</v>
      </c>
      <c r="H738" s="6">
        <v>-1279832.1299999999</v>
      </c>
      <c r="I738" s="3" t="s">
        <v>17</v>
      </c>
      <c r="J738" s="3" t="s">
        <v>14</v>
      </c>
      <c r="K738" s="3" t="s">
        <v>14</v>
      </c>
      <c r="L738" s="3" t="s">
        <v>19</v>
      </c>
      <c r="M738" s="4">
        <v>46296</v>
      </c>
      <c r="N738" s="3" t="s">
        <v>682</v>
      </c>
      <c r="O738" s="3" t="s">
        <v>34</v>
      </c>
      <c r="P738" t="str">
        <f t="shared" si="11"/>
        <v>450013811710</v>
      </c>
      <c r="Q738" s="9" cm="1">
        <f t="array" ref="Q738:S738">VLOOKUP(P738,Hoja1!C:F,{2,3,4},FALSE)</f>
        <v>46288</v>
      </c>
      <c r="R738" t="str">
        <v>C29</v>
      </c>
      <c r="S738" t="str">
        <v>1000001470 SUDAMERICANA CAMIONES SA</v>
      </c>
    </row>
    <row r="739" spans="1:19" x14ac:dyDescent="0.3">
      <c r="A739" s="2" t="s">
        <v>14</v>
      </c>
      <c r="B739" s="3" t="s">
        <v>14</v>
      </c>
      <c r="C739" s="3" t="s">
        <v>683</v>
      </c>
      <c r="D739" s="3" t="s">
        <v>14</v>
      </c>
      <c r="E739" s="3" t="s">
        <v>107</v>
      </c>
      <c r="F739" s="4">
        <v>46294</v>
      </c>
      <c r="G739" s="3" t="s">
        <v>44</v>
      </c>
      <c r="H739" s="6">
        <v>-886102.37</v>
      </c>
      <c r="I739" s="3" t="s">
        <v>17</v>
      </c>
      <c r="J739" s="3" t="s">
        <v>14</v>
      </c>
      <c r="K739" s="3" t="s">
        <v>14</v>
      </c>
      <c r="L739" s="3" t="s">
        <v>228</v>
      </c>
      <c r="M739" s="4">
        <v>46296</v>
      </c>
      <c r="N739" s="3" t="s">
        <v>684</v>
      </c>
      <c r="O739" s="3" t="s">
        <v>21</v>
      </c>
      <c r="P739" t="str">
        <f t="shared" si="11"/>
        <v>450013717820</v>
      </c>
      <c r="Q739" s="9" cm="1">
        <f t="array" ref="Q739:S739">VLOOKUP(P739,Hoja1!C:F,{2,3,4},FALSE)</f>
        <v>46310</v>
      </c>
      <c r="R739" t="str">
        <v>C29</v>
      </c>
      <c r="S739" t="str">
        <v>1000000488 BETA S.A.</v>
      </c>
    </row>
    <row r="740" spans="1:19" x14ac:dyDescent="0.3">
      <c r="A740" s="2" t="s">
        <v>14</v>
      </c>
      <c r="B740" s="3" t="s">
        <v>14</v>
      </c>
      <c r="C740" s="3" t="s">
        <v>685</v>
      </c>
      <c r="D740" s="3" t="s">
        <v>56</v>
      </c>
      <c r="E740" s="3" t="s">
        <v>107</v>
      </c>
      <c r="F740" s="4">
        <v>46296</v>
      </c>
      <c r="G740" s="3" t="s">
        <v>44</v>
      </c>
      <c r="H740" s="6">
        <v>-3229326</v>
      </c>
      <c r="I740" s="3" t="s">
        <v>17</v>
      </c>
      <c r="J740" s="3" t="s">
        <v>14</v>
      </c>
      <c r="K740" s="3" t="s">
        <v>14</v>
      </c>
      <c r="L740" s="3" t="s">
        <v>686</v>
      </c>
      <c r="M740" s="4">
        <v>46296</v>
      </c>
      <c r="N740" s="3" t="s">
        <v>687</v>
      </c>
      <c r="O740" s="3" t="s">
        <v>34</v>
      </c>
      <c r="P740" t="str">
        <f t="shared" si="11"/>
        <v>450011733410</v>
      </c>
      <c r="Q740" s="9" cm="1">
        <f t="array" ref="Q740:S740">VLOOKUP(P740,Hoja1!C:F,{2,3,4},FALSE)</f>
        <v>46357</v>
      </c>
      <c r="R740" t="str">
        <v>C26</v>
      </c>
      <c r="S740" t="str">
        <v>1000003825 GRUPO SICCTOP S.R.L.</v>
      </c>
    </row>
    <row r="741" spans="1:19" x14ac:dyDescent="0.3">
      <c r="A741" s="2" t="s">
        <v>14</v>
      </c>
      <c r="B741" s="3" t="s">
        <v>14</v>
      </c>
      <c r="C741" s="3" t="s">
        <v>688</v>
      </c>
      <c r="D741" s="3" t="s">
        <v>14</v>
      </c>
      <c r="E741" s="3" t="s">
        <v>107</v>
      </c>
      <c r="F741" s="4">
        <v>46296</v>
      </c>
      <c r="G741" s="3" t="s">
        <v>44</v>
      </c>
      <c r="H741" s="6">
        <v>-23431650</v>
      </c>
      <c r="I741" s="3" t="s">
        <v>17</v>
      </c>
      <c r="J741" s="3" t="s">
        <v>14</v>
      </c>
      <c r="K741" s="3" t="s">
        <v>14</v>
      </c>
      <c r="L741" s="3" t="s">
        <v>631</v>
      </c>
      <c r="M741" s="4">
        <v>46296</v>
      </c>
      <c r="N741" s="3" t="s">
        <v>689</v>
      </c>
      <c r="O741" s="3" t="s">
        <v>34</v>
      </c>
      <c r="P741" t="str">
        <f t="shared" si="11"/>
        <v>450013931110</v>
      </c>
      <c r="Q741" s="9" cm="1">
        <f t="array" ref="Q741:S741">VLOOKUP(P741,Hoja1!C:F,{2,3,4},FALSE)</f>
        <v>46295</v>
      </c>
      <c r="R741" t="str">
        <v>C50</v>
      </c>
      <c r="S741" t="str">
        <v>1000002774 MILLA MAR DEL PLATA S.A.</v>
      </c>
    </row>
    <row r="742" spans="1:19" x14ac:dyDescent="0.3">
      <c r="A742" s="2" t="s">
        <v>14</v>
      </c>
      <c r="B742" s="3" t="s">
        <v>14</v>
      </c>
      <c r="C742" s="3" t="s">
        <v>688</v>
      </c>
      <c r="D742" s="3" t="s">
        <v>14</v>
      </c>
      <c r="E742" s="3" t="s">
        <v>107</v>
      </c>
      <c r="F742" s="4">
        <v>46296</v>
      </c>
      <c r="G742" s="3" t="s">
        <v>44</v>
      </c>
      <c r="H742" s="6">
        <v>-7160175</v>
      </c>
      <c r="I742" s="3" t="s">
        <v>17</v>
      </c>
      <c r="J742" s="3" t="s">
        <v>14</v>
      </c>
      <c r="K742" s="3" t="s">
        <v>14</v>
      </c>
      <c r="L742" s="3" t="s">
        <v>631</v>
      </c>
      <c r="M742" s="4">
        <v>46296</v>
      </c>
      <c r="N742" s="3" t="s">
        <v>689</v>
      </c>
      <c r="O742" s="3" t="s">
        <v>21</v>
      </c>
      <c r="P742" t="str">
        <f t="shared" si="11"/>
        <v>450013931120</v>
      </c>
      <c r="Q742" s="9" cm="1">
        <f t="array" ref="Q742:S742">VLOOKUP(P742,Hoja1!C:F,{2,3,4},FALSE)</f>
        <v>46309</v>
      </c>
      <c r="R742" t="str">
        <v>C50</v>
      </c>
      <c r="S742" t="str">
        <v>1000002774 MILLA MAR DEL PLATA S.A.</v>
      </c>
    </row>
    <row r="743" spans="1:19" x14ac:dyDescent="0.3">
      <c r="A743" s="2" t="s">
        <v>14</v>
      </c>
      <c r="B743" s="3" t="s">
        <v>14</v>
      </c>
      <c r="C743" s="3" t="s">
        <v>690</v>
      </c>
      <c r="D743" s="3" t="s">
        <v>14</v>
      </c>
      <c r="E743" s="3" t="s">
        <v>107</v>
      </c>
      <c r="F743" s="4">
        <v>46296</v>
      </c>
      <c r="G743" s="3" t="s">
        <v>44</v>
      </c>
      <c r="H743" s="6">
        <v>-103800</v>
      </c>
      <c r="I743" s="3" t="s">
        <v>17</v>
      </c>
      <c r="J743" s="3" t="s">
        <v>14</v>
      </c>
      <c r="K743" s="3" t="s">
        <v>14</v>
      </c>
      <c r="L743" s="3" t="s">
        <v>287</v>
      </c>
      <c r="M743" s="4">
        <v>46296</v>
      </c>
      <c r="N743" s="3" t="s">
        <v>691</v>
      </c>
      <c r="O743" s="3" t="s">
        <v>34</v>
      </c>
      <c r="P743" t="str">
        <f t="shared" si="11"/>
        <v>450013311810</v>
      </c>
      <c r="Q743" s="9" cm="1">
        <f t="array" ref="Q743:S743">VLOOKUP(P743,Hoja1!C:F,{2,3,4},FALSE)</f>
        <v>46240</v>
      </c>
      <c r="R743" t="str">
        <v>EFO</v>
      </c>
      <c r="S743" t="str">
        <v>1000001014 ANDRE FRENO S.R.L.</v>
      </c>
    </row>
    <row r="744" spans="1:19" x14ac:dyDescent="0.3">
      <c r="A744" s="2" t="s">
        <v>14</v>
      </c>
      <c r="B744" s="3" t="s">
        <v>14</v>
      </c>
      <c r="C744" s="3" t="s">
        <v>690</v>
      </c>
      <c r="D744" s="3" t="s">
        <v>14</v>
      </c>
      <c r="E744" s="3" t="s">
        <v>107</v>
      </c>
      <c r="F744" s="4">
        <v>46296</v>
      </c>
      <c r="G744" s="3" t="s">
        <v>44</v>
      </c>
      <c r="H744" s="6">
        <v>-72800</v>
      </c>
      <c r="I744" s="3" t="s">
        <v>17</v>
      </c>
      <c r="J744" s="3" t="s">
        <v>14</v>
      </c>
      <c r="K744" s="3" t="s">
        <v>14</v>
      </c>
      <c r="L744" s="3" t="s">
        <v>287</v>
      </c>
      <c r="M744" s="4">
        <v>46296</v>
      </c>
      <c r="N744" s="3" t="s">
        <v>691</v>
      </c>
      <c r="O744" s="3" t="s">
        <v>21</v>
      </c>
      <c r="P744" t="str">
        <f t="shared" si="11"/>
        <v>450013311820</v>
      </c>
      <c r="Q744" s="9" cm="1">
        <f t="array" ref="Q744:S744">VLOOKUP(P744,Hoja1!C:F,{2,3,4},FALSE)</f>
        <v>46240</v>
      </c>
      <c r="R744" t="str">
        <v>EFO</v>
      </c>
      <c r="S744" t="str">
        <v>1000001014 ANDRE FRENO S.R.L.</v>
      </c>
    </row>
    <row r="745" spans="1:19" x14ac:dyDescent="0.3">
      <c r="A745" s="2" t="s">
        <v>14</v>
      </c>
      <c r="B745" s="3" t="s">
        <v>14</v>
      </c>
      <c r="C745" s="3" t="s">
        <v>692</v>
      </c>
      <c r="D745" s="3" t="s">
        <v>14</v>
      </c>
      <c r="E745" s="3" t="s">
        <v>107</v>
      </c>
      <c r="F745" s="4">
        <v>46295</v>
      </c>
      <c r="G745" s="3" t="s">
        <v>44</v>
      </c>
      <c r="H745" s="6">
        <v>-1065746.5</v>
      </c>
      <c r="I745" s="3" t="s">
        <v>17</v>
      </c>
      <c r="J745" s="3" t="s">
        <v>14</v>
      </c>
      <c r="K745" s="3" t="s">
        <v>14</v>
      </c>
      <c r="L745" s="3" t="s">
        <v>228</v>
      </c>
      <c r="M745" s="4">
        <v>46296</v>
      </c>
      <c r="N745" s="3" t="s">
        <v>693</v>
      </c>
      <c r="O745" s="3" t="s">
        <v>34</v>
      </c>
      <c r="P745" t="str">
        <f t="shared" si="11"/>
        <v>450013973810</v>
      </c>
      <c r="Q745" s="9" cm="1">
        <f t="array" ref="Q745:S745">VLOOKUP(P745,Hoja1!C:F,{2,3,4},FALSE)</f>
        <v>46315</v>
      </c>
      <c r="R745" t="str">
        <v>C29</v>
      </c>
      <c r="S745" t="str">
        <v>1000000488 BETA S.A.</v>
      </c>
    </row>
    <row r="746" spans="1:19" x14ac:dyDescent="0.3">
      <c r="A746" s="2" t="s">
        <v>14</v>
      </c>
      <c r="B746" s="3" t="s">
        <v>14</v>
      </c>
      <c r="C746" s="3" t="s">
        <v>694</v>
      </c>
      <c r="D746" s="3" t="s">
        <v>36</v>
      </c>
      <c r="E746" s="3" t="s">
        <v>107</v>
      </c>
      <c r="F746" s="4">
        <v>46295</v>
      </c>
      <c r="G746" s="3" t="s">
        <v>44</v>
      </c>
      <c r="H746" s="6">
        <v>-895270.5</v>
      </c>
      <c r="I746" s="3" t="s">
        <v>17</v>
      </c>
      <c r="J746" s="3" t="s">
        <v>14</v>
      </c>
      <c r="K746" s="3" t="s">
        <v>14</v>
      </c>
      <c r="L746" s="3" t="s">
        <v>67</v>
      </c>
      <c r="M746" s="4">
        <v>46296</v>
      </c>
      <c r="N746" s="3" t="s">
        <v>695</v>
      </c>
      <c r="O746" s="3" t="s">
        <v>34</v>
      </c>
      <c r="P746" t="str">
        <f t="shared" si="11"/>
        <v>450013977410</v>
      </c>
      <c r="Q746" s="9" cm="1">
        <f t="array" ref="Q746:S746">VLOOKUP(P746,Hoja1!C:F,{2,3,4},FALSE)</f>
        <v>46295</v>
      </c>
      <c r="R746" t="str">
        <v>379</v>
      </c>
      <c r="S746" t="str">
        <v>1000003378 PINTURERIA CENTRAL SRL</v>
      </c>
    </row>
    <row r="747" spans="1:19" x14ac:dyDescent="0.3">
      <c r="A747" s="2" t="s">
        <v>14</v>
      </c>
      <c r="B747" s="3" t="s">
        <v>14</v>
      </c>
      <c r="C747" s="3" t="s">
        <v>694</v>
      </c>
      <c r="D747" s="3" t="s">
        <v>36</v>
      </c>
      <c r="E747" s="3" t="s">
        <v>107</v>
      </c>
      <c r="F747" s="4">
        <v>46295</v>
      </c>
      <c r="G747" s="3" t="s">
        <v>44</v>
      </c>
      <c r="H747" s="6">
        <v>-162300</v>
      </c>
      <c r="I747" s="3" t="s">
        <v>17</v>
      </c>
      <c r="J747" s="3" t="s">
        <v>14</v>
      </c>
      <c r="K747" s="3" t="s">
        <v>14</v>
      </c>
      <c r="L747" s="3" t="s">
        <v>67</v>
      </c>
      <c r="M747" s="4">
        <v>46296</v>
      </c>
      <c r="N747" s="3" t="s">
        <v>695</v>
      </c>
      <c r="O747" s="3" t="s">
        <v>21</v>
      </c>
      <c r="P747" t="str">
        <f t="shared" si="11"/>
        <v>450013977420</v>
      </c>
      <c r="Q747" s="9" cm="1">
        <f t="array" ref="Q747:S747">VLOOKUP(P747,Hoja1!C:F,{2,3,4},FALSE)</f>
        <v>46295</v>
      </c>
      <c r="R747" t="str">
        <v>379</v>
      </c>
      <c r="S747" t="str">
        <v>1000003378 PINTURERIA CENTRAL SRL</v>
      </c>
    </row>
    <row r="748" spans="1:19" x14ac:dyDescent="0.3">
      <c r="A748" s="2" t="s">
        <v>14</v>
      </c>
      <c r="B748" s="3" t="s">
        <v>14</v>
      </c>
      <c r="C748" s="3" t="s">
        <v>694</v>
      </c>
      <c r="D748" s="3" t="s">
        <v>36</v>
      </c>
      <c r="E748" s="3" t="s">
        <v>107</v>
      </c>
      <c r="F748" s="4">
        <v>46295</v>
      </c>
      <c r="G748" s="3" t="s">
        <v>44</v>
      </c>
      <c r="H748" s="6">
        <v>-14769.84</v>
      </c>
      <c r="I748" s="3" t="s">
        <v>17</v>
      </c>
      <c r="J748" s="3" t="s">
        <v>14</v>
      </c>
      <c r="K748" s="3" t="s">
        <v>14</v>
      </c>
      <c r="L748" s="3" t="s">
        <v>67</v>
      </c>
      <c r="M748" s="4">
        <v>46296</v>
      </c>
      <c r="N748" s="3" t="s">
        <v>695</v>
      </c>
      <c r="O748" s="3" t="s">
        <v>22</v>
      </c>
      <c r="P748" t="str">
        <f t="shared" si="11"/>
        <v>450013977430</v>
      </c>
      <c r="Q748" s="9" cm="1">
        <f t="array" ref="Q748:S748">VLOOKUP(P748,Hoja1!C:F,{2,3,4},FALSE)</f>
        <v>46295</v>
      </c>
      <c r="R748" t="str">
        <v>379</v>
      </c>
      <c r="S748" t="str">
        <v>1000003378 PINTURERIA CENTRAL SRL</v>
      </c>
    </row>
    <row r="749" spans="1:19" x14ac:dyDescent="0.3">
      <c r="A749" s="2" t="s">
        <v>14</v>
      </c>
      <c r="B749" s="3" t="s">
        <v>14</v>
      </c>
      <c r="C749" s="3" t="s">
        <v>694</v>
      </c>
      <c r="D749" s="3" t="s">
        <v>36</v>
      </c>
      <c r="E749" s="3" t="s">
        <v>107</v>
      </c>
      <c r="F749" s="4">
        <v>46295</v>
      </c>
      <c r="G749" s="3" t="s">
        <v>44</v>
      </c>
      <c r="H749" s="6">
        <v>-12196.68</v>
      </c>
      <c r="I749" s="3" t="s">
        <v>17</v>
      </c>
      <c r="J749" s="3" t="s">
        <v>14</v>
      </c>
      <c r="K749" s="3" t="s">
        <v>14</v>
      </c>
      <c r="L749" s="3" t="s">
        <v>67</v>
      </c>
      <c r="M749" s="4">
        <v>46296</v>
      </c>
      <c r="N749" s="3" t="s">
        <v>695</v>
      </c>
      <c r="O749" s="3" t="s">
        <v>26</v>
      </c>
      <c r="P749" t="str">
        <f t="shared" si="11"/>
        <v>450013977440</v>
      </c>
      <c r="Q749" s="9" cm="1">
        <f t="array" ref="Q749:S749">VLOOKUP(P749,Hoja1!C:F,{2,3,4},FALSE)</f>
        <v>46295</v>
      </c>
      <c r="R749" t="str">
        <v>379</v>
      </c>
      <c r="S749" t="str">
        <v>1000003378 PINTURERIA CENTRAL SRL</v>
      </c>
    </row>
    <row r="750" spans="1:19" x14ac:dyDescent="0.3">
      <c r="A750" s="2" t="s">
        <v>14</v>
      </c>
      <c r="B750" s="3" t="s">
        <v>14</v>
      </c>
      <c r="C750" s="3" t="s">
        <v>694</v>
      </c>
      <c r="D750" s="3" t="s">
        <v>36</v>
      </c>
      <c r="E750" s="3" t="s">
        <v>107</v>
      </c>
      <c r="F750" s="4">
        <v>46295</v>
      </c>
      <c r="G750" s="3" t="s">
        <v>44</v>
      </c>
      <c r="H750" s="6">
        <v>-9966.42</v>
      </c>
      <c r="I750" s="3" t="s">
        <v>17</v>
      </c>
      <c r="J750" s="3" t="s">
        <v>14</v>
      </c>
      <c r="K750" s="3" t="s">
        <v>14</v>
      </c>
      <c r="L750" s="3" t="s">
        <v>67</v>
      </c>
      <c r="M750" s="4">
        <v>46296</v>
      </c>
      <c r="N750" s="3" t="s">
        <v>695</v>
      </c>
      <c r="O750" s="3" t="s">
        <v>23</v>
      </c>
      <c r="P750" t="str">
        <f t="shared" si="11"/>
        <v>450013977450</v>
      </c>
      <c r="Q750" s="9" cm="1">
        <f t="array" ref="Q750:S750">VLOOKUP(P750,Hoja1!C:F,{2,3,4},FALSE)</f>
        <v>46295</v>
      </c>
      <c r="R750" t="str">
        <v>379</v>
      </c>
      <c r="S750" t="str">
        <v>1000003378 PINTURERIA CENTRAL SRL</v>
      </c>
    </row>
    <row r="751" spans="1:19" x14ac:dyDescent="0.3">
      <c r="A751" s="2" t="s">
        <v>14</v>
      </c>
      <c r="B751" s="3" t="s">
        <v>14</v>
      </c>
      <c r="C751" s="3" t="s">
        <v>694</v>
      </c>
      <c r="D751" s="3" t="s">
        <v>36</v>
      </c>
      <c r="E751" s="3" t="s">
        <v>107</v>
      </c>
      <c r="F751" s="4">
        <v>46295</v>
      </c>
      <c r="G751" s="3" t="s">
        <v>44</v>
      </c>
      <c r="H751" s="6">
        <v>-16851.7</v>
      </c>
      <c r="I751" s="3" t="s">
        <v>17</v>
      </c>
      <c r="J751" s="3" t="s">
        <v>14</v>
      </c>
      <c r="K751" s="3" t="s">
        <v>14</v>
      </c>
      <c r="L751" s="3" t="s">
        <v>67</v>
      </c>
      <c r="M751" s="4">
        <v>46296</v>
      </c>
      <c r="N751" s="3" t="s">
        <v>695</v>
      </c>
      <c r="O751" s="3" t="s">
        <v>24</v>
      </c>
      <c r="P751" t="str">
        <f t="shared" si="11"/>
        <v>450013977460</v>
      </c>
      <c r="Q751" s="9" cm="1">
        <f t="array" ref="Q751:S751">VLOOKUP(P751,Hoja1!C:F,{2,3,4},FALSE)</f>
        <v>46295</v>
      </c>
      <c r="R751" t="str">
        <v>379</v>
      </c>
      <c r="S751" t="str">
        <v>1000003378 PINTURERIA CENTRAL SRL</v>
      </c>
    </row>
    <row r="752" spans="1:19" x14ac:dyDescent="0.3">
      <c r="A752" s="2" t="s">
        <v>14</v>
      </c>
      <c r="B752" s="3" t="s">
        <v>14</v>
      </c>
      <c r="C752" s="3" t="s">
        <v>694</v>
      </c>
      <c r="D752" s="3" t="s">
        <v>36</v>
      </c>
      <c r="E752" s="3" t="s">
        <v>107</v>
      </c>
      <c r="F752" s="4">
        <v>46295</v>
      </c>
      <c r="G752" s="3" t="s">
        <v>44</v>
      </c>
      <c r="H752" s="6">
        <v>-51571.9</v>
      </c>
      <c r="I752" s="3" t="s">
        <v>17</v>
      </c>
      <c r="J752" s="3" t="s">
        <v>14</v>
      </c>
      <c r="K752" s="3" t="s">
        <v>14</v>
      </c>
      <c r="L752" s="3" t="s">
        <v>67</v>
      </c>
      <c r="M752" s="4">
        <v>46296</v>
      </c>
      <c r="N752" s="3" t="s">
        <v>695</v>
      </c>
      <c r="O752" s="3" t="s">
        <v>25</v>
      </c>
      <c r="P752" t="str">
        <f t="shared" si="11"/>
        <v>450013977470</v>
      </c>
      <c r="Q752" s="9" cm="1">
        <f t="array" ref="Q752:S752">VLOOKUP(P752,Hoja1!C:F,{2,3,4},FALSE)</f>
        <v>46295</v>
      </c>
      <c r="R752" t="str">
        <v>379</v>
      </c>
      <c r="S752" t="str">
        <v>1000003378 PINTURERIA CENTRAL SRL</v>
      </c>
    </row>
    <row r="753" spans="1:19" x14ac:dyDescent="0.3">
      <c r="A753" s="2" t="s">
        <v>14</v>
      </c>
      <c r="B753" s="3" t="s">
        <v>14</v>
      </c>
      <c r="C753" s="3" t="s">
        <v>694</v>
      </c>
      <c r="D753" s="3" t="s">
        <v>36</v>
      </c>
      <c r="E753" s="3" t="s">
        <v>107</v>
      </c>
      <c r="F753" s="4">
        <v>46295</v>
      </c>
      <c r="G753" s="3" t="s">
        <v>44</v>
      </c>
      <c r="H753" s="6">
        <v>-15521.49</v>
      </c>
      <c r="I753" s="3" t="s">
        <v>17</v>
      </c>
      <c r="J753" s="3" t="s">
        <v>14</v>
      </c>
      <c r="K753" s="3" t="s">
        <v>14</v>
      </c>
      <c r="L753" s="3" t="s">
        <v>67</v>
      </c>
      <c r="M753" s="4">
        <v>46296</v>
      </c>
      <c r="N753" s="3" t="s">
        <v>695</v>
      </c>
      <c r="O753" s="3" t="s">
        <v>343</v>
      </c>
      <c r="P753" t="str">
        <f t="shared" si="11"/>
        <v>450013977480</v>
      </c>
      <c r="Q753" s="9" cm="1">
        <f t="array" ref="Q753:S753">VLOOKUP(P753,Hoja1!C:F,{2,3,4},FALSE)</f>
        <v>46295</v>
      </c>
      <c r="R753" t="str">
        <v>379</v>
      </c>
      <c r="S753" t="str">
        <v>1000003378 PINTURERIA CENTRAL SRL</v>
      </c>
    </row>
    <row r="754" spans="1:19" x14ac:dyDescent="0.3">
      <c r="A754" s="2" t="s">
        <v>14</v>
      </c>
      <c r="B754" s="3" t="s">
        <v>14</v>
      </c>
      <c r="C754" s="3" t="s">
        <v>694</v>
      </c>
      <c r="D754" s="3" t="s">
        <v>36</v>
      </c>
      <c r="E754" s="3" t="s">
        <v>107</v>
      </c>
      <c r="F754" s="4">
        <v>46295</v>
      </c>
      <c r="G754" s="3" t="s">
        <v>44</v>
      </c>
      <c r="H754" s="6">
        <v>-6654.9</v>
      </c>
      <c r="I754" s="3" t="s">
        <v>17</v>
      </c>
      <c r="J754" s="3" t="s">
        <v>14</v>
      </c>
      <c r="K754" s="3" t="s">
        <v>14</v>
      </c>
      <c r="L754" s="3" t="s">
        <v>67</v>
      </c>
      <c r="M754" s="4">
        <v>46296</v>
      </c>
      <c r="N754" s="3" t="s">
        <v>695</v>
      </c>
      <c r="O754" s="3" t="s">
        <v>344</v>
      </c>
      <c r="P754" t="str">
        <f t="shared" si="11"/>
        <v>450013977490</v>
      </c>
      <c r="Q754" s="9" cm="1">
        <f t="array" ref="Q754:S754">VLOOKUP(P754,Hoja1!C:F,{2,3,4},FALSE)</f>
        <v>46295</v>
      </c>
      <c r="R754" t="str">
        <v>379</v>
      </c>
      <c r="S754" t="str">
        <v>1000003378 PINTURERIA CENTRAL SRL</v>
      </c>
    </row>
    <row r="755" spans="1:19" x14ac:dyDescent="0.3">
      <c r="A755" s="2" t="s">
        <v>14</v>
      </c>
      <c r="B755" s="3" t="s">
        <v>14</v>
      </c>
      <c r="C755" s="3" t="s">
        <v>694</v>
      </c>
      <c r="D755" s="3" t="s">
        <v>36</v>
      </c>
      <c r="E755" s="3" t="s">
        <v>107</v>
      </c>
      <c r="F755" s="4">
        <v>46295</v>
      </c>
      <c r="G755" s="3" t="s">
        <v>44</v>
      </c>
      <c r="H755" s="6">
        <v>-6655.2</v>
      </c>
      <c r="I755" s="3" t="s">
        <v>17</v>
      </c>
      <c r="J755" s="3" t="s">
        <v>14</v>
      </c>
      <c r="K755" s="3" t="s">
        <v>14</v>
      </c>
      <c r="L755" s="3" t="s">
        <v>67</v>
      </c>
      <c r="M755" s="4">
        <v>46296</v>
      </c>
      <c r="N755" s="3" t="s">
        <v>695</v>
      </c>
      <c r="O755" s="3" t="s">
        <v>345</v>
      </c>
      <c r="P755" t="str">
        <f t="shared" si="11"/>
        <v>4500139774100</v>
      </c>
      <c r="Q755" s="9" cm="1">
        <f t="array" ref="Q755:S755">VLOOKUP(P755,Hoja1!C:F,{2,3,4},FALSE)</f>
        <v>46295</v>
      </c>
      <c r="R755" t="str">
        <v>379</v>
      </c>
      <c r="S755" t="str">
        <v>1000003378 PINTURERIA CENTRAL SRL</v>
      </c>
    </row>
    <row r="756" spans="1:19" x14ac:dyDescent="0.3">
      <c r="A756" s="2" t="s">
        <v>14</v>
      </c>
      <c r="B756" s="3" t="s">
        <v>14</v>
      </c>
      <c r="C756" s="3" t="s">
        <v>694</v>
      </c>
      <c r="D756" s="3" t="s">
        <v>36</v>
      </c>
      <c r="E756" s="3" t="s">
        <v>107</v>
      </c>
      <c r="F756" s="4">
        <v>46295</v>
      </c>
      <c r="G756" s="3" t="s">
        <v>44</v>
      </c>
      <c r="H756" s="6">
        <v>-6655.2</v>
      </c>
      <c r="I756" s="3" t="s">
        <v>17</v>
      </c>
      <c r="J756" s="3" t="s">
        <v>14</v>
      </c>
      <c r="K756" s="3" t="s">
        <v>14</v>
      </c>
      <c r="L756" s="3" t="s">
        <v>67</v>
      </c>
      <c r="M756" s="4">
        <v>46296</v>
      </c>
      <c r="N756" s="3" t="s">
        <v>695</v>
      </c>
      <c r="O756" s="3" t="s">
        <v>193</v>
      </c>
      <c r="P756" t="str">
        <f t="shared" si="11"/>
        <v>4500139774110</v>
      </c>
      <c r="Q756" s="9" cm="1">
        <f t="array" ref="Q756:S756">VLOOKUP(P756,Hoja1!C:F,{2,3,4},FALSE)</f>
        <v>46295</v>
      </c>
      <c r="R756" t="str">
        <v>379</v>
      </c>
      <c r="S756" t="str">
        <v>1000003378 PINTURERIA CENTRAL SRL</v>
      </c>
    </row>
    <row r="757" spans="1:19" x14ac:dyDescent="0.3">
      <c r="A757" s="2" t="s">
        <v>14</v>
      </c>
      <c r="B757" s="3" t="s">
        <v>14</v>
      </c>
      <c r="C757" s="3" t="s">
        <v>694</v>
      </c>
      <c r="D757" s="3" t="s">
        <v>36</v>
      </c>
      <c r="E757" s="3" t="s">
        <v>107</v>
      </c>
      <c r="F757" s="4">
        <v>46295</v>
      </c>
      <c r="G757" s="3" t="s">
        <v>44</v>
      </c>
      <c r="H757" s="6">
        <v>-37733.65</v>
      </c>
      <c r="I757" s="3" t="s">
        <v>17</v>
      </c>
      <c r="J757" s="3" t="s">
        <v>14</v>
      </c>
      <c r="K757" s="3" t="s">
        <v>14</v>
      </c>
      <c r="L757" s="3" t="s">
        <v>67</v>
      </c>
      <c r="M757" s="4">
        <v>46296</v>
      </c>
      <c r="N757" s="3" t="s">
        <v>695</v>
      </c>
      <c r="O757" s="3" t="s">
        <v>400</v>
      </c>
      <c r="P757" t="str">
        <f t="shared" si="11"/>
        <v>4500139774120</v>
      </c>
      <c r="Q757" s="9" cm="1">
        <f t="array" ref="Q757:S757">VLOOKUP(P757,Hoja1!C:F,{2,3,4},FALSE)</f>
        <v>46295</v>
      </c>
      <c r="R757" t="str">
        <v>379</v>
      </c>
      <c r="S757" t="str">
        <v>1000003378 PINTURERIA CENTRAL SRL</v>
      </c>
    </row>
    <row r="758" spans="1:19" x14ac:dyDescent="0.3">
      <c r="A758" s="2" t="s">
        <v>14</v>
      </c>
      <c r="B758" s="3" t="s">
        <v>14</v>
      </c>
      <c r="C758" s="3" t="s">
        <v>696</v>
      </c>
      <c r="D758" s="3" t="s">
        <v>36</v>
      </c>
      <c r="E758" s="3" t="s">
        <v>107</v>
      </c>
      <c r="F758" s="4">
        <v>46296</v>
      </c>
      <c r="G758" s="3" t="s">
        <v>44</v>
      </c>
      <c r="H758" s="6">
        <v>-4167617.96</v>
      </c>
      <c r="I758" s="3" t="s">
        <v>17</v>
      </c>
      <c r="J758" s="3" t="s">
        <v>14</v>
      </c>
      <c r="K758" s="3" t="s">
        <v>14</v>
      </c>
      <c r="L758" s="3" t="s">
        <v>697</v>
      </c>
      <c r="M758" s="4">
        <v>46296</v>
      </c>
      <c r="N758" s="3" t="s">
        <v>698</v>
      </c>
      <c r="O758" s="3" t="s">
        <v>34</v>
      </c>
      <c r="P758" t="str">
        <f t="shared" si="11"/>
        <v>450013444910</v>
      </c>
      <c r="Q758" s="9" cm="1">
        <f t="array" ref="Q758:S758">VLOOKUP(P758,Hoja1!C:F,{2,3,4},FALSE)</f>
        <v>46387</v>
      </c>
      <c r="R758" t="str">
        <v>C25</v>
      </c>
      <c r="S758" t="str">
        <v>1000001040 REHABILITAR SAN JUAN SRL</v>
      </c>
    </row>
    <row r="759" spans="1:19" x14ac:dyDescent="0.3">
      <c r="A759" s="2" t="s">
        <v>14</v>
      </c>
      <c r="B759" s="3" t="s">
        <v>14</v>
      </c>
      <c r="C759" s="3" t="s">
        <v>699</v>
      </c>
      <c r="D759" s="3" t="s">
        <v>14</v>
      </c>
      <c r="E759" s="3" t="s">
        <v>107</v>
      </c>
      <c r="F759" s="4">
        <v>46296</v>
      </c>
      <c r="G759" s="3" t="s">
        <v>44</v>
      </c>
      <c r="H759" s="6">
        <v>-827821.5</v>
      </c>
      <c r="I759" s="3" t="s">
        <v>17</v>
      </c>
      <c r="J759" s="3" t="s">
        <v>14</v>
      </c>
      <c r="K759" s="3" t="s">
        <v>14</v>
      </c>
      <c r="L759" s="3" t="s">
        <v>163</v>
      </c>
      <c r="M759" s="4">
        <v>46296</v>
      </c>
      <c r="N759" s="3" t="s">
        <v>700</v>
      </c>
      <c r="O759" s="3" t="s">
        <v>34</v>
      </c>
      <c r="P759" t="str">
        <f t="shared" si="11"/>
        <v>450013981910</v>
      </c>
      <c r="Q759" s="9" cm="1">
        <f t="array" ref="Q759:S759">VLOOKUP(P759,Hoja1!C:F,{2,3,4},FALSE)</f>
        <v>46302</v>
      </c>
      <c r="R759" t="str">
        <v>C03</v>
      </c>
      <c r="S759" t="str">
        <v>1000000062 FINNING ARGENTINA S.A.</v>
      </c>
    </row>
    <row r="760" spans="1:19" x14ac:dyDescent="0.3">
      <c r="A760" s="2" t="s">
        <v>14</v>
      </c>
      <c r="B760" s="3" t="s">
        <v>14</v>
      </c>
      <c r="C760" s="3" t="s">
        <v>701</v>
      </c>
      <c r="D760" s="3" t="s">
        <v>14</v>
      </c>
      <c r="E760" s="3" t="s">
        <v>107</v>
      </c>
      <c r="F760" s="4">
        <v>46286</v>
      </c>
      <c r="G760" s="3" t="s">
        <v>44</v>
      </c>
      <c r="H760" s="6">
        <v>-1683170</v>
      </c>
      <c r="I760" s="3" t="s">
        <v>17</v>
      </c>
      <c r="J760" s="3" t="s">
        <v>14</v>
      </c>
      <c r="K760" s="3" t="s">
        <v>14</v>
      </c>
      <c r="L760" s="3" t="s">
        <v>89</v>
      </c>
      <c r="M760" s="4">
        <v>46296</v>
      </c>
      <c r="N760" s="3" t="s">
        <v>702</v>
      </c>
      <c r="O760" s="3" t="s">
        <v>34</v>
      </c>
      <c r="P760" t="str">
        <f t="shared" si="11"/>
        <v>450013902710</v>
      </c>
      <c r="Q760" s="9" cm="1">
        <f t="array" ref="Q760:S760">VLOOKUP(P760,Hoja1!C:F,{2,3,4},FALSE)</f>
        <v>46286</v>
      </c>
      <c r="R760" t="str">
        <v>C13</v>
      </c>
      <c r="S760" t="str">
        <v>1000001028 SOSTEN S.A.</v>
      </c>
    </row>
    <row r="761" spans="1:19" x14ac:dyDescent="0.3">
      <c r="A761" s="2" t="s">
        <v>14</v>
      </c>
      <c r="B761" s="3" t="s">
        <v>14</v>
      </c>
      <c r="C761" s="3" t="s">
        <v>752</v>
      </c>
      <c r="D761" s="3" t="s">
        <v>14</v>
      </c>
      <c r="E761" s="3" t="s">
        <v>107</v>
      </c>
      <c r="F761" s="4">
        <v>46287</v>
      </c>
      <c r="G761" s="3" t="s">
        <v>44</v>
      </c>
      <c r="H761" s="6">
        <v>-22536.25</v>
      </c>
      <c r="I761" s="3" t="s">
        <v>17</v>
      </c>
      <c r="J761" s="3" t="s">
        <v>14</v>
      </c>
      <c r="K761" s="3" t="s">
        <v>14</v>
      </c>
      <c r="L761" s="3" t="s">
        <v>753</v>
      </c>
      <c r="M761" s="4">
        <v>46296</v>
      </c>
      <c r="N761" s="3" t="s">
        <v>754</v>
      </c>
      <c r="O761" s="3" t="s">
        <v>34</v>
      </c>
      <c r="P761" t="str">
        <f t="shared" si="11"/>
        <v>450013881110</v>
      </c>
      <c r="Q761" s="9" cm="1">
        <f t="array" ref="Q761:S761">VLOOKUP(P761,Hoja1!C:F,{2,3,4},FALSE)</f>
        <v>46295</v>
      </c>
      <c r="R761" t="str">
        <v>C03</v>
      </c>
      <c r="S761" t="str">
        <v>1000002138 AMERICAN HEAVY PARTS S.R.L.</v>
      </c>
    </row>
    <row r="762" spans="1:19" x14ac:dyDescent="0.3">
      <c r="A762" s="2" t="s">
        <v>14</v>
      </c>
      <c r="B762" s="3" t="s">
        <v>14</v>
      </c>
      <c r="C762" s="3" t="s">
        <v>752</v>
      </c>
      <c r="D762" s="3" t="s">
        <v>14</v>
      </c>
      <c r="E762" s="3" t="s">
        <v>107</v>
      </c>
      <c r="F762" s="4">
        <v>46287</v>
      </c>
      <c r="G762" s="3" t="s">
        <v>44</v>
      </c>
      <c r="H762" s="6">
        <v>-196625</v>
      </c>
      <c r="I762" s="3" t="s">
        <v>17</v>
      </c>
      <c r="J762" s="3" t="s">
        <v>14</v>
      </c>
      <c r="K762" s="3" t="s">
        <v>14</v>
      </c>
      <c r="L762" s="3" t="s">
        <v>753</v>
      </c>
      <c r="M762" s="4">
        <v>46296</v>
      </c>
      <c r="N762" s="3" t="s">
        <v>754</v>
      </c>
      <c r="O762" s="3" t="s">
        <v>21</v>
      </c>
      <c r="P762" t="str">
        <f t="shared" si="11"/>
        <v>450013881120</v>
      </c>
      <c r="Q762" s="9" cm="1">
        <f t="array" ref="Q762:S762">VLOOKUP(P762,Hoja1!C:F,{2,3,4},FALSE)</f>
        <v>46295</v>
      </c>
      <c r="R762" t="str">
        <v>C03</v>
      </c>
      <c r="S762" t="str">
        <v>1000002138 AMERICAN HEAVY PARTS S.R.L.</v>
      </c>
    </row>
    <row r="763" spans="1:19" x14ac:dyDescent="0.3">
      <c r="A763" s="2" t="s">
        <v>14</v>
      </c>
      <c r="B763" s="3" t="s">
        <v>14</v>
      </c>
      <c r="C763" s="3" t="s">
        <v>755</v>
      </c>
      <c r="D763" s="3" t="s">
        <v>14</v>
      </c>
      <c r="E763" s="3" t="s">
        <v>107</v>
      </c>
      <c r="F763" s="4">
        <v>46287</v>
      </c>
      <c r="G763" s="3" t="s">
        <v>44</v>
      </c>
      <c r="H763" s="6">
        <v>-109627.32</v>
      </c>
      <c r="I763" s="3" t="s">
        <v>17</v>
      </c>
      <c r="J763" s="3" t="s">
        <v>14</v>
      </c>
      <c r="K763" s="3" t="s">
        <v>14</v>
      </c>
      <c r="L763" s="3" t="s">
        <v>82</v>
      </c>
      <c r="M763" s="4">
        <v>46296</v>
      </c>
      <c r="N763" s="3" t="s">
        <v>756</v>
      </c>
      <c r="O763" s="3" t="s">
        <v>343</v>
      </c>
      <c r="P763" t="str">
        <f t="shared" si="11"/>
        <v>450013874580</v>
      </c>
      <c r="Q763" s="9" cm="1">
        <f t="array" ref="Q763:S763">VLOOKUP(P763,Hoja1!C:F,{2,3,4},FALSE)</f>
        <v>46301</v>
      </c>
      <c r="R763" t="str">
        <v>C03</v>
      </c>
      <c r="S763" t="str">
        <v>1000000012 IGARRETA MAQUINAS S.A.</v>
      </c>
    </row>
    <row r="764" spans="1:19" x14ac:dyDescent="0.3">
      <c r="A764" s="2" t="s">
        <v>14</v>
      </c>
      <c r="B764" s="3" t="s">
        <v>14</v>
      </c>
      <c r="C764" s="3" t="s">
        <v>757</v>
      </c>
      <c r="D764" s="3" t="s">
        <v>14</v>
      </c>
      <c r="E764" s="3" t="s">
        <v>107</v>
      </c>
      <c r="F764" s="4">
        <v>46288</v>
      </c>
      <c r="G764" s="3" t="s">
        <v>44</v>
      </c>
      <c r="H764" s="6">
        <v>-198347.1</v>
      </c>
      <c r="I764" s="3" t="s">
        <v>17</v>
      </c>
      <c r="J764" s="3" t="s">
        <v>14</v>
      </c>
      <c r="K764" s="3" t="s">
        <v>14</v>
      </c>
      <c r="L764" s="3" t="s">
        <v>758</v>
      </c>
      <c r="M764" s="4">
        <v>46296</v>
      </c>
      <c r="N764" s="3" t="s">
        <v>759</v>
      </c>
      <c r="O764" s="3" t="s">
        <v>34</v>
      </c>
      <c r="P764" t="str">
        <f t="shared" si="11"/>
        <v>450013920910</v>
      </c>
      <c r="Q764" s="9" cm="1">
        <f t="array" ref="Q764:S764">VLOOKUP(P764,Hoja1!C:F,{2,3,4},FALSE)</f>
        <v>46308</v>
      </c>
      <c r="R764" t="str">
        <v>C43</v>
      </c>
      <c r="S764" t="str">
        <v>1000013098 EL ALTILLO SRL</v>
      </c>
    </row>
    <row r="765" spans="1:19" x14ac:dyDescent="0.3">
      <c r="A765" s="2" t="s">
        <v>14</v>
      </c>
      <c r="B765" s="3" t="s">
        <v>14</v>
      </c>
      <c r="C765" s="3" t="s">
        <v>757</v>
      </c>
      <c r="D765" s="3" t="s">
        <v>14</v>
      </c>
      <c r="E765" s="3" t="s">
        <v>107</v>
      </c>
      <c r="F765" s="4">
        <v>46288</v>
      </c>
      <c r="G765" s="3" t="s">
        <v>44</v>
      </c>
      <c r="H765" s="6">
        <v>-74380.160000000003</v>
      </c>
      <c r="I765" s="3" t="s">
        <v>17</v>
      </c>
      <c r="J765" s="3" t="s">
        <v>14</v>
      </c>
      <c r="K765" s="3" t="s">
        <v>14</v>
      </c>
      <c r="L765" s="3" t="s">
        <v>758</v>
      </c>
      <c r="M765" s="4">
        <v>46296</v>
      </c>
      <c r="N765" s="3" t="s">
        <v>759</v>
      </c>
      <c r="O765" s="3" t="s">
        <v>21</v>
      </c>
      <c r="P765" t="str">
        <f t="shared" si="11"/>
        <v>450013920920</v>
      </c>
      <c r="Q765" s="9" cm="1">
        <f t="array" ref="Q765:S765">VLOOKUP(P765,Hoja1!C:F,{2,3,4},FALSE)</f>
        <v>46308</v>
      </c>
      <c r="R765" t="str">
        <v>C43</v>
      </c>
      <c r="S765" t="str">
        <v>1000013098 EL ALTILLO SRL</v>
      </c>
    </row>
    <row r="766" spans="1:19" x14ac:dyDescent="0.3">
      <c r="A766" s="2" t="s">
        <v>14</v>
      </c>
      <c r="B766" s="3" t="s">
        <v>14</v>
      </c>
      <c r="C766" s="3" t="s">
        <v>760</v>
      </c>
      <c r="D766" s="3" t="s">
        <v>14</v>
      </c>
      <c r="E766" s="3" t="s">
        <v>107</v>
      </c>
      <c r="F766" s="4">
        <v>46288</v>
      </c>
      <c r="G766" s="3" t="s">
        <v>44</v>
      </c>
      <c r="H766" s="6">
        <v>-611201.25</v>
      </c>
      <c r="I766" s="3" t="s">
        <v>17</v>
      </c>
      <c r="J766" s="3" t="s">
        <v>14</v>
      </c>
      <c r="K766" s="3" t="s">
        <v>14</v>
      </c>
      <c r="L766" s="3" t="s">
        <v>19</v>
      </c>
      <c r="M766" s="4">
        <v>46296</v>
      </c>
      <c r="N766" s="3" t="s">
        <v>746</v>
      </c>
      <c r="O766" s="3" t="s">
        <v>34</v>
      </c>
      <c r="P766" t="str">
        <f t="shared" si="11"/>
        <v>450013921110</v>
      </c>
      <c r="Q766" s="9" cm="1">
        <f t="array" ref="Q766:S766">VLOOKUP(P766,Hoja1!C:F,{2,3,4},FALSE)</f>
        <v>46295</v>
      </c>
      <c r="R766" t="str">
        <v>C43</v>
      </c>
      <c r="S766" t="str">
        <v>1000001470 SUDAMERICANA CAMIONES SA</v>
      </c>
    </row>
    <row r="767" spans="1:19" x14ac:dyDescent="0.3">
      <c r="A767" s="2" t="s">
        <v>14</v>
      </c>
      <c r="B767" s="3" t="s">
        <v>14</v>
      </c>
      <c r="C767" s="3" t="s">
        <v>760</v>
      </c>
      <c r="D767" s="3" t="s">
        <v>14</v>
      </c>
      <c r="E767" s="3" t="s">
        <v>107</v>
      </c>
      <c r="F767" s="4">
        <v>46288</v>
      </c>
      <c r="G767" s="3" t="s">
        <v>44</v>
      </c>
      <c r="H767" s="6">
        <v>-611201.25</v>
      </c>
      <c r="I767" s="3" t="s">
        <v>17</v>
      </c>
      <c r="J767" s="3" t="s">
        <v>14</v>
      </c>
      <c r="K767" s="3" t="s">
        <v>14</v>
      </c>
      <c r="L767" s="3" t="s">
        <v>19</v>
      </c>
      <c r="M767" s="4">
        <v>46296</v>
      </c>
      <c r="N767" s="3" t="s">
        <v>746</v>
      </c>
      <c r="O767" s="3" t="s">
        <v>21</v>
      </c>
      <c r="P767" t="str">
        <f t="shared" si="11"/>
        <v>450013921120</v>
      </c>
      <c r="Q767" s="9" cm="1">
        <f t="array" ref="Q767:S767">VLOOKUP(P767,Hoja1!C:F,{2,3,4},FALSE)</f>
        <v>46295</v>
      </c>
      <c r="R767" t="str">
        <v>C43</v>
      </c>
      <c r="S767" t="str">
        <v>1000001470 SUDAMERICANA CAMIONES SA</v>
      </c>
    </row>
    <row r="768" spans="1:19" x14ac:dyDescent="0.3">
      <c r="A768" s="2" t="s">
        <v>14</v>
      </c>
      <c r="B768" s="3" t="s">
        <v>14</v>
      </c>
      <c r="C768" s="3" t="s">
        <v>761</v>
      </c>
      <c r="D768" s="3" t="s">
        <v>14</v>
      </c>
      <c r="E768" s="3" t="s">
        <v>107</v>
      </c>
      <c r="F768" s="4">
        <v>46288</v>
      </c>
      <c r="G768" s="3" t="s">
        <v>44</v>
      </c>
      <c r="H768" s="6">
        <v>-99825</v>
      </c>
      <c r="I768" s="3" t="s">
        <v>17</v>
      </c>
      <c r="J768" s="3" t="s">
        <v>14</v>
      </c>
      <c r="K768" s="3" t="s">
        <v>14</v>
      </c>
      <c r="L768" s="3" t="s">
        <v>762</v>
      </c>
      <c r="M768" s="4">
        <v>46296</v>
      </c>
      <c r="N768" s="3" t="s">
        <v>763</v>
      </c>
      <c r="O768" s="3" t="s">
        <v>21</v>
      </c>
      <c r="P768" t="str">
        <f t="shared" si="11"/>
        <v>450013834820</v>
      </c>
      <c r="Q768" s="9" cm="1">
        <f t="array" ref="Q768:S768">VLOOKUP(P768,Hoja1!C:F,{2,3,4},FALSE)</f>
        <v>46294</v>
      </c>
      <c r="R768" t="str">
        <v>C03</v>
      </c>
      <c r="S768" t="str">
        <v>1000000190 FERNANDEZ INSUA S.A.</v>
      </c>
    </row>
    <row r="769" spans="1:19" x14ac:dyDescent="0.3">
      <c r="A769" s="2" t="s">
        <v>14</v>
      </c>
      <c r="B769" s="3" t="s">
        <v>14</v>
      </c>
      <c r="C769" s="3" t="s">
        <v>761</v>
      </c>
      <c r="D769" s="3" t="s">
        <v>14</v>
      </c>
      <c r="E769" s="3" t="s">
        <v>107</v>
      </c>
      <c r="F769" s="4">
        <v>46288</v>
      </c>
      <c r="G769" s="3" t="s">
        <v>44</v>
      </c>
      <c r="H769" s="6">
        <v>-181500</v>
      </c>
      <c r="I769" s="3" t="s">
        <v>17</v>
      </c>
      <c r="J769" s="3" t="s">
        <v>14</v>
      </c>
      <c r="K769" s="3" t="s">
        <v>14</v>
      </c>
      <c r="L769" s="3" t="s">
        <v>762</v>
      </c>
      <c r="M769" s="4">
        <v>46296</v>
      </c>
      <c r="N769" s="3" t="s">
        <v>763</v>
      </c>
      <c r="O769" s="3" t="s">
        <v>22</v>
      </c>
      <c r="P769" t="str">
        <f t="shared" si="11"/>
        <v>450013834830</v>
      </c>
      <c r="Q769" s="9" cm="1">
        <f t="array" ref="Q769:S769">VLOOKUP(P769,Hoja1!C:F,{2,3,4},FALSE)</f>
        <v>46294</v>
      </c>
      <c r="R769" t="str">
        <v>C03</v>
      </c>
      <c r="S769" t="str">
        <v>1000000190 FERNANDEZ INSUA S.A.</v>
      </c>
    </row>
    <row r="770" spans="1:19" x14ac:dyDescent="0.3">
      <c r="A770" s="2" t="s">
        <v>14</v>
      </c>
      <c r="B770" s="3" t="s">
        <v>14</v>
      </c>
      <c r="C770" s="3" t="s">
        <v>761</v>
      </c>
      <c r="D770" s="3" t="s">
        <v>14</v>
      </c>
      <c r="E770" s="3" t="s">
        <v>107</v>
      </c>
      <c r="F770" s="4">
        <v>46288</v>
      </c>
      <c r="G770" s="3" t="s">
        <v>44</v>
      </c>
      <c r="H770" s="6">
        <v>-272250</v>
      </c>
      <c r="I770" s="3" t="s">
        <v>17</v>
      </c>
      <c r="J770" s="3" t="s">
        <v>14</v>
      </c>
      <c r="K770" s="3" t="s">
        <v>14</v>
      </c>
      <c r="L770" s="3" t="s">
        <v>762</v>
      </c>
      <c r="M770" s="4">
        <v>46296</v>
      </c>
      <c r="N770" s="3" t="s">
        <v>763</v>
      </c>
      <c r="O770" s="3" t="s">
        <v>26</v>
      </c>
      <c r="P770" t="str">
        <f t="shared" si="11"/>
        <v>450013834840</v>
      </c>
      <c r="Q770" s="9" cm="1">
        <f t="array" ref="Q770:S770">VLOOKUP(P770,Hoja1!C:F,{2,3,4},FALSE)</f>
        <v>46294</v>
      </c>
      <c r="R770" t="str">
        <v>C03</v>
      </c>
      <c r="S770" t="str">
        <v>1000000190 FERNANDEZ INSUA S.A.</v>
      </c>
    </row>
    <row r="771" spans="1:19" x14ac:dyDescent="0.3">
      <c r="A771" s="2" t="s">
        <v>14</v>
      </c>
      <c r="B771" s="3" t="s">
        <v>14</v>
      </c>
      <c r="C771" s="3" t="s">
        <v>764</v>
      </c>
      <c r="D771" s="3" t="s">
        <v>14</v>
      </c>
      <c r="E771" s="3" t="s">
        <v>107</v>
      </c>
      <c r="F771" s="4">
        <v>46288</v>
      </c>
      <c r="G771" s="3" t="s">
        <v>44</v>
      </c>
      <c r="H771" s="6">
        <v>-197381.25</v>
      </c>
      <c r="I771" s="3" t="s">
        <v>17</v>
      </c>
      <c r="J771" s="3" t="s">
        <v>14</v>
      </c>
      <c r="K771" s="3" t="s">
        <v>14</v>
      </c>
      <c r="L771" s="3" t="s">
        <v>169</v>
      </c>
      <c r="M771" s="4">
        <v>46296</v>
      </c>
      <c r="N771" s="3" t="s">
        <v>765</v>
      </c>
      <c r="O771" s="3" t="s">
        <v>22</v>
      </c>
      <c r="P771" t="str">
        <f t="shared" ref="P771:P834" si="12">_xlfn.CONCAT(N771:O771)</f>
        <v>450013569930</v>
      </c>
      <c r="Q771" s="9" cm="1">
        <f t="array" ref="Q771:S771">VLOOKUP(P771,Hoja1!C:F,{2,3,4},FALSE)</f>
        <v>46304</v>
      </c>
      <c r="R771" t="str">
        <v>C43</v>
      </c>
      <c r="S771" t="str">
        <v>1000002607 DIESEL LANGE S.R.L</v>
      </c>
    </row>
    <row r="772" spans="1:19" x14ac:dyDescent="0.3">
      <c r="A772" s="2" t="s">
        <v>14</v>
      </c>
      <c r="B772" s="3" t="s">
        <v>14</v>
      </c>
      <c r="C772" s="3" t="s">
        <v>764</v>
      </c>
      <c r="D772" s="3" t="s">
        <v>14</v>
      </c>
      <c r="E772" s="3" t="s">
        <v>107</v>
      </c>
      <c r="F772" s="4">
        <v>46288</v>
      </c>
      <c r="G772" s="3" t="s">
        <v>44</v>
      </c>
      <c r="H772" s="6">
        <v>-84851.25</v>
      </c>
      <c r="I772" s="3" t="s">
        <v>17</v>
      </c>
      <c r="J772" s="3" t="s">
        <v>14</v>
      </c>
      <c r="K772" s="3" t="s">
        <v>14</v>
      </c>
      <c r="L772" s="3" t="s">
        <v>169</v>
      </c>
      <c r="M772" s="4">
        <v>46296</v>
      </c>
      <c r="N772" s="3" t="s">
        <v>765</v>
      </c>
      <c r="O772" s="3" t="s">
        <v>26</v>
      </c>
      <c r="P772" t="str">
        <f t="shared" si="12"/>
        <v>450013569940</v>
      </c>
      <c r="Q772" s="9" cm="1">
        <f t="array" ref="Q772:S772">VLOOKUP(P772,Hoja1!C:F,{2,3,4},FALSE)</f>
        <v>46304</v>
      </c>
      <c r="R772" t="str">
        <v>C43</v>
      </c>
      <c r="S772" t="str">
        <v>1000002607 DIESEL LANGE S.R.L</v>
      </c>
    </row>
    <row r="773" spans="1:19" x14ac:dyDescent="0.3">
      <c r="A773" s="2" t="s">
        <v>14</v>
      </c>
      <c r="B773" s="3" t="s">
        <v>14</v>
      </c>
      <c r="C773" s="3" t="s">
        <v>766</v>
      </c>
      <c r="D773" s="3" t="s">
        <v>14</v>
      </c>
      <c r="E773" s="3" t="s">
        <v>107</v>
      </c>
      <c r="F773" s="4">
        <v>46288</v>
      </c>
      <c r="G773" s="3" t="s">
        <v>44</v>
      </c>
      <c r="H773" s="6">
        <v>-30401.25</v>
      </c>
      <c r="I773" s="3" t="s">
        <v>17</v>
      </c>
      <c r="J773" s="3" t="s">
        <v>14</v>
      </c>
      <c r="K773" s="3" t="s">
        <v>14</v>
      </c>
      <c r="L773" s="3" t="s">
        <v>169</v>
      </c>
      <c r="M773" s="4">
        <v>46296</v>
      </c>
      <c r="N773" s="3" t="s">
        <v>767</v>
      </c>
      <c r="O773" s="3" t="s">
        <v>26</v>
      </c>
      <c r="P773" t="str">
        <f t="shared" si="12"/>
        <v>450013759140</v>
      </c>
      <c r="Q773" s="9" cm="1">
        <f t="array" ref="Q773:S773">VLOOKUP(P773,Hoja1!C:F,{2,3,4},FALSE)</f>
        <v>46301</v>
      </c>
      <c r="R773" t="str">
        <v>C03</v>
      </c>
      <c r="S773" t="str">
        <v>1000002607 DIESEL LANGE S.R.L</v>
      </c>
    </row>
    <row r="774" spans="1:19" x14ac:dyDescent="0.3">
      <c r="A774" s="2" t="s">
        <v>14</v>
      </c>
      <c r="B774" s="3" t="s">
        <v>14</v>
      </c>
      <c r="C774" s="3" t="s">
        <v>768</v>
      </c>
      <c r="D774" s="3" t="s">
        <v>14</v>
      </c>
      <c r="E774" s="3" t="s">
        <v>107</v>
      </c>
      <c r="F774" s="4">
        <v>46290</v>
      </c>
      <c r="G774" s="3" t="s">
        <v>44</v>
      </c>
      <c r="H774" s="6">
        <v>-308595.86</v>
      </c>
      <c r="I774" s="3" t="s">
        <v>17</v>
      </c>
      <c r="J774" s="3" t="s">
        <v>14</v>
      </c>
      <c r="K774" s="3" t="s">
        <v>14</v>
      </c>
      <c r="L774" s="3" t="s">
        <v>82</v>
      </c>
      <c r="M774" s="4">
        <v>46296</v>
      </c>
      <c r="N774" s="3" t="s">
        <v>769</v>
      </c>
      <c r="O774" s="3" t="s">
        <v>34</v>
      </c>
      <c r="P774" t="str">
        <f t="shared" si="12"/>
        <v>450013717410</v>
      </c>
      <c r="Q774" s="9" cm="1">
        <f t="array" ref="Q774:S774">VLOOKUP(P774,Hoja1!C:F,{2,3,4},FALSE)</f>
        <v>46287</v>
      </c>
      <c r="R774" t="str">
        <v>C03</v>
      </c>
      <c r="S774" t="str">
        <v>1000000012 IGARRETA MAQUINAS S.A.</v>
      </c>
    </row>
    <row r="775" spans="1:19" x14ac:dyDescent="0.3">
      <c r="A775" s="2" t="s">
        <v>14</v>
      </c>
      <c r="B775" s="3" t="s">
        <v>14</v>
      </c>
      <c r="C775" s="3" t="s">
        <v>770</v>
      </c>
      <c r="D775" s="3" t="s">
        <v>56</v>
      </c>
      <c r="E775" s="3" t="s">
        <v>107</v>
      </c>
      <c r="F775" s="4">
        <v>46296</v>
      </c>
      <c r="G775" s="3" t="s">
        <v>44</v>
      </c>
      <c r="H775" s="6">
        <v>-8432742.2400000002</v>
      </c>
      <c r="I775" s="3" t="s">
        <v>17</v>
      </c>
      <c r="J775" s="3" t="s">
        <v>14</v>
      </c>
      <c r="K775" s="3" t="s">
        <v>14</v>
      </c>
      <c r="L775" s="3" t="s">
        <v>771</v>
      </c>
      <c r="M775" s="4">
        <v>46296</v>
      </c>
      <c r="N775" s="3" t="s">
        <v>772</v>
      </c>
      <c r="O775" s="3" t="s">
        <v>34</v>
      </c>
      <c r="P775" t="str">
        <f t="shared" si="12"/>
        <v>450013338510</v>
      </c>
      <c r="Q775" s="9" cm="1">
        <f t="array" ref="Q775:S775">VLOOKUP(P775,Hoja1!C:F,{2,3,4},FALSE)</f>
        <v>46606</v>
      </c>
      <c r="R775" t="str">
        <v>C25</v>
      </c>
      <c r="S775" t="str">
        <v>1000009587 THOMAS BUS S. R. L.</v>
      </c>
    </row>
    <row r="776" spans="1:19" x14ac:dyDescent="0.3">
      <c r="A776" s="2" t="s">
        <v>14</v>
      </c>
      <c r="B776" s="3" t="s">
        <v>14</v>
      </c>
      <c r="C776" s="3" t="s">
        <v>770</v>
      </c>
      <c r="D776" s="3" t="s">
        <v>56</v>
      </c>
      <c r="E776" s="3" t="s">
        <v>107</v>
      </c>
      <c r="F776" s="4">
        <v>46296</v>
      </c>
      <c r="G776" s="3" t="s">
        <v>44</v>
      </c>
      <c r="H776" s="6">
        <v>-1368577.44</v>
      </c>
      <c r="I776" s="3" t="s">
        <v>17</v>
      </c>
      <c r="J776" s="3" t="s">
        <v>14</v>
      </c>
      <c r="K776" s="3" t="s">
        <v>14</v>
      </c>
      <c r="L776" s="3" t="s">
        <v>771</v>
      </c>
      <c r="M776" s="4">
        <v>46296</v>
      </c>
      <c r="N776" s="3" t="s">
        <v>772</v>
      </c>
      <c r="O776" s="3" t="s">
        <v>21</v>
      </c>
      <c r="P776" t="str">
        <f t="shared" si="12"/>
        <v>450013338520</v>
      </c>
      <c r="Q776" s="9" cm="1">
        <f t="array" ref="Q776:S776">VLOOKUP(P776,Hoja1!C:F,{2,3,4},FALSE)</f>
        <v>46606</v>
      </c>
      <c r="R776" t="str">
        <v>C25</v>
      </c>
      <c r="S776" t="str">
        <v>1000009587 THOMAS BUS S. R. L.</v>
      </c>
    </row>
    <row r="777" spans="1:19" x14ac:dyDescent="0.3">
      <c r="A777" s="2" t="s">
        <v>14</v>
      </c>
      <c r="B777" s="3" t="s">
        <v>14</v>
      </c>
      <c r="C777" s="3" t="s">
        <v>770</v>
      </c>
      <c r="D777" s="3" t="s">
        <v>56</v>
      </c>
      <c r="E777" s="3" t="s">
        <v>107</v>
      </c>
      <c r="F777" s="4">
        <v>46296</v>
      </c>
      <c r="G777" s="3" t="s">
        <v>44</v>
      </c>
      <c r="H777" s="6">
        <v>-1501512.4</v>
      </c>
      <c r="I777" s="3" t="s">
        <v>17</v>
      </c>
      <c r="J777" s="3" t="s">
        <v>14</v>
      </c>
      <c r="K777" s="3" t="s">
        <v>14</v>
      </c>
      <c r="L777" s="3" t="s">
        <v>771</v>
      </c>
      <c r="M777" s="4">
        <v>46296</v>
      </c>
      <c r="N777" s="3" t="s">
        <v>772</v>
      </c>
      <c r="O777" s="3" t="s">
        <v>22</v>
      </c>
      <c r="P777" t="str">
        <f t="shared" si="12"/>
        <v>450013338530</v>
      </c>
      <c r="Q777" s="9" cm="1">
        <f t="array" ref="Q777:S777">VLOOKUP(P777,Hoja1!C:F,{2,3,4},FALSE)</f>
        <v>46606</v>
      </c>
      <c r="R777" t="str">
        <v>C25</v>
      </c>
      <c r="S777" t="str">
        <v>1000009587 THOMAS BUS S. R. L.</v>
      </c>
    </row>
    <row r="778" spans="1:19" x14ac:dyDescent="0.3">
      <c r="A778" s="2" t="s">
        <v>14</v>
      </c>
      <c r="B778" s="3" t="s">
        <v>14</v>
      </c>
      <c r="C778" s="3" t="s">
        <v>773</v>
      </c>
      <c r="D778" s="3" t="s">
        <v>14</v>
      </c>
      <c r="E778" s="3" t="s">
        <v>107</v>
      </c>
      <c r="F778" s="4">
        <v>46290</v>
      </c>
      <c r="G778" s="3" t="s">
        <v>44</v>
      </c>
      <c r="H778" s="6">
        <v>-345465</v>
      </c>
      <c r="I778" s="3" t="s">
        <v>17</v>
      </c>
      <c r="J778" s="3" t="s">
        <v>14</v>
      </c>
      <c r="K778" s="3" t="s">
        <v>14</v>
      </c>
      <c r="L778" s="3" t="s">
        <v>89</v>
      </c>
      <c r="M778" s="4">
        <v>46296</v>
      </c>
      <c r="N778" s="3" t="s">
        <v>774</v>
      </c>
      <c r="O778" s="3" t="s">
        <v>34</v>
      </c>
      <c r="P778" t="str">
        <f t="shared" si="12"/>
        <v>450013949610</v>
      </c>
      <c r="Q778" s="9" cm="1">
        <f t="array" ref="Q778:S778">VLOOKUP(P778,Hoja1!C:F,{2,3,4},FALSE)</f>
        <v>46300</v>
      </c>
      <c r="R778" t="str">
        <v>C43</v>
      </c>
      <c r="S778" t="str">
        <v>1000001028 SOSTEN S.A.</v>
      </c>
    </row>
    <row r="779" spans="1:19" x14ac:dyDescent="0.3">
      <c r="A779" s="2" t="s">
        <v>14</v>
      </c>
      <c r="B779" s="3" t="s">
        <v>14</v>
      </c>
      <c r="C779" s="3" t="s">
        <v>775</v>
      </c>
      <c r="D779" s="3" t="s">
        <v>14</v>
      </c>
      <c r="E779" s="3" t="s">
        <v>107</v>
      </c>
      <c r="F779" s="4">
        <v>46290</v>
      </c>
      <c r="G779" s="3" t="s">
        <v>44</v>
      </c>
      <c r="H779" s="6">
        <v>-256600</v>
      </c>
      <c r="I779" s="3" t="s">
        <v>17</v>
      </c>
      <c r="J779" s="3" t="s">
        <v>14</v>
      </c>
      <c r="K779" s="3" t="s">
        <v>14</v>
      </c>
      <c r="L779" s="3" t="s">
        <v>53</v>
      </c>
      <c r="M779" s="4">
        <v>46296</v>
      </c>
      <c r="N779" s="3" t="s">
        <v>776</v>
      </c>
      <c r="O779" s="3" t="s">
        <v>34</v>
      </c>
      <c r="P779" t="str">
        <f t="shared" si="12"/>
        <v>450013868110</v>
      </c>
      <c r="Q779" s="9" cm="1">
        <f t="array" ref="Q779:S779">VLOOKUP(P779,Hoja1!C:F,{2,3,4},FALSE)</f>
        <v>46296</v>
      </c>
      <c r="R779" t="str">
        <v>C43</v>
      </c>
      <c r="S779" t="str">
        <v>1000002834 J.M.F. VIAL &amp; PARTS SAS</v>
      </c>
    </row>
    <row r="780" spans="1:19" x14ac:dyDescent="0.3">
      <c r="A780" s="2" t="s">
        <v>14</v>
      </c>
      <c r="B780" s="3" t="s">
        <v>14</v>
      </c>
      <c r="C780" s="3" t="s">
        <v>777</v>
      </c>
      <c r="D780" s="3" t="s">
        <v>14</v>
      </c>
      <c r="E780" s="3" t="s">
        <v>107</v>
      </c>
      <c r="F780" s="4">
        <v>46290</v>
      </c>
      <c r="G780" s="3" t="s">
        <v>44</v>
      </c>
      <c r="H780" s="6">
        <v>-3316912.5</v>
      </c>
      <c r="I780" s="3" t="s">
        <v>17</v>
      </c>
      <c r="J780" s="3" t="s">
        <v>14</v>
      </c>
      <c r="K780" s="3" t="s">
        <v>14</v>
      </c>
      <c r="L780" s="3" t="s">
        <v>778</v>
      </c>
      <c r="M780" s="4">
        <v>46296</v>
      </c>
      <c r="N780" s="3" t="s">
        <v>779</v>
      </c>
      <c r="O780" s="3" t="s">
        <v>34</v>
      </c>
      <c r="P780" t="str">
        <f t="shared" si="12"/>
        <v>450013955610</v>
      </c>
      <c r="Q780" s="9" cm="1">
        <f t="array" ref="Q780:S780">VLOOKUP(P780,Hoja1!C:F,{2,3,4},FALSE)</f>
        <v>46295</v>
      </c>
      <c r="R780" t="str">
        <v>C43</v>
      </c>
      <c r="S780" t="str">
        <v>1000001477 ACER SAN JUAN S.R.L.</v>
      </c>
    </row>
    <row r="781" spans="1:19" x14ac:dyDescent="0.3">
      <c r="A781" s="2" t="s">
        <v>14</v>
      </c>
      <c r="B781" s="3" t="s">
        <v>14</v>
      </c>
      <c r="C781" s="3" t="s">
        <v>780</v>
      </c>
      <c r="D781" s="3" t="s">
        <v>14</v>
      </c>
      <c r="E781" s="3" t="s">
        <v>107</v>
      </c>
      <c r="F781" s="4">
        <v>46291</v>
      </c>
      <c r="G781" s="3" t="s">
        <v>44</v>
      </c>
      <c r="H781" s="6">
        <v>-983125</v>
      </c>
      <c r="I781" s="3" t="s">
        <v>17</v>
      </c>
      <c r="J781" s="3" t="s">
        <v>14</v>
      </c>
      <c r="K781" s="3" t="s">
        <v>14</v>
      </c>
      <c r="L781" s="3" t="s">
        <v>762</v>
      </c>
      <c r="M781" s="4">
        <v>46296</v>
      </c>
      <c r="N781" s="3" t="s">
        <v>781</v>
      </c>
      <c r="O781" s="3" t="s">
        <v>21</v>
      </c>
      <c r="P781" t="str">
        <f t="shared" si="12"/>
        <v>450013686120</v>
      </c>
      <c r="Q781" s="9" cm="1">
        <f t="array" ref="Q781:S781">VLOOKUP(P781,Hoja1!C:F,{2,3,4},FALSE)</f>
        <v>46301</v>
      </c>
      <c r="R781" t="str">
        <v>C43</v>
      </c>
      <c r="S781" t="str">
        <v>1000000190 FERNANDEZ INSUA S.A.</v>
      </c>
    </row>
    <row r="782" spans="1:19" x14ac:dyDescent="0.3">
      <c r="A782" s="2" t="s">
        <v>14</v>
      </c>
      <c r="B782" s="3" t="s">
        <v>14</v>
      </c>
      <c r="C782" s="3" t="s">
        <v>782</v>
      </c>
      <c r="D782" s="3" t="s">
        <v>14</v>
      </c>
      <c r="E782" s="3" t="s">
        <v>107</v>
      </c>
      <c r="F782" s="4">
        <v>46293</v>
      </c>
      <c r="G782" s="3" t="s">
        <v>44</v>
      </c>
      <c r="H782" s="6">
        <v>-689700</v>
      </c>
      <c r="I782" s="3" t="s">
        <v>17</v>
      </c>
      <c r="J782" s="3" t="s">
        <v>14</v>
      </c>
      <c r="K782" s="3" t="s">
        <v>14</v>
      </c>
      <c r="L782" s="3" t="s">
        <v>762</v>
      </c>
      <c r="M782" s="4">
        <v>46296</v>
      </c>
      <c r="N782" s="3" t="s">
        <v>783</v>
      </c>
      <c r="O782" s="3" t="s">
        <v>34</v>
      </c>
      <c r="P782" t="str">
        <f t="shared" si="12"/>
        <v>450013795210</v>
      </c>
      <c r="Q782" s="9" cm="1">
        <f t="array" ref="Q782:S782">VLOOKUP(P782,Hoja1!C:F,{2,3,4},FALSE)</f>
        <v>46301</v>
      </c>
      <c r="R782" t="str">
        <v>C03</v>
      </c>
      <c r="S782" t="str">
        <v>1000000190 FERNANDEZ INSUA S.A.</v>
      </c>
    </row>
    <row r="783" spans="1:19" x14ac:dyDescent="0.3">
      <c r="A783" s="2" t="s">
        <v>14</v>
      </c>
      <c r="B783" s="3" t="s">
        <v>14</v>
      </c>
      <c r="C783" s="3" t="s">
        <v>784</v>
      </c>
      <c r="D783" s="3" t="s">
        <v>36</v>
      </c>
      <c r="E783" s="3" t="s">
        <v>107</v>
      </c>
      <c r="F783" s="4">
        <v>46296</v>
      </c>
      <c r="G783" s="3" t="s">
        <v>44</v>
      </c>
      <c r="H783" s="6">
        <v>-2200000</v>
      </c>
      <c r="I783" s="3" t="s">
        <v>17</v>
      </c>
      <c r="J783" s="3" t="s">
        <v>14</v>
      </c>
      <c r="K783" s="3" t="s">
        <v>14</v>
      </c>
      <c r="L783" s="3" t="s">
        <v>785</v>
      </c>
      <c r="M783" s="4">
        <v>46296</v>
      </c>
      <c r="N783" s="3" t="s">
        <v>786</v>
      </c>
      <c r="O783" s="3" t="s">
        <v>34</v>
      </c>
      <c r="P783" t="str">
        <f t="shared" si="12"/>
        <v>450013895110</v>
      </c>
      <c r="Q783" s="9" cm="1">
        <f t="array" ref="Q783:S783">VLOOKUP(P783,Hoja1!C:F,{2,3,4},FALSE)</f>
        <v>46301</v>
      </c>
      <c r="R783" t="str">
        <v>C15</v>
      </c>
      <c r="S783" t="str">
        <v>1000009284 TRANSPORTE ANA S.R.L.</v>
      </c>
    </row>
    <row r="784" spans="1:19" x14ac:dyDescent="0.3">
      <c r="A784" s="2" t="s">
        <v>14</v>
      </c>
      <c r="B784" s="3" t="s">
        <v>14</v>
      </c>
      <c r="C784" s="3" t="s">
        <v>787</v>
      </c>
      <c r="D784" s="3" t="s">
        <v>14</v>
      </c>
      <c r="E784" s="3" t="s">
        <v>107</v>
      </c>
      <c r="F784" s="4">
        <v>46296</v>
      </c>
      <c r="G784" s="3" t="s">
        <v>44</v>
      </c>
      <c r="H784" s="6">
        <v>-934951.88</v>
      </c>
      <c r="I784" s="3" t="s">
        <v>17</v>
      </c>
      <c r="J784" s="3" t="s">
        <v>14</v>
      </c>
      <c r="K784" s="3" t="s">
        <v>14</v>
      </c>
      <c r="L784" s="3" t="s">
        <v>19</v>
      </c>
      <c r="M784" s="4">
        <v>46296</v>
      </c>
      <c r="N784" s="3" t="s">
        <v>788</v>
      </c>
      <c r="O784" s="3" t="s">
        <v>34</v>
      </c>
      <c r="P784" t="str">
        <f t="shared" si="12"/>
        <v>450013950510</v>
      </c>
      <c r="Q784" s="9" cm="1">
        <f t="array" ref="Q784:S784">VLOOKUP(P784,Hoja1!C:F,{2,3,4},FALSE)</f>
        <v>46304</v>
      </c>
      <c r="R784" t="str">
        <v>C29</v>
      </c>
      <c r="S784" t="str">
        <v>1000001470 SUDAMERICANA CAMIONES SA</v>
      </c>
    </row>
    <row r="785" spans="1:19" x14ac:dyDescent="0.3">
      <c r="A785" s="2" t="s">
        <v>14</v>
      </c>
      <c r="B785" s="3" t="s">
        <v>14</v>
      </c>
      <c r="C785" s="3" t="s">
        <v>787</v>
      </c>
      <c r="D785" s="3" t="s">
        <v>14</v>
      </c>
      <c r="E785" s="3" t="s">
        <v>107</v>
      </c>
      <c r="F785" s="4">
        <v>46296</v>
      </c>
      <c r="G785" s="3" t="s">
        <v>44</v>
      </c>
      <c r="H785" s="6">
        <v>-36466.379999999997</v>
      </c>
      <c r="I785" s="3" t="s">
        <v>17</v>
      </c>
      <c r="J785" s="3" t="s">
        <v>14</v>
      </c>
      <c r="K785" s="3" t="s">
        <v>14</v>
      </c>
      <c r="L785" s="3" t="s">
        <v>19</v>
      </c>
      <c r="M785" s="4">
        <v>46296</v>
      </c>
      <c r="N785" s="3" t="s">
        <v>788</v>
      </c>
      <c r="O785" s="3" t="s">
        <v>22</v>
      </c>
      <c r="P785" t="str">
        <f t="shared" si="12"/>
        <v>450013950530</v>
      </c>
      <c r="Q785" s="9" cm="1">
        <f t="array" ref="Q785:S785">VLOOKUP(P785,Hoja1!C:F,{2,3,4},FALSE)</f>
        <v>46300</v>
      </c>
      <c r="R785" t="str">
        <v>C29</v>
      </c>
      <c r="S785" t="str">
        <v>1000001470 SUDAMERICANA CAMIONES SA</v>
      </c>
    </row>
    <row r="786" spans="1:19" x14ac:dyDescent="0.3">
      <c r="A786" s="2" t="s">
        <v>14</v>
      </c>
      <c r="B786" s="3" t="s">
        <v>14</v>
      </c>
      <c r="C786" s="3" t="s">
        <v>787</v>
      </c>
      <c r="D786" s="3" t="s">
        <v>14</v>
      </c>
      <c r="E786" s="3" t="s">
        <v>107</v>
      </c>
      <c r="F786" s="4">
        <v>46296</v>
      </c>
      <c r="G786" s="3" t="s">
        <v>44</v>
      </c>
      <c r="H786" s="6">
        <v>-27194.75</v>
      </c>
      <c r="I786" s="3" t="s">
        <v>17</v>
      </c>
      <c r="J786" s="3" t="s">
        <v>14</v>
      </c>
      <c r="K786" s="3" t="s">
        <v>14</v>
      </c>
      <c r="L786" s="3" t="s">
        <v>19</v>
      </c>
      <c r="M786" s="4">
        <v>46296</v>
      </c>
      <c r="N786" s="3" t="s">
        <v>788</v>
      </c>
      <c r="O786" s="3" t="s">
        <v>26</v>
      </c>
      <c r="P786" t="str">
        <f t="shared" si="12"/>
        <v>450013950540</v>
      </c>
      <c r="Q786" s="9" cm="1">
        <f t="array" ref="Q786:S786">VLOOKUP(P786,Hoja1!C:F,{2,3,4},FALSE)</f>
        <v>46300</v>
      </c>
      <c r="R786" t="str">
        <v>C29</v>
      </c>
      <c r="S786" t="str">
        <v>1000001470 SUDAMERICANA CAMIONES SA</v>
      </c>
    </row>
    <row r="787" spans="1:19" x14ac:dyDescent="0.3">
      <c r="A787" s="2" t="s">
        <v>14</v>
      </c>
      <c r="B787" s="3" t="s">
        <v>14</v>
      </c>
      <c r="C787" s="3" t="s">
        <v>787</v>
      </c>
      <c r="D787" s="3" t="s">
        <v>14</v>
      </c>
      <c r="E787" s="3" t="s">
        <v>107</v>
      </c>
      <c r="F787" s="4">
        <v>46296</v>
      </c>
      <c r="G787" s="3" t="s">
        <v>44</v>
      </c>
      <c r="H787" s="6">
        <v>-27194.75</v>
      </c>
      <c r="I787" s="3" t="s">
        <v>17</v>
      </c>
      <c r="J787" s="3" t="s">
        <v>14</v>
      </c>
      <c r="K787" s="3" t="s">
        <v>14</v>
      </c>
      <c r="L787" s="3" t="s">
        <v>19</v>
      </c>
      <c r="M787" s="4">
        <v>46296</v>
      </c>
      <c r="N787" s="3" t="s">
        <v>788</v>
      </c>
      <c r="O787" s="3" t="s">
        <v>23</v>
      </c>
      <c r="P787" t="str">
        <f t="shared" si="12"/>
        <v>450013950550</v>
      </c>
      <c r="Q787" s="9" cm="1">
        <f t="array" ref="Q787:S787">VLOOKUP(P787,Hoja1!C:F,{2,3,4},FALSE)</f>
        <v>46320</v>
      </c>
      <c r="R787" t="str">
        <v>C29</v>
      </c>
      <c r="S787" t="str">
        <v>1000001470 SUDAMERICANA CAMIONES SA</v>
      </c>
    </row>
    <row r="788" spans="1:19" x14ac:dyDescent="0.3">
      <c r="A788" s="2" t="s">
        <v>14</v>
      </c>
      <c r="B788" s="3" t="s">
        <v>14</v>
      </c>
      <c r="C788" s="3" t="s">
        <v>787</v>
      </c>
      <c r="D788" s="3" t="s">
        <v>14</v>
      </c>
      <c r="E788" s="3" t="s">
        <v>107</v>
      </c>
      <c r="F788" s="4">
        <v>46296</v>
      </c>
      <c r="G788" s="3" t="s">
        <v>44</v>
      </c>
      <c r="H788" s="6">
        <v>-238052.38</v>
      </c>
      <c r="I788" s="3" t="s">
        <v>17</v>
      </c>
      <c r="J788" s="3" t="s">
        <v>14</v>
      </c>
      <c r="K788" s="3" t="s">
        <v>14</v>
      </c>
      <c r="L788" s="3" t="s">
        <v>19</v>
      </c>
      <c r="M788" s="4">
        <v>46296</v>
      </c>
      <c r="N788" s="3" t="s">
        <v>788</v>
      </c>
      <c r="O788" s="3" t="s">
        <v>24</v>
      </c>
      <c r="P788" t="str">
        <f t="shared" si="12"/>
        <v>450013950560</v>
      </c>
      <c r="Q788" s="9" cm="1">
        <f t="array" ref="Q788:S788">VLOOKUP(P788,Hoja1!C:F,{2,3,4},FALSE)</f>
        <v>46300</v>
      </c>
      <c r="R788" t="str">
        <v>C29</v>
      </c>
      <c r="S788" t="str">
        <v>1000001470 SUDAMERICANA CAMIONES SA</v>
      </c>
    </row>
    <row r="789" spans="1:19" x14ac:dyDescent="0.3">
      <c r="A789" s="2" t="s">
        <v>14</v>
      </c>
      <c r="B789" s="3" t="s">
        <v>14</v>
      </c>
      <c r="C789" s="3" t="s">
        <v>787</v>
      </c>
      <c r="D789" s="3" t="s">
        <v>14</v>
      </c>
      <c r="E789" s="3" t="s">
        <v>107</v>
      </c>
      <c r="F789" s="4">
        <v>46296</v>
      </c>
      <c r="G789" s="3" t="s">
        <v>44</v>
      </c>
      <c r="H789" s="6">
        <v>-816190.38</v>
      </c>
      <c r="I789" s="3" t="s">
        <v>17</v>
      </c>
      <c r="J789" s="3" t="s">
        <v>14</v>
      </c>
      <c r="K789" s="3" t="s">
        <v>14</v>
      </c>
      <c r="L789" s="3" t="s">
        <v>19</v>
      </c>
      <c r="M789" s="4">
        <v>46296</v>
      </c>
      <c r="N789" s="3" t="s">
        <v>788</v>
      </c>
      <c r="O789" s="3" t="s">
        <v>25</v>
      </c>
      <c r="P789" t="str">
        <f t="shared" si="12"/>
        <v>450013950570</v>
      </c>
      <c r="Q789" s="9" cm="1">
        <f t="array" ref="Q789:S789">VLOOKUP(P789,Hoja1!C:F,{2,3,4},FALSE)</f>
        <v>46305</v>
      </c>
      <c r="R789" t="str">
        <v>C29</v>
      </c>
      <c r="S789" t="str">
        <v>1000001470 SUDAMERICANA CAMIONES SA</v>
      </c>
    </row>
    <row r="790" spans="1:19" x14ac:dyDescent="0.3">
      <c r="A790" s="2" t="s">
        <v>14</v>
      </c>
      <c r="B790" s="3" t="s">
        <v>14</v>
      </c>
      <c r="C790" s="3" t="s">
        <v>789</v>
      </c>
      <c r="D790" s="3" t="s">
        <v>14</v>
      </c>
      <c r="E790" s="3" t="s">
        <v>107</v>
      </c>
      <c r="F790" s="4">
        <v>46293</v>
      </c>
      <c r="G790" s="3" t="s">
        <v>44</v>
      </c>
      <c r="H790" s="6">
        <v>-444796</v>
      </c>
      <c r="I790" s="3" t="s">
        <v>17</v>
      </c>
      <c r="J790" s="3" t="s">
        <v>14</v>
      </c>
      <c r="K790" s="3" t="s">
        <v>14</v>
      </c>
      <c r="L790" s="3" t="s">
        <v>169</v>
      </c>
      <c r="M790" s="4">
        <v>46296</v>
      </c>
      <c r="N790" s="3" t="s">
        <v>790</v>
      </c>
      <c r="O790" s="3" t="s">
        <v>34</v>
      </c>
      <c r="P790" t="str">
        <f t="shared" si="12"/>
        <v>450013487710</v>
      </c>
      <c r="Q790" s="9" cm="1">
        <f t="array" ref="Q790:S790">VLOOKUP(P790,Hoja1!C:F,{2,3,4},FALSE)</f>
        <v>46301</v>
      </c>
      <c r="R790" t="str">
        <v>C43</v>
      </c>
      <c r="S790" t="str">
        <v>1000002607 DIESEL LANGE S.R.L</v>
      </c>
    </row>
    <row r="791" spans="1:19" x14ac:dyDescent="0.3">
      <c r="A791" s="2" t="s">
        <v>14</v>
      </c>
      <c r="B791" s="3" t="s">
        <v>14</v>
      </c>
      <c r="C791" s="3" t="s">
        <v>791</v>
      </c>
      <c r="D791" s="3" t="s">
        <v>14</v>
      </c>
      <c r="E791" s="3" t="s">
        <v>107</v>
      </c>
      <c r="F791" s="4">
        <v>46296</v>
      </c>
      <c r="G791" s="3" t="s">
        <v>44</v>
      </c>
      <c r="H791" s="6">
        <v>-372060</v>
      </c>
      <c r="I791" s="3" t="s">
        <v>17</v>
      </c>
      <c r="J791" s="3" t="s">
        <v>14</v>
      </c>
      <c r="K791" s="3" t="s">
        <v>14</v>
      </c>
      <c r="L791" s="3" t="s">
        <v>792</v>
      </c>
      <c r="M791" s="4">
        <v>46296</v>
      </c>
      <c r="N791" s="3" t="s">
        <v>793</v>
      </c>
      <c r="O791" s="3" t="s">
        <v>34</v>
      </c>
      <c r="P791" t="str">
        <f t="shared" si="12"/>
        <v>450013970310</v>
      </c>
      <c r="Q791" s="9" cm="1">
        <f t="array" ref="Q791:S791">VLOOKUP(P791,Hoja1!C:F,{2,3,4},FALSE)</f>
        <v>46366</v>
      </c>
      <c r="R791" t="str">
        <v>C15</v>
      </c>
      <c r="S791" t="str">
        <v>1000007091 VALLEJO OMAR OSVALDO</v>
      </c>
    </row>
    <row r="792" spans="1:19" x14ac:dyDescent="0.3">
      <c r="A792" s="2" t="s">
        <v>14</v>
      </c>
      <c r="B792" s="3" t="s">
        <v>14</v>
      </c>
      <c r="C792" s="3" t="s">
        <v>794</v>
      </c>
      <c r="D792" s="3" t="s">
        <v>14</v>
      </c>
      <c r="E792" s="3" t="s">
        <v>107</v>
      </c>
      <c r="F792" s="4">
        <v>46297</v>
      </c>
      <c r="G792" s="3" t="s">
        <v>44</v>
      </c>
      <c r="H792" s="6">
        <v>-123966.94</v>
      </c>
      <c r="I792" s="3" t="s">
        <v>17</v>
      </c>
      <c r="J792" s="3" t="s">
        <v>14</v>
      </c>
      <c r="K792" s="3" t="s">
        <v>14</v>
      </c>
      <c r="L792" s="3" t="s">
        <v>795</v>
      </c>
      <c r="M792" s="4">
        <v>46297</v>
      </c>
      <c r="N792" s="3" t="s">
        <v>796</v>
      </c>
      <c r="O792" s="3" t="s">
        <v>34</v>
      </c>
      <c r="P792" t="str">
        <f t="shared" si="12"/>
        <v>450014002610</v>
      </c>
      <c r="Q792" s="9" cm="1">
        <f t="array" ref="Q792:S792">VLOOKUP(P792,Hoja1!C:F,{2,3,4},FALSE)</f>
        <v>46305</v>
      </c>
      <c r="R792" t="str">
        <v>C39</v>
      </c>
      <c r="S792" t="str">
        <v>1000010371 BARCELO NEUMATICOS SA</v>
      </c>
    </row>
    <row r="793" spans="1:19" x14ac:dyDescent="0.3">
      <c r="A793" s="2" t="s">
        <v>14</v>
      </c>
      <c r="B793" s="3" t="s">
        <v>14</v>
      </c>
      <c r="C793" s="3" t="s">
        <v>797</v>
      </c>
      <c r="D793" s="3" t="s">
        <v>56</v>
      </c>
      <c r="E793" s="3" t="s">
        <v>107</v>
      </c>
      <c r="F793" s="4">
        <v>46297</v>
      </c>
      <c r="G793" s="3" t="s">
        <v>44</v>
      </c>
      <c r="H793" s="6">
        <v>-1545610</v>
      </c>
      <c r="I793" s="3" t="s">
        <v>17</v>
      </c>
      <c r="J793" s="3" t="s">
        <v>14</v>
      </c>
      <c r="K793" s="3" t="s">
        <v>14</v>
      </c>
      <c r="L793" s="3" t="s">
        <v>798</v>
      </c>
      <c r="M793" s="4">
        <v>46297</v>
      </c>
      <c r="N793" s="3" t="s">
        <v>799</v>
      </c>
      <c r="O793" s="3" t="s">
        <v>34</v>
      </c>
      <c r="P793" t="str">
        <f t="shared" si="12"/>
        <v>450011401710</v>
      </c>
      <c r="Q793" s="9" cm="1">
        <f t="array" ref="Q793:S793">VLOOKUP(P793,Hoja1!C:F,{2,3,4},FALSE)</f>
        <v>46358</v>
      </c>
      <c r="R793" t="str">
        <v>C25</v>
      </c>
      <c r="S793" t="str">
        <v>1000009728 HOJMAN JORGE ALFREDO</v>
      </c>
    </row>
    <row r="794" spans="1:19" x14ac:dyDescent="0.3">
      <c r="A794" s="2" t="s">
        <v>14</v>
      </c>
      <c r="B794" s="3" t="s">
        <v>14</v>
      </c>
      <c r="C794" s="3" t="s">
        <v>797</v>
      </c>
      <c r="D794" s="3" t="s">
        <v>56</v>
      </c>
      <c r="E794" s="3" t="s">
        <v>107</v>
      </c>
      <c r="F794" s="4">
        <v>46297</v>
      </c>
      <c r="G794" s="3" t="s">
        <v>44</v>
      </c>
      <c r="H794" s="6">
        <v>-2913959.7</v>
      </c>
      <c r="I794" s="3" t="s">
        <v>17</v>
      </c>
      <c r="J794" s="3" t="s">
        <v>14</v>
      </c>
      <c r="K794" s="3" t="s">
        <v>14</v>
      </c>
      <c r="L794" s="3" t="s">
        <v>798</v>
      </c>
      <c r="M794" s="4">
        <v>46297</v>
      </c>
      <c r="N794" s="3" t="s">
        <v>799</v>
      </c>
      <c r="O794" s="3" t="s">
        <v>21</v>
      </c>
      <c r="P794" t="str">
        <f t="shared" si="12"/>
        <v>450011401720</v>
      </c>
      <c r="Q794" s="9" cm="1">
        <f t="array" ref="Q794:S794">VLOOKUP(P794,Hoja1!C:F,{2,3,4},FALSE)</f>
        <v>46358</v>
      </c>
      <c r="R794" t="str">
        <v>C25</v>
      </c>
      <c r="S794" t="str">
        <v>1000009728 HOJMAN JORGE ALFREDO</v>
      </c>
    </row>
    <row r="795" spans="1:19" x14ac:dyDescent="0.3">
      <c r="A795" s="2" t="s">
        <v>14</v>
      </c>
      <c r="B795" s="3" t="s">
        <v>14</v>
      </c>
      <c r="C795" s="3" t="s">
        <v>797</v>
      </c>
      <c r="D795" s="3" t="s">
        <v>56</v>
      </c>
      <c r="E795" s="3" t="s">
        <v>107</v>
      </c>
      <c r="F795" s="4">
        <v>46297</v>
      </c>
      <c r="G795" s="3" t="s">
        <v>44</v>
      </c>
      <c r="H795" s="6">
        <v>-2611796.7000000002</v>
      </c>
      <c r="I795" s="3" t="s">
        <v>17</v>
      </c>
      <c r="J795" s="3" t="s">
        <v>14</v>
      </c>
      <c r="K795" s="3" t="s">
        <v>14</v>
      </c>
      <c r="L795" s="3" t="s">
        <v>798</v>
      </c>
      <c r="M795" s="4">
        <v>46297</v>
      </c>
      <c r="N795" s="3" t="s">
        <v>799</v>
      </c>
      <c r="O795" s="3" t="s">
        <v>22</v>
      </c>
      <c r="P795" t="str">
        <f t="shared" si="12"/>
        <v>450011401730</v>
      </c>
      <c r="Q795" s="9" cm="1">
        <f t="array" ref="Q795:S795">VLOOKUP(P795,Hoja1!C:F,{2,3,4},FALSE)</f>
        <v>46358</v>
      </c>
      <c r="R795" t="str">
        <v>C25</v>
      </c>
      <c r="S795" t="str">
        <v>1000009728 HOJMAN JORGE ALFREDO</v>
      </c>
    </row>
    <row r="796" spans="1:19" x14ac:dyDescent="0.3">
      <c r="A796" s="2" t="s">
        <v>14</v>
      </c>
      <c r="B796" s="3" t="s">
        <v>14</v>
      </c>
      <c r="C796" s="3" t="s">
        <v>800</v>
      </c>
      <c r="D796" s="3" t="s">
        <v>56</v>
      </c>
      <c r="E796" s="3" t="s">
        <v>107</v>
      </c>
      <c r="F796" s="4">
        <v>46297</v>
      </c>
      <c r="G796" s="3" t="s">
        <v>44</v>
      </c>
      <c r="H796" s="6">
        <v>-4464022.16</v>
      </c>
      <c r="I796" s="3" t="s">
        <v>17</v>
      </c>
      <c r="J796" s="3" t="s">
        <v>14</v>
      </c>
      <c r="K796" s="3" t="s">
        <v>14</v>
      </c>
      <c r="L796" s="3" t="s">
        <v>57</v>
      </c>
      <c r="M796" s="4">
        <v>46297</v>
      </c>
      <c r="N796" s="3" t="s">
        <v>801</v>
      </c>
      <c r="O796" s="3" t="s">
        <v>34</v>
      </c>
      <c r="P796" t="str">
        <f t="shared" si="12"/>
        <v>450012970910</v>
      </c>
      <c r="Q796" s="9" cm="1">
        <f t="array" ref="Q796:S796">VLOOKUP(P796,Hoja1!C:F,{2,3,4},FALSE)</f>
        <v>46387</v>
      </c>
      <c r="R796" t="str">
        <v>C25</v>
      </c>
      <c r="S796" t="str">
        <v>1000010957 GANGAS REYES MARCELO DAVID</v>
      </c>
    </row>
    <row r="797" spans="1:19" x14ac:dyDescent="0.3">
      <c r="A797" s="2" t="s">
        <v>14</v>
      </c>
      <c r="B797" s="3" t="s">
        <v>14</v>
      </c>
      <c r="C797" s="3" t="s">
        <v>802</v>
      </c>
      <c r="D797" s="3" t="s">
        <v>56</v>
      </c>
      <c r="E797" s="3" t="s">
        <v>107</v>
      </c>
      <c r="F797" s="4">
        <v>46297</v>
      </c>
      <c r="G797" s="3" t="s">
        <v>44</v>
      </c>
      <c r="H797" s="6">
        <v>-52000</v>
      </c>
      <c r="I797" s="3" t="s">
        <v>17</v>
      </c>
      <c r="J797" s="3" t="s">
        <v>14</v>
      </c>
      <c r="K797" s="3" t="s">
        <v>14</v>
      </c>
      <c r="L797" s="3" t="s">
        <v>57</v>
      </c>
      <c r="M797" s="4">
        <v>46297</v>
      </c>
      <c r="N797" s="3" t="s">
        <v>803</v>
      </c>
      <c r="O797" s="3" t="s">
        <v>34</v>
      </c>
      <c r="P797" t="str">
        <f t="shared" si="12"/>
        <v>450008566510</v>
      </c>
      <c r="Q797" s="9" cm="1">
        <f t="array" ref="Q797:S797">VLOOKUP(P797,Hoja1!C:F,{2,3,4},FALSE)</f>
        <v>46326</v>
      </c>
      <c r="R797" t="str">
        <v>C25</v>
      </c>
      <c r="S797" t="str">
        <v>1000010957 GANGAS REYES MARCELO DAVID</v>
      </c>
    </row>
    <row r="798" spans="1:19" x14ac:dyDescent="0.3">
      <c r="A798" s="2" t="s">
        <v>14</v>
      </c>
      <c r="B798" s="3" t="s">
        <v>14</v>
      </c>
      <c r="C798" s="3" t="s">
        <v>804</v>
      </c>
      <c r="D798" s="3" t="s">
        <v>56</v>
      </c>
      <c r="E798" s="3" t="s">
        <v>107</v>
      </c>
      <c r="F798" s="4">
        <v>46297</v>
      </c>
      <c r="G798" s="3" t="s">
        <v>44</v>
      </c>
      <c r="H798" s="6">
        <v>-1172998.08</v>
      </c>
      <c r="I798" s="3" t="s">
        <v>17</v>
      </c>
      <c r="J798" s="3" t="s">
        <v>14</v>
      </c>
      <c r="K798" s="3" t="s">
        <v>14</v>
      </c>
      <c r="L798" s="3" t="s">
        <v>57</v>
      </c>
      <c r="M798" s="4">
        <v>46297</v>
      </c>
      <c r="N798" s="3" t="s">
        <v>805</v>
      </c>
      <c r="O798" s="3" t="s">
        <v>34</v>
      </c>
      <c r="P798" t="str">
        <f t="shared" si="12"/>
        <v>450013031610</v>
      </c>
      <c r="Q798" s="9" cm="1">
        <f t="array" ref="Q798:S798">VLOOKUP(P798,Hoja1!C:F,{2,3,4},FALSE)</f>
        <v>46387</v>
      </c>
      <c r="R798" t="str">
        <v>C25</v>
      </c>
      <c r="S798" t="str">
        <v>1000010957 GANGAS REYES MARCELO DAVID</v>
      </c>
    </row>
    <row r="799" spans="1:19" x14ac:dyDescent="0.3">
      <c r="A799" s="2" t="s">
        <v>14</v>
      </c>
      <c r="B799" s="3" t="s">
        <v>14</v>
      </c>
      <c r="C799" s="3" t="s">
        <v>806</v>
      </c>
      <c r="D799" s="3" t="s">
        <v>56</v>
      </c>
      <c r="E799" s="3" t="s">
        <v>107</v>
      </c>
      <c r="F799" s="4">
        <v>46297</v>
      </c>
      <c r="G799" s="3" t="s">
        <v>44</v>
      </c>
      <c r="H799" s="6">
        <v>-5720000</v>
      </c>
      <c r="I799" s="3" t="s">
        <v>17</v>
      </c>
      <c r="J799" s="3" t="s">
        <v>14</v>
      </c>
      <c r="K799" s="3" t="s">
        <v>14</v>
      </c>
      <c r="L799" s="3" t="s">
        <v>57</v>
      </c>
      <c r="M799" s="4">
        <v>46297</v>
      </c>
      <c r="N799" s="3" t="s">
        <v>807</v>
      </c>
      <c r="O799" s="3" t="s">
        <v>34</v>
      </c>
      <c r="P799" t="str">
        <f t="shared" si="12"/>
        <v>450008523410</v>
      </c>
      <c r="Q799" s="9" cm="1">
        <f t="array" ref="Q799:S799">VLOOKUP(P799,Hoja1!C:F,{2,3,4},FALSE)</f>
        <v>46326</v>
      </c>
      <c r="R799" t="str">
        <v>C25</v>
      </c>
      <c r="S799" t="str">
        <v>1000010957 GANGAS REYES MARCELO DAVID</v>
      </c>
    </row>
    <row r="800" spans="1:19" x14ac:dyDescent="0.3">
      <c r="A800" s="2" t="s">
        <v>14</v>
      </c>
      <c r="B800" s="3" t="s">
        <v>14</v>
      </c>
      <c r="C800" s="3" t="s">
        <v>806</v>
      </c>
      <c r="D800" s="3" t="s">
        <v>56</v>
      </c>
      <c r="E800" s="3" t="s">
        <v>107</v>
      </c>
      <c r="F800" s="4">
        <v>46297</v>
      </c>
      <c r="G800" s="3" t="s">
        <v>44</v>
      </c>
      <c r="H800" s="6">
        <v>-1210000</v>
      </c>
      <c r="I800" s="3" t="s">
        <v>17</v>
      </c>
      <c r="J800" s="3" t="s">
        <v>14</v>
      </c>
      <c r="K800" s="3" t="s">
        <v>14</v>
      </c>
      <c r="L800" s="3" t="s">
        <v>57</v>
      </c>
      <c r="M800" s="4">
        <v>46297</v>
      </c>
      <c r="N800" s="3" t="s">
        <v>807</v>
      </c>
      <c r="O800" s="3" t="s">
        <v>21</v>
      </c>
      <c r="P800" t="str">
        <f t="shared" si="12"/>
        <v>450008523420</v>
      </c>
      <c r="Q800" s="9" cm="1">
        <f t="array" ref="Q800:S800">VLOOKUP(P800,Hoja1!C:F,{2,3,4},FALSE)</f>
        <v>46326</v>
      </c>
      <c r="R800" t="str">
        <v>C25</v>
      </c>
      <c r="S800" t="str">
        <v>1000010957 GANGAS REYES MARCELO DAVID</v>
      </c>
    </row>
    <row r="801" spans="1:19" x14ac:dyDescent="0.3">
      <c r="A801" s="2" t="s">
        <v>14</v>
      </c>
      <c r="B801" s="3" t="s">
        <v>14</v>
      </c>
      <c r="C801" s="3" t="s">
        <v>806</v>
      </c>
      <c r="D801" s="3" t="s">
        <v>56</v>
      </c>
      <c r="E801" s="3" t="s">
        <v>107</v>
      </c>
      <c r="F801" s="4">
        <v>46297</v>
      </c>
      <c r="G801" s="3" t="s">
        <v>44</v>
      </c>
      <c r="H801" s="6">
        <v>-2860000</v>
      </c>
      <c r="I801" s="3" t="s">
        <v>17</v>
      </c>
      <c r="J801" s="3" t="s">
        <v>14</v>
      </c>
      <c r="K801" s="3" t="s">
        <v>14</v>
      </c>
      <c r="L801" s="3" t="s">
        <v>57</v>
      </c>
      <c r="M801" s="4">
        <v>46297</v>
      </c>
      <c r="N801" s="3" t="s">
        <v>807</v>
      </c>
      <c r="O801" s="3" t="s">
        <v>22</v>
      </c>
      <c r="P801" t="str">
        <f t="shared" si="12"/>
        <v>450008523430</v>
      </c>
      <c r="Q801" s="9" cm="1">
        <f t="array" ref="Q801:S801">VLOOKUP(P801,Hoja1!C:F,{2,3,4},FALSE)</f>
        <v>46326</v>
      </c>
      <c r="R801" t="str">
        <v>C25</v>
      </c>
      <c r="S801" t="str">
        <v>1000010957 GANGAS REYES MARCELO DAVID</v>
      </c>
    </row>
    <row r="802" spans="1:19" x14ac:dyDescent="0.3">
      <c r="A802" s="2" t="s">
        <v>14</v>
      </c>
      <c r="B802" s="3" t="s">
        <v>14</v>
      </c>
      <c r="C802" s="3" t="s">
        <v>808</v>
      </c>
      <c r="D802" s="3" t="s">
        <v>14</v>
      </c>
      <c r="E802" s="3" t="s">
        <v>107</v>
      </c>
      <c r="F802" s="4">
        <v>46297</v>
      </c>
      <c r="G802" s="3" t="s">
        <v>44</v>
      </c>
      <c r="H802" s="6">
        <v>-550000</v>
      </c>
      <c r="I802" s="3" t="s">
        <v>17</v>
      </c>
      <c r="J802" s="3" t="s">
        <v>14</v>
      </c>
      <c r="K802" s="3" t="s">
        <v>14</v>
      </c>
      <c r="L802" s="3" t="s">
        <v>809</v>
      </c>
      <c r="M802" s="4">
        <v>46297</v>
      </c>
      <c r="N802" s="3" t="s">
        <v>810</v>
      </c>
      <c r="O802" s="3" t="s">
        <v>34</v>
      </c>
      <c r="P802" t="str">
        <f t="shared" si="12"/>
        <v>450013997810</v>
      </c>
      <c r="Q802" s="9" cm="1">
        <f t="array" ref="Q802:S802">VLOOKUP(P802,Hoja1!C:F,{2,3,4},FALSE)</f>
        <v>46300</v>
      </c>
      <c r="R802" t="str">
        <v>C43</v>
      </c>
      <c r="S802" t="str">
        <v>1000013728 FORMICA CARLOS ALBERTO</v>
      </c>
    </row>
    <row r="803" spans="1:19" x14ac:dyDescent="0.3">
      <c r="A803" s="2" t="s">
        <v>14</v>
      </c>
      <c r="B803" s="3" t="s">
        <v>14</v>
      </c>
      <c r="C803" s="3" t="s">
        <v>811</v>
      </c>
      <c r="D803" s="3" t="s">
        <v>14</v>
      </c>
      <c r="E803" s="3" t="s">
        <v>107</v>
      </c>
      <c r="F803" s="4">
        <v>46297</v>
      </c>
      <c r="G803" s="3" t="s">
        <v>44</v>
      </c>
      <c r="H803" s="6">
        <v>-31972.639999999999</v>
      </c>
      <c r="I803" s="3" t="s">
        <v>17</v>
      </c>
      <c r="J803" s="3" t="s">
        <v>14</v>
      </c>
      <c r="K803" s="3" t="s">
        <v>14</v>
      </c>
      <c r="L803" s="3" t="s">
        <v>73</v>
      </c>
      <c r="M803" s="4">
        <v>46297</v>
      </c>
      <c r="N803" s="3" t="s">
        <v>812</v>
      </c>
      <c r="O803" s="3" t="s">
        <v>34</v>
      </c>
      <c r="P803" t="str">
        <f t="shared" si="12"/>
        <v>450013960110</v>
      </c>
      <c r="Q803" s="9" cm="1">
        <f t="array" ref="Q803:S803">VLOOKUP(P803,Hoja1!C:F,{2,3,4},FALSE)</f>
        <v>46300</v>
      </c>
      <c r="R803" t="str">
        <v>C43</v>
      </c>
      <c r="S803" t="str">
        <v>1000003373 MEYNIEL S.R.L.</v>
      </c>
    </row>
    <row r="804" spans="1:19" x14ac:dyDescent="0.3">
      <c r="A804" s="2" t="s">
        <v>14</v>
      </c>
      <c r="B804" s="3" t="s">
        <v>14</v>
      </c>
      <c r="C804" s="3" t="s">
        <v>813</v>
      </c>
      <c r="D804" s="3" t="s">
        <v>14</v>
      </c>
      <c r="E804" s="3" t="s">
        <v>107</v>
      </c>
      <c r="F804" s="4">
        <v>46297</v>
      </c>
      <c r="G804" s="3" t="s">
        <v>44</v>
      </c>
      <c r="H804" s="6">
        <v>-334400</v>
      </c>
      <c r="I804" s="3" t="s">
        <v>17</v>
      </c>
      <c r="J804" s="3" t="s">
        <v>14</v>
      </c>
      <c r="K804" s="3" t="s">
        <v>14</v>
      </c>
      <c r="L804" s="3" t="s">
        <v>290</v>
      </c>
      <c r="M804" s="4">
        <v>46297</v>
      </c>
      <c r="N804" s="3" t="s">
        <v>814</v>
      </c>
      <c r="O804" s="3" t="s">
        <v>34</v>
      </c>
      <c r="P804" t="str">
        <f t="shared" si="12"/>
        <v>450014003510</v>
      </c>
      <c r="Q804" s="9" cm="1">
        <f t="array" ref="Q804:S804">VLOOKUP(P804,Hoja1!C:F,{2,3,4},FALSE)</f>
        <v>46305</v>
      </c>
      <c r="R804" t="str">
        <v>C39</v>
      </c>
      <c r="S804" t="str">
        <v>1000002978 LIRUSSI ARAGON FERNANDO ARIEL</v>
      </c>
    </row>
    <row r="805" spans="1:19" x14ac:dyDescent="0.3">
      <c r="A805" s="2" t="s">
        <v>14</v>
      </c>
      <c r="B805" s="3" t="s">
        <v>14</v>
      </c>
      <c r="C805" s="3" t="s">
        <v>815</v>
      </c>
      <c r="D805" s="3" t="s">
        <v>14</v>
      </c>
      <c r="E805" s="3" t="s">
        <v>107</v>
      </c>
      <c r="F805" s="4">
        <v>46297</v>
      </c>
      <c r="G805" s="3" t="s">
        <v>44</v>
      </c>
      <c r="H805" s="6">
        <v>-137351.51999999999</v>
      </c>
      <c r="I805" s="3" t="s">
        <v>17</v>
      </c>
      <c r="J805" s="3" t="s">
        <v>14</v>
      </c>
      <c r="K805" s="3" t="s">
        <v>14</v>
      </c>
      <c r="L805" s="3" t="s">
        <v>32</v>
      </c>
      <c r="M805" s="4">
        <v>46297</v>
      </c>
      <c r="N805" s="3" t="s">
        <v>816</v>
      </c>
      <c r="O805" s="3" t="s">
        <v>34</v>
      </c>
      <c r="P805" t="str">
        <f t="shared" si="12"/>
        <v>450013960210</v>
      </c>
      <c r="Q805" s="9" cm="1">
        <f t="array" ref="Q805:S805">VLOOKUP(P805,Hoja1!C:F,{2,3,4},FALSE)</f>
        <v>46300</v>
      </c>
      <c r="R805" t="str">
        <v>C43</v>
      </c>
      <c r="S805" t="str">
        <v>1000003696 DOBLE TRACCION SRL</v>
      </c>
    </row>
    <row r="806" spans="1:19" x14ac:dyDescent="0.3">
      <c r="A806" s="2" t="s">
        <v>14</v>
      </c>
      <c r="B806" s="3" t="s">
        <v>14</v>
      </c>
      <c r="C806" s="3" t="s">
        <v>817</v>
      </c>
      <c r="D806" s="3" t="s">
        <v>14</v>
      </c>
      <c r="E806" s="3" t="s">
        <v>107</v>
      </c>
      <c r="F806" s="4">
        <v>46297</v>
      </c>
      <c r="G806" s="3" t="s">
        <v>44</v>
      </c>
      <c r="H806" s="6">
        <v>-69413.42</v>
      </c>
      <c r="I806" s="3" t="s">
        <v>17</v>
      </c>
      <c r="J806" s="3" t="s">
        <v>14</v>
      </c>
      <c r="K806" s="3" t="s">
        <v>14</v>
      </c>
      <c r="L806" s="3" t="s">
        <v>67</v>
      </c>
      <c r="M806" s="4">
        <v>46297</v>
      </c>
      <c r="N806" s="3" t="s">
        <v>818</v>
      </c>
      <c r="O806" s="3" t="s">
        <v>34</v>
      </c>
      <c r="P806" t="str">
        <f t="shared" si="12"/>
        <v>450013901610</v>
      </c>
      <c r="Q806" s="9" cm="1">
        <f t="array" ref="Q806:S806">VLOOKUP(P806,Hoja1!C:F,{2,3,4},FALSE)</f>
        <v>46296</v>
      </c>
      <c r="R806" t="str">
        <v>C43</v>
      </c>
      <c r="S806" t="str">
        <v>1000003378 PINTURERIA CENTRAL SRL</v>
      </c>
    </row>
    <row r="807" spans="1:19" x14ac:dyDescent="0.3">
      <c r="A807" s="2" t="s">
        <v>14</v>
      </c>
      <c r="B807" s="3" t="s">
        <v>14</v>
      </c>
      <c r="C807" s="3" t="s">
        <v>819</v>
      </c>
      <c r="D807" s="3" t="s">
        <v>14</v>
      </c>
      <c r="E807" s="3" t="s">
        <v>107</v>
      </c>
      <c r="F807" s="4">
        <v>46297</v>
      </c>
      <c r="G807" s="3" t="s">
        <v>44</v>
      </c>
      <c r="H807" s="6">
        <v>-25454.55</v>
      </c>
      <c r="I807" s="3" t="s">
        <v>17</v>
      </c>
      <c r="J807" s="3" t="s">
        <v>14</v>
      </c>
      <c r="K807" s="3" t="s">
        <v>14</v>
      </c>
      <c r="L807" s="3" t="s">
        <v>820</v>
      </c>
      <c r="M807" s="4">
        <v>46297</v>
      </c>
      <c r="N807" s="3" t="s">
        <v>821</v>
      </c>
      <c r="O807" s="3" t="s">
        <v>34</v>
      </c>
      <c r="P807" t="str">
        <f t="shared" si="12"/>
        <v>450013969610</v>
      </c>
      <c r="Q807" s="9" cm="1">
        <f t="array" ref="Q807:S807">VLOOKUP(P807,Hoja1!C:F,{2,3,4},FALSE)</f>
        <v>46300</v>
      </c>
      <c r="R807" t="str">
        <v>C43</v>
      </c>
      <c r="S807" t="str">
        <v>1000009567 MAQBULON SAN BENITO S.A.S.</v>
      </c>
    </row>
    <row r="808" spans="1:19" x14ac:dyDescent="0.3">
      <c r="A808" s="2" t="s">
        <v>14</v>
      </c>
      <c r="B808" s="3" t="s">
        <v>14</v>
      </c>
      <c r="C808" s="3" t="s">
        <v>822</v>
      </c>
      <c r="D808" s="3" t="s">
        <v>14</v>
      </c>
      <c r="E808" s="3" t="s">
        <v>107</v>
      </c>
      <c r="F808" s="4">
        <v>46297</v>
      </c>
      <c r="G808" s="3" t="s">
        <v>44</v>
      </c>
      <c r="H808" s="6">
        <v>-360000</v>
      </c>
      <c r="I808" s="3" t="s">
        <v>17</v>
      </c>
      <c r="J808" s="3" t="s">
        <v>14</v>
      </c>
      <c r="K808" s="3" t="s">
        <v>14</v>
      </c>
      <c r="L808" s="3" t="s">
        <v>362</v>
      </c>
      <c r="M808" s="4">
        <v>46297</v>
      </c>
      <c r="N808" s="3" t="s">
        <v>823</v>
      </c>
      <c r="O808" s="3" t="s">
        <v>34</v>
      </c>
      <c r="P808" t="str">
        <f t="shared" si="12"/>
        <v>450013961110</v>
      </c>
      <c r="Q808" s="9" cm="1">
        <f t="array" ref="Q808:S808">VLOOKUP(P808,Hoja1!C:F,{2,3,4},FALSE)</f>
        <v>46305</v>
      </c>
      <c r="R808" t="str">
        <v>C43</v>
      </c>
      <c r="S808" t="str">
        <v>1000008168 MADERAS GÜIDO SRL</v>
      </c>
    </row>
    <row r="809" spans="1:19" x14ac:dyDescent="0.3">
      <c r="A809" s="2" t="s">
        <v>14</v>
      </c>
      <c r="B809" s="3" t="s">
        <v>14</v>
      </c>
      <c r="C809" s="3" t="s">
        <v>824</v>
      </c>
      <c r="D809" s="3" t="s">
        <v>14</v>
      </c>
      <c r="E809" s="3" t="s">
        <v>107</v>
      </c>
      <c r="F809" s="4">
        <v>46297</v>
      </c>
      <c r="G809" s="3" t="s">
        <v>44</v>
      </c>
      <c r="H809" s="6">
        <v>-95760</v>
      </c>
      <c r="I809" s="3" t="s">
        <v>17</v>
      </c>
      <c r="J809" s="3" t="s">
        <v>14</v>
      </c>
      <c r="K809" s="3" t="s">
        <v>14</v>
      </c>
      <c r="L809" s="3" t="s">
        <v>586</v>
      </c>
      <c r="M809" s="4">
        <v>46297</v>
      </c>
      <c r="N809" s="3" t="s">
        <v>825</v>
      </c>
      <c r="O809" s="3" t="s">
        <v>34</v>
      </c>
      <c r="P809" t="str">
        <f t="shared" si="12"/>
        <v>450013969710</v>
      </c>
      <c r="Q809" s="9" cm="1">
        <f t="array" ref="Q809:S809">VLOOKUP(P809,Hoja1!C:F,{2,3,4},FALSE)</f>
        <v>46305</v>
      </c>
      <c r="R809" t="str">
        <v>C43</v>
      </c>
      <c r="S809" t="str">
        <v>1000001550 OLIVARES ANTONIO ALBERTO</v>
      </c>
    </row>
    <row r="810" spans="1:19" x14ac:dyDescent="0.3">
      <c r="A810" s="2" t="s">
        <v>14</v>
      </c>
      <c r="B810" s="3" t="s">
        <v>14</v>
      </c>
      <c r="C810" s="3" t="s">
        <v>826</v>
      </c>
      <c r="D810" s="3" t="s">
        <v>14</v>
      </c>
      <c r="E810" s="3" t="s">
        <v>107</v>
      </c>
      <c r="F810" s="4">
        <v>46296</v>
      </c>
      <c r="G810" s="3" t="s">
        <v>44</v>
      </c>
      <c r="H810" s="6">
        <v>-355260</v>
      </c>
      <c r="I810" s="3" t="s">
        <v>17</v>
      </c>
      <c r="J810" s="3" t="s">
        <v>14</v>
      </c>
      <c r="K810" s="3" t="s">
        <v>14</v>
      </c>
      <c r="L810" s="3" t="s">
        <v>750</v>
      </c>
      <c r="M810" s="4">
        <v>46296</v>
      </c>
      <c r="N810" s="3" t="s">
        <v>751</v>
      </c>
      <c r="O810" s="3" t="s">
        <v>34</v>
      </c>
      <c r="P810" t="str">
        <f t="shared" si="12"/>
        <v>450013756010</v>
      </c>
      <c r="Q810" s="9" cm="1">
        <f t="array" ref="Q810:S810">VLOOKUP(P810,Hoja1!C:F,{2,3,4},FALSE)</f>
        <v>46387</v>
      </c>
      <c r="R810" t="str">
        <v>C15</v>
      </c>
      <c r="S810" t="str">
        <v>1000001107 TRANSPORTES SAN JOSE SRL</v>
      </c>
    </row>
    <row r="811" spans="1:19" x14ac:dyDescent="0.3">
      <c r="A811" s="2" t="s">
        <v>14</v>
      </c>
      <c r="B811" s="3" t="s">
        <v>14</v>
      </c>
      <c r="C811" s="3" t="s">
        <v>827</v>
      </c>
      <c r="D811" s="3" t="s">
        <v>14</v>
      </c>
      <c r="E811" s="3" t="s">
        <v>107</v>
      </c>
      <c r="F811" s="4">
        <v>46289</v>
      </c>
      <c r="G811" s="3" t="s">
        <v>44</v>
      </c>
      <c r="H811" s="6">
        <v>-30415.200000000001</v>
      </c>
      <c r="I811" s="3" t="s">
        <v>17</v>
      </c>
      <c r="J811" s="3" t="s">
        <v>14</v>
      </c>
      <c r="K811" s="3" t="s">
        <v>14</v>
      </c>
      <c r="L811" s="3" t="s">
        <v>19</v>
      </c>
      <c r="M811" s="4">
        <v>46297</v>
      </c>
      <c r="N811" s="3" t="s">
        <v>828</v>
      </c>
      <c r="O811" s="3" t="s">
        <v>34</v>
      </c>
      <c r="P811" t="str">
        <f t="shared" si="12"/>
        <v>450013826610</v>
      </c>
      <c r="Q811" s="9" cm="1">
        <f t="array" ref="Q811:S811">VLOOKUP(P811,Hoja1!C:F,{2,3,4},FALSE)</f>
        <v>46295</v>
      </c>
      <c r="R811" t="str">
        <v>C03</v>
      </c>
      <c r="S811" t="str">
        <v>1000001470 SUDAMERICANA CAMIONES SA</v>
      </c>
    </row>
    <row r="812" spans="1:19" x14ac:dyDescent="0.3">
      <c r="A812" s="2" t="s">
        <v>14</v>
      </c>
      <c r="B812" s="3" t="s">
        <v>14</v>
      </c>
      <c r="C812" s="3" t="s">
        <v>827</v>
      </c>
      <c r="D812" s="3" t="s">
        <v>14</v>
      </c>
      <c r="E812" s="3" t="s">
        <v>107</v>
      </c>
      <c r="F812" s="4">
        <v>46289</v>
      </c>
      <c r="G812" s="3" t="s">
        <v>44</v>
      </c>
      <c r="H812" s="6">
        <v>-88464</v>
      </c>
      <c r="I812" s="3" t="s">
        <v>17</v>
      </c>
      <c r="J812" s="3" t="s">
        <v>14</v>
      </c>
      <c r="K812" s="3" t="s">
        <v>14</v>
      </c>
      <c r="L812" s="3" t="s">
        <v>19</v>
      </c>
      <c r="M812" s="4">
        <v>46297</v>
      </c>
      <c r="N812" s="3" t="s">
        <v>828</v>
      </c>
      <c r="O812" s="3" t="s">
        <v>21</v>
      </c>
      <c r="P812" t="str">
        <f t="shared" si="12"/>
        <v>450013826620</v>
      </c>
      <c r="Q812" s="9" cm="1">
        <f t="array" ref="Q812:S812">VLOOKUP(P812,Hoja1!C:F,{2,3,4},FALSE)</f>
        <v>46295</v>
      </c>
      <c r="R812" t="str">
        <v>C03</v>
      </c>
      <c r="S812" t="str">
        <v>1000001470 SUDAMERICANA CAMIONES SA</v>
      </c>
    </row>
    <row r="813" spans="1:19" x14ac:dyDescent="0.3">
      <c r="A813" s="2" t="s">
        <v>14</v>
      </c>
      <c r="B813" s="3" t="s">
        <v>14</v>
      </c>
      <c r="C813" s="3" t="s">
        <v>827</v>
      </c>
      <c r="D813" s="3" t="s">
        <v>14</v>
      </c>
      <c r="E813" s="3" t="s">
        <v>107</v>
      </c>
      <c r="F813" s="4">
        <v>46289</v>
      </c>
      <c r="G813" s="3" t="s">
        <v>44</v>
      </c>
      <c r="H813" s="6">
        <v>-345800</v>
      </c>
      <c r="I813" s="3" t="s">
        <v>17</v>
      </c>
      <c r="J813" s="3" t="s">
        <v>14</v>
      </c>
      <c r="K813" s="3" t="s">
        <v>14</v>
      </c>
      <c r="L813" s="3" t="s">
        <v>19</v>
      </c>
      <c r="M813" s="4">
        <v>46297</v>
      </c>
      <c r="N813" s="3" t="s">
        <v>828</v>
      </c>
      <c r="O813" s="3" t="s">
        <v>22</v>
      </c>
      <c r="P813" t="str">
        <f t="shared" si="12"/>
        <v>450013826630</v>
      </c>
      <c r="Q813" s="9" cm="1">
        <f t="array" ref="Q813:S813">VLOOKUP(P813,Hoja1!C:F,{2,3,4},FALSE)</f>
        <v>46295</v>
      </c>
      <c r="R813" t="str">
        <v>C03</v>
      </c>
      <c r="S813" t="str">
        <v>1000001470 SUDAMERICANA CAMIONES SA</v>
      </c>
    </row>
    <row r="814" spans="1:19" x14ac:dyDescent="0.3">
      <c r="A814" s="2" t="s">
        <v>14</v>
      </c>
      <c r="B814" s="3" t="s">
        <v>14</v>
      </c>
      <c r="C814" s="3" t="s">
        <v>827</v>
      </c>
      <c r="D814" s="3" t="s">
        <v>14</v>
      </c>
      <c r="E814" s="3" t="s">
        <v>107</v>
      </c>
      <c r="F814" s="4">
        <v>46289</v>
      </c>
      <c r="G814" s="3" t="s">
        <v>44</v>
      </c>
      <c r="H814" s="6">
        <v>-891799.2</v>
      </c>
      <c r="I814" s="3" t="s">
        <v>17</v>
      </c>
      <c r="J814" s="3" t="s">
        <v>14</v>
      </c>
      <c r="K814" s="3" t="s">
        <v>14</v>
      </c>
      <c r="L814" s="3" t="s">
        <v>19</v>
      </c>
      <c r="M814" s="4">
        <v>46297</v>
      </c>
      <c r="N814" s="3" t="s">
        <v>828</v>
      </c>
      <c r="O814" s="3" t="s">
        <v>26</v>
      </c>
      <c r="P814" t="str">
        <f t="shared" si="12"/>
        <v>450013826640</v>
      </c>
      <c r="Q814" s="9" cm="1">
        <f t="array" ref="Q814:S814">VLOOKUP(P814,Hoja1!C:F,{2,3,4},FALSE)</f>
        <v>46295</v>
      </c>
      <c r="R814" t="str">
        <v>C03</v>
      </c>
      <c r="S814" t="str">
        <v>1000001470 SUDAMERICANA CAMIONES SA</v>
      </c>
    </row>
    <row r="815" spans="1:19" x14ac:dyDescent="0.3">
      <c r="A815" s="2" t="s">
        <v>14</v>
      </c>
      <c r="B815" s="3" t="s">
        <v>14</v>
      </c>
      <c r="C815" s="3" t="s">
        <v>827</v>
      </c>
      <c r="D815" s="3" t="s">
        <v>14</v>
      </c>
      <c r="E815" s="3" t="s">
        <v>107</v>
      </c>
      <c r="F815" s="4">
        <v>46289</v>
      </c>
      <c r="G815" s="3" t="s">
        <v>44</v>
      </c>
      <c r="H815" s="6">
        <v>-15747.2</v>
      </c>
      <c r="I815" s="3" t="s">
        <v>17</v>
      </c>
      <c r="J815" s="3" t="s">
        <v>14</v>
      </c>
      <c r="K815" s="3" t="s">
        <v>14</v>
      </c>
      <c r="L815" s="3" t="s">
        <v>19</v>
      </c>
      <c r="M815" s="4">
        <v>46297</v>
      </c>
      <c r="N815" s="3" t="s">
        <v>828</v>
      </c>
      <c r="O815" s="3" t="s">
        <v>23</v>
      </c>
      <c r="P815" t="str">
        <f t="shared" si="12"/>
        <v>450013826650</v>
      </c>
      <c r="Q815" s="9" cm="1">
        <f t="array" ref="Q815:S815">VLOOKUP(P815,Hoja1!C:F,{2,3,4},FALSE)</f>
        <v>46295</v>
      </c>
      <c r="R815" t="str">
        <v>C03</v>
      </c>
      <c r="S815" t="str">
        <v>1000001470 SUDAMERICANA CAMIONES SA</v>
      </c>
    </row>
    <row r="816" spans="1:19" x14ac:dyDescent="0.3">
      <c r="A816" s="2" t="s">
        <v>14</v>
      </c>
      <c r="B816" s="3" t="s">
        <v>14</v>
      </c>
      <c r="C816" s="3" t="s">
        <v>827</v>
      </c>
      <c r="D816" s="3" t="s">
        <v>14</v>
      </c>
      <c r="E816" s="3" t="s">
        <v>107</v>
      </c>
      <c r="F816" s="4">
        <v>46289</v>
      </c>
      <c r="G816" s="3" t="s">
        <v>44</v>
      </c>
      <c r="H816" s="6">
        <v>-38805.599999999999</v>
      </c>
      <c r="I816" s="3" t="s">
        <v>17</v>
      </c>
      <c r="J816" s="3" t="s">
        <v>14</v>
      </c>
      <c r="K816" s="3" t="s">
        <v>14</v>
      </c>
      <c r="L816" s="3" t="s">
        <v>19</v>
      </c>
      <c r="M816" s="4">
        <v>46297</v>
      </c>
      <c r="N816" s="3" t="s">
        <v>828</v>
      </c>
      <c r="O816" s="3" t="s">
        <v>24</v>
      </c>
      <c r="P816" t="str">
        <f t="shared" si="12"/>
        <v>450013826660</v>
      </c>
      <c r="Q816" s="9" cm="1">
        <f t="array" ref="Q816:S816">VLOOKUP(P816,Hoja1!C:F,{2,3,4},FALSE)</f>
        <v>46295</v>
      </c>
      <c r="R816" t="str">
        <v>C03</v>
      </c>
      <c r="S816" t="str">
        <v>1000001470 SUDAMERICANA CAMIONES SA</v>
      </c>
    </row>
    <row r="817" spans="1:19" x14ac:dyDescent="0.3">
      <c r="A817" s="2" t="s">
        <v>14</v>
      </c>
      <c r="B817" s="3" t="s">
        <v>14</v>
      </c>
      <c r="C817" s="3" t="s">
        <v>827</v>
      </c>
      <c r="D817" s="3" t="s">
        <v>14</v>
      </c>
      <c r="E817" s="3" t="s">
        <v>107</v>
      </c>
      <c r="F817" s="4">
        <v>46289</v>
      </c>
      <c r="G817" s="3" t="s">
        <v>44</v>
      </c>
      <c r="H817" s="6">
        <v>-212389.6</v>
      </c>
      <c r="I817" s="3" t="s">
        <v>17</v>
      </c>
      <c r="J817" s="3" t="s">
        <v>14</v>
      </c>
      <c r="K817" s="3" t="s">
        <v>14</v>
      </c>
      <c r="L817" s="3" t="s">
        <v>19</v>
      </c>
      <c r="M817" s="4">
        <v>46297</v>
      </c>
      <c r="N817" s="3" t="s">
        <v>828</v>
      </c>
      <c r="O817" s="3" t="s">
        <v>25</v>
      </c>
      <c r="P817" t="str">
        <f t="shared" si="12"/>
        <v>450013826670</v>
      </c>
      <c r="Q817" s="9" cm="1">
        <f t="array" ref="Q817:S817">VLOOKUP(P817,Hoja1!C:F,{2,3,4},FALSE)</f>
        <v>46295</v>
      </c>
      <c r="R817" t="str">
        <v>C03</v>
      </c>
      <c r="S817" t="str">
        <v>1000001470 SUDAMERICANA CAMIONES SA</v>
      </c>
    </row>
    <row r="818" spans="1:19" x14ac:dyDescent="0.3">
      <c r="A818" s="2" t="s">
        <v>14</v>
      </c>
      <c r="B818" s="3" t="s">
        <v>14</v>
      </c>
      <c r="C818" s="3" t="s">
        <v>827</v>
      </c>
      <c r="D818" s="3" t="s">
        <v>14</v>
      </c>
      <c r="E818" s="3" t="s">
        <v>107</v>
      </c>
      <c r="F818" s="4">
        <v>46289</v>
      </c>
      <c r="G818" s="3" t="s">
        <v>44</v>
      </c>
      <c r="H818" s="6">
        <v>-504336</v>
      </c>
      <c r="I818" s="3" t="s">
        <v>17</v>
      </c>
      <c r="J818" s="3" t="s">
        <v>14</v>
      </c>
      <c r="K818" s="3" t="s">
        <v>14</v>
      </c>
      <c r="L818" s="3" t="s">
        <v>19</v>
      </c>
      <c r="M818" s="4">
        <v>46297</v>
      </c>
      <c r="N818" s="3" t="s">
        <v>828</v>
      </c>
      <c r="O818" s="3" t="s">
        <v>343</v>
      </c>
      <c r="P818" t="str">
        <f t="shared" si="12"/>
        <v>450013826680</v>
      </c>
      <c r="Q818" s="9" cm="1">
        <f t="array" ref="Q818:S818">VLOOKUP(P818,Hoja1!C:F,{2,3,4},FALSE)</f>
        <v>46295</v>
      </c>
      <c r="R818" t="str">
        <v>C03</v>
      </c>
      <c r="S818" t="str">
        <v>1000001470 SUDAMERICANA CAMIONES SA</v>
      </c>
    </row>
    <row r="819" spans="1:19" x14ac:dyDescent="0.3">
      <c r="A819" s="2" t="s">
        <v>14</v>
      </c>
      <c r="B819" s="3" t="s">
        <v>14</v>
      </c>
      <c r="C819" s="3" t="s">
        <v>827</v>
      </c>
      <c r="D819" s="3" t="s">
        <v>14</v>
      </c>
      <c r="E819" s="3" t="s">
        <v>107</v>
      </c>
      <c r="F819" s="4">
        <v>46289</v>
      </c>
      <c r="G819" s="3" t="s">
        <v>44</v>
      </c>
      <c r="H819" s="6">
        <v>-488467.20000000001</v>
      </c>
      <c r="I819" s="3" t="s">
        <v>17</v>
      </c>
      <c r="J819" s="3" t="s">
        <v>14</v>
      </c>
      <c r="K819" s="3" t="s">
        <v>14</v>
      </c>
      <c r="L819" s="3" t="s">
        <v>19</v>
      </c>
      <c r="M819" s="4">
        <v>46297</v>
      </c>
      <c r="N819" s="3" t="s">
        <v>828</v>
      </c>
      <c r="O819" s="3" t="s">
        <v>344</v>
      </c>
      <c r="P819" t="str">
        <f t="shared" si="12"/>
        <v>450013826690</v>
      </c>
      <c r="Q819" s="9" cm="1">
        <f t="array" ref="Q819:S819">VLOOKUP(P819,Hoja1!C:F,{2,3,4},FALSE)</f>
        <v>46295</v>
      </c>
      <c r="R819" t="str">
        <v>C03</v>
      </c>
      <c r="S819" t="str">
        <v>1000001470 SUDAMERICANA CAMIONES SA</v>
      </c>
    </row>
    <row r="820" spans="1:19" x14ac:dyDescent="0.3">
      <c r="A820" s="2" t="s">
        <v>14</v>
      </c>
      <c r="B820" s="3" t="s">
        <v>14</v>
      </c>
      <c r="C820" s="3" t="s">
        <v>827</v>
      </c>
      <c r="D820" s="3" t="s">
        <v>14</v>
      </c>
      <c r="E820" s="3" t="s">
        <v>107</v>
      </c>
      <c r="F820" s="4">
        <v>46289</v>
      </c>
      <c r="G820" s="3" t="s">
        <v>44</v>
      </c>
      <c r="H820" s="6">
        <v>-1751693.6</v>
      </c>
      <c r="I820" s="3" t="s">
        <v>17</v>
      </c>
      <c r="J820" s="3" t="s">
        <v>14</v>
      </c>
      <c r="K820" s="3" t="s">
        <v>14</v>
      </c>
      <c r="L820" s="3" t="s">
        <v>19</v>
      </c>
      <c r="M820" s="4">
        <v>46297</v>
      </c>
      <c r="N820" s="3" t="s">
        <v>828</v>
      </c>
      <c r="O820" s="3" t="s">
        <v>345</v>
      </c>
      <c r="P820" t="str">
        <f t="shared" si="12"/>
        <v>4500138266100</v>
      </c>
      <c r="Q820" s="9" cm="1">
        <f t="array" ref="Q820:S820">VLOOKUP(P820,Hoja1!C:F,{2,3,4},FALSE)</f>
        <v>46295</v>
      </c>
      <c r="R820" t="str">
        <v>C03</v>
      </c>
      <c r="S820" t="str">
        <v>1000001470 SUDAMERICANA CAMIONES SA</v>
      </c>
    </row>
    <row r="821" spans="1:19" x14ac:dyDescent="0.3">
      <c r="A821" s="2" t="s">
        <v>14</v>
      </c>
      <c r="B821" s="3" t="s">
        <v>14</v>
      </c>
      <c r="C821" s="3" t="s">
        <v>827</v>
      </c>
      <c r="D821" s="3" t="s">
        <v>14</v>
      </c>
      <c r="E821" s="3" t="s">
        <v>107</v>
      </c>
      <c r="F821" s="4">
        <v>46289</v>
      </c>
      <c r="G821" s="3" t="s">
        <v>44</v>
      </c>
      <c r="H821" s="6">
        <v>-2386856</v>
      </c>
      <c r="I821" s="3" t="s">
        <v>17</v>
      </c>
      <c r="J821" s="3" t="s">
        <v>14</v>
      </c>
      <c r="K821" s="3" t="s">
        <v>14</v>
      </c>
      <c r="L821" s="3" t="s">
        <v>19</v>
      </c>
      <c r="M821" s="4">
        <v>46297</v>
      </c>
      <c r="N821" s="3" t="s">
        <v>828</v>
      </c>
      <c r="O821" s="3" t="s">
        <v>193</v>
      </c>
      <c r="P821" t="str">
        <f t="shared" si="12"/>
        <v>4500138266110</v>
      </c>
      <c r="Q821" s="9" cm="1">
        <f t="array" ref="Q821:S821">VLOOKUP(P821,Hoja1!C:F,{2,3,4},FALSE)</f>
        <v>46295</v>
      </c>
      <c r="R821" t="str">
        <v>C03</v>
      </c>
      <c r="S821" t="str">
        <v>1000001470 SUDAMERICANA CAMIONES SA</v>
      </c>
    </row>
    <row r="822" spans="1:19" x14ac:dyDescent="0.3">
      <c r="A822" s="2" t="s">
        <v>14</v>
      </c>
      <c r="B822" s="3" t="s">
        <v>14</v>
      </c>
      <c r="C822" s="3" t="s">
        <v>827</v>
      </c>
      <c r="D822" s="3" t="s">
        <v>14</v>
      </c>
      <c r="E822" s="3" t="s">
        <v>107</v>
      </c>
      <c r="F822" s="4">
        <v>46289</v>
      </c>
      <c r="G822" s="3" t="s">
        <v>44</v>
      </c>
      <c r="H822" s="6">
        <v>-276138.40000000002</v>
      </c>
      <c r="I822" s="3" t="s">
        <v>17</v>
      </c>
      <c r="J822" s="3" t="s">
        <v>14</v>
      </c>
      <c r="K822" s="3" t="s">
        <v>14</v>
      </c>
      <c r="L822" s="3" t="s">
        <v>19</v>
      </c>
      <c r="M822" s="4">
        <v>46297</v>
      </c>
      <c r="N822" s="3" t="s">
        <v>828</v>
      </c>
      <c r="O822" s="3" t="s">
        <v>400</v>
      </c>
      <c r="P822" t="str">
        <f t="shared" si="12"/>
        <v>4500138266120</v>
      </c>
      <c r="Q822" s="9" cm="1">
        <f t="array" ref="Q822:S822">VLOOKUP(P822,Hoja1!C:F,{2,3,4},FALSE)</f>
        <v>46295</v>
      </c>
      <c r="R822" t="str">
        <v>C03</v>
      </c>
      <c r="S822" t="str">
        <v>1000001470 SUDAMERICANA CAMIONES SA</v>
      </c>
    </row>
    <row r="823" spans="1:19" x14ac:dyDescent="0.3">
      <c r="A823" s="2" t="s">
        <v>14</v>
      </c>
      <c r="B823" s="3" t="s">
        <v>14</v>
      </c>
      <c r="C823" s="3" t="s">
        <v>827</v>
      </c>
      <c r="D823" s="3" t="s">
        <v>14</v>
      </c>
      <c r="E823" s="3" t="s">
        <v>107</v>
      </c>
      <c r="F823" s="4">
        <v>46289</v>
      </c>
      <c r="G823" s="3" t="s">
        <v>44</v>
      </c>
      <c r="H823" s="6">
        <v>-132559.20000000001</v>
      </c>
      <c r="I823" s="3" t="s">
        <v>17</v>
      </c>
      <c r="J823" s="3" t="s">
        <v>14</v>
      </c>
      <c r="K823" s="3" t="s">
        <v>14</v>
      </c>
      <c r="L823" s="3" t="s">
        <v>19</v>
      </c>
      <c r="M823" s="4">
        <v>46297</v>
      </c>
      <c r="N823" s="3" t="s">
        <v>828</v>
      </c>
      <c r="O823" s="3" t="s">
        <v>221</v>
      </c>
      <c r="P823" t="str">
        <f t="shared" si="12"/>
        <v>4500138266130</v>
      </c>
      <c r="Q823" s="9" cm="1">
        <f t="array" ref="Q823:S823">VLOOKUP(P823,Hoja1!C:F,{2,3,4},FALSE)</f>
        <v>46295</v>
      </c>
      <c r="R823" t="str">
        <v>C03</v>
      </c>
      <c r="S823" t="str">
        <v>1000001470 SUDAMERICANA CAMIONES SA</v>
      </c>
    </row>
    <row r="824" spans="1:19" x14ac:dyDescent="0.3">
      <c r="A824" s="2" t="s">
        <v>14</v>
      </c>
      <c r="B824" s="3" t="s">
        <v>14</v>
      </c>
      <c r="C824" s="3" t="s">
        <v>827</v>
      </c>
      <c r="D824" s="3" t="s">
        <v>14</v>
      </c>
      <c r="E824" s="3" t="s">
        <v>107</v>
      </c>
      <c r="F824" s="4">
        <v>46289</v>
      </c>
      <c r="G824" s="3" t="s">
        <v>44</v>
      </c>
      <c r="H824" s="6">
        <v>-25627.200000000001</v>
      </c>
      <c r="I824" s="3" t="s">
        <v>17</v>
      </c>
      <c r="J824" s="3" t="s">
        <v>14</v>
      </c>
      <c r="K824" s="3" t="s">
        <v>14</v>
      </c>
      <c r="L824" s="3" t="s">
        <v>19</v>
      </c>
      <c r="M824" s="4">
        <v>46297</v>
      </c>
      <c r="N824" s="3" t="s">
        <v>828</v>
      </c>
      <c r="O824" s="3" t="s">
        <v>401</v>
      </c>
      <c r="P824" t="str">
        <f t="shared" si="12"/>
        <v>4500138266140</v>
      </c>
      <c r="Q824" s="9" cm="1">
        <f t="array" ref="Q824:S824">VLOOKUP(P824,Hoja1!C:F,{2,3,4},FALSE)</f>
        <v>46295</v>
      </c>
      <c r="R824" t="str">
        <v>C03</v>
      </c>
      <c r="S824" t="str">
        <v>1000001470 SUDAMERICANA CAMIONES SA</v>
      </c>
    </row>
    <row r="825" spans="1:19" x14ac:dyDescent="0.3">
      <c r="A825" s="2" t="s">
        <v>14</v>
      </c>
      <c r="B825" s="3" t="s">
        <v>14</v>
      </c>
      <c r="C825" s="3" t="s">
        <v>827</v>
      </c>
      <c r="D825" s="3" t="s">
        <v>14</v>
      </c>
      <c r="E825" s="3" t="s">
        <v>107</v>
      </c>
      <c r="F825" s="4">
        <v>46289</v>
      </c>
      <c r="G825" s="3" t="s">
        <v>44</v>
      </c>
      <c r="H825" s="6">
        <v>-688803.2</v>
      </c>
      <c r="I825" s="3" t="s">
        <v>17</v>
      </c>
      <c r="J825" s="3" t="s">
        <v>14</v>
      </c>
      <c r="K825" s="3" t="s">
        <v>14</v>
      </c>
      <c r="L825" s="3" t="s">
        <v>19</v>
      </c>
      <c r="M825" s="4">
        <v>46297</v>
      </c>
      <c r="N825" s="3" t="s">
        <v>828</v>
      </c>
      <c r="O825" s="3" t="s">
        <v>402</v>
      </c>
      <c r="P825" t="str">
        <f t="shared" si="12"/>
        <v>4500138266150</v>
      </c>
      <c r="Q825" s="9" cm="1">
        <f t="array" ref="Q825:S825">VLOOKUP(P825,Hoja1!C:F,{2,3,4},FALSE)</f>
        <v>46295</v>
      </c>
      <c r="R825" t="str">
        <v>C03</v>
      </c>
      <c r="S825" t="str">
        <v>1000001470 SUDAMERICANA CAMIONES SA</v>
      </c>
    </row>
    <row r="826" spans="1:19" x14ac:dyDescent="0.3">
      <c r="A826" s="2" t="s">
        <v>14</v>
      </c>
      <c r="B826" s="3" t="s">
        <v>14</v>
      </c>
      <c r="C826" s="3" t="s">
        <v>827</v>
      </c>
      <c r="D826" s="3" t="s">
        <v>14</v>
      </c>
      <c r="E826" s="3" t="s">
        <v>107</v>
      </c>
      <c r="F826" s="4">
        <v>46289</v>
      </c>
      <c r="G826" s="3" t="s">
        <v>44</v>
      </c>
      <c r="H826" s="6">
        <v>-471108.8</v>
      </c>
      <c r="I826" s="3" t="s">
        <v>17</v>
      </c>
      <c r="J826" s="3" t="s">
        <v>14</v>
      </c>
      <c r="K826" s="3" t="s">
        <v>14</v>
      </c>
      <c r="L826" s="3" t="s">
        <v>19</v>
      </c>
      <c r="M826" s="4">
        <v>46297</v>
      </c>
      <c r="N826" s="3" t="s">
        <v>828</v>
      </c>
      <c r="O826" s="3" t="s">
        <v>403</v>
      </c>
      <c r="P826" t="str">
        <f t="shared" si="12"/>
        <v>4500138266160</v>
      </c>
      <c r="Q826" s="9" cm="1">
        <f t="array" ref="Q826:S826">VLOOKUP(P826,Hoja1!C:F,{2,3,4},FALSE)</f>
        <v>46295</v>
      </c>
      <c r="R826" t="str">
        <v>C03</v>
      </c>
      <c r="S826" t="str">
        <v>1000001470 SUDAMERICANA CAMIONES SA</v>
      </c>
    </row>
    <row r="827" spans="1:19" x14ac:dyDescent="0.3">
      <c r="A827" s="2" t="s">
        <v>14</v>
      </c>
      <c r="B827" s="3" t="s">
        <v>14</v>
      </c>
      <c r="C827" s="3" t="s">
        <v>827</v>
      </c>
      <c r="D827" s="3" t="s">
        <v>14</v>
      </c>
      <c r="E827" s="3" t="s">
        <v>107</v>
      </c>
      <c r="F827" s="4">
        <v>46289</v>
      </c>
      <c r="G827" s="3" t="s">
        <v>44</v>
      </c>
      <c r="H827" s="6">
        <v>-154097.60000000001</v>
      </c>
      <c r="I827" s="3" t="s">
        <v>17</v>
      </c>
      <c r="J827" s="3" t="s">
        <v>14</v>
      </c>
      <c r="K827" s="3" t="s">
        <v>14</v>
      </c>
      <c r="L827" s="3" t="s">
        <v>19</v>
      </c>
      <c r="M827" s="4">
        <v>46297</v>
      </c>
      <c r="N827" s="3" t="s">
        <v>828</v>
      </c>
      <c r="O827" s="3" t="s">
        <v>346</v>
      </c>
      <c r="P827" t="str">
        <f t="shared" si="12"/>
        <v>4500138266170</v>
      </c>
      <c r="Q827" s="9" cm="1">
        <f t="array" ref="Q827:S827">VLOOKUP(P827,Hoja1!C:F,{2,3,4},FALSE)</f>
        <v>46295</v>
      </c>
      <c r="R827" t="str">
        <v>C03</v>
      </c>
      <c r="S827" t="str">
        <v>1000001470 SUDAMERICANA CAMIONES SA</v>
      </c>
    </row>
    <row r="828" spans="1:19" x14ac:dyDescent="0.3">
      <c r="A828" s="2" t="s">
        <v>14</v>
      </c>
      <c r="B828" s="3" t="s">
        <v>14</v>
      </c>
      <c r="C828" s="3" t="s">
        <v>827</v>
      </c>
      <c r="D828" s="3" t="s">
        <v>14</v>
      </c>
      <c r="E828" s="3" t="s">
        <v>107</v>
      </c>
      <c r="F828" s="4">
        <v>46289</v>
      </c>
      <c r="G828" s="3" t="s">
        <v>44</v>
      </c>
      <c r="H828" s="6">
        <v>-1050624</v>
      </c>
      <c r="I828" s="3" t="s">
        <v>17</v>
      </c>
      <c r="J828" s="3" t="s">
        <v>14</v>
      </c>
      <c r="K828" s="3" t="s">
        <v>14</v>
      </c>
      <c r="L828" s="3" t="s">
        <v>19</v>
      </c>
      <c r="M828" s="4">
        <v>46297</v>
      </c>
      <c r="N828" s="3" t="s">
        <v>828</v>
      </c>
      <c r="O828" s="3" t="s">
        <v>347</v>
      </c>
      <c r="P828" t="str">
        <f t="shared" si="12"/>
        <v>4500138266180</v>
      </c>
      <c r="Q828" s="9" cm="1">
        <f t="array" ref="Q828:S828">VLOOKUP(P828,Hoja1!C:F,{2,3,4},FALSE)</f>
        <v>46295</v>
      </c>
      <c r="R828" t="str">
        <v>C03</v>
      </c>
      <c r="S828" t="str">
        <v>1000001470 SUDAMERICANA CAMIONES SA</v>
      </c>
    </row>
    <row r="829" spans="1:19" x14ac:dyDescent="0.3">
      <c r="A829" s="2" t="s">
        <v>14</v>
      </c>
      <c r="B829" s="3" t="s">
        <v>14</v>
      </c>
      <c r="C829" s="3" t="s">
        <v>829</v>
      </c>
      <c r="D829" s="3" t="s">
        <v>14</v>
      </c>
      <c r="E829" s="3" t="s">
        <v>107</v>
      </c>
      <c r="F829" s="4">
        <v>46297</v>
      </c>
      <c r="G829" s="3" t="s">
        <v>44</v>
      </c>
      <c r="H829" s="6">
        <v>-1005702.48</v>
      </c>
      <c r="I829" s="3" t="s">
        <v>17</v>
      </c>
      <c r="J829" s="3" t="s">
        <v>14</v>
      </c>
      <c r="K829" s="3" t="s">
        <v>14</v>
      </c>
      <c r="L829" s="3" t="s">
        <v>368</v>
      </c>
      <c r="M829" s="4">
        <v>46297</v>
      </c>
      <c r="N829" s="3" t="s">
        <v>830</v>
      </c>
      <c r="O829" s="3" t="s">
        <v>34</v>
      </c>
      <c r="P829" t="str">
        <f t="shared" si="12"/>
        <v>450014002310</v>
      </c>
      <c r="Q829" s="9" cm="1">
        <f t="array" ref="Q829:S829">VLOOKUP(P829,Hoja1!C:F,{2,3,4},FALSE)</f>
        <v>46305</v>
      </c>
      <c r="R829" t="str">
        <v>C39</v>
      </c>
      <c r="S829" t="str">
        <v>1000009851 CUPER S. R. L.</v>
      </c>
    </row>
    <row r="830" spans="1:19" x14ac:dyDescent="0.3">
      <c r="A830" s="2" t="s">
        <v>14</v>
      </c>
      <c r="B830" s="3" t="s">
        <v>14</v>
      </c>
      <c r="C830" s="3" t="s">
        <v>831</v>
      </c>
      <c r="D830" s="3" t="s">
        <v>14</v>
      </c>
      <c r="E830" s="3" t="s">
        <v>107</v>
      </c>
      <c r="F830" s="4">
        <v>46296</v>
      </c>
      <c r="G830" s="3" t="s">
        <v>44</v>
      </c>
      <c r="H830" s="6">
        <v>-287918.40000000002</v>
      </c>
      <c r="I830" s="3" t="s">
        <v>17</v>
      </c>
      <c r="J830" s="3" t="s">
        <v>14</v>
      </c>
      <c r="K830" s="3" t="s">
        <v>14</v>
      </c>
      <c r="L830" s="3" t="s">
        <v>832</v>
      </c>
      <c r="M830" s="4">
        <v>46297</v>
      </c>
      <c r="N830" s="3" t="s">
        <v>833</v>
      </c>
      <c r="O830" s="3" t="s">
        <v>34</v>
      </c>
      <c r="P830" t="str">
        <f t="shared" si="12"/>
        <v>450013968210</v>
      </c>
      <c r="Q830" s="9" cm="1">
        <f t="array" ref="Q830:S830">VLOOKUP(P830,Hoja1!C:F,{2,3,4},FALSE)</f>
        <v>46300</v>
      </c>
      <c r="R830" t="str">
        <v>F04</v>
      </c>
      <c r="S830" t="str">
        <v>1000001129 AGRONORTE S.R.L.</v>
      </c>
    </row>
    <row r="831" spans="1:19" x14ac:dyDescent="0.3">
      <c r="A831" s="2" t="s">
        <v>14</v>
      </c>
      <c r="B831" s="3" t="s">
        <v>14</v>
      </c>
      <c r="C831" s="3" t="s">
        <v>831</v>
      </c>
      <c r="D831" s="3" t="s">
        <v>14</v>
      </c>
      <c r="E831" s="3" t="s">
        <v>107</v>
      </c>
      <c r="F831" s="4">
        <v>46296</v>
      </c>
      <c r="G831" s="3" t="s">
        <v>44</v>
      </c>
      <c r="H831" s="6">
        <v>-710265.6</v>
      </c>
      <c r="I831" s="3" t="s">
        <v>17</v>
      </c>
      <c r="J831" s="3" t="s">
        <v>14</v>
      </c>
      <c r="K831" s="3" t="s">
        <v>14</v>
      </c>
      <c r="L831" s="3" t="s">
        <v>832</v>
      </c>
      <c r="M831" s="4">
        <v>46297</v>
      </c>
      <c r="N831" s="3" t="s">
        <v>833</v>
      </c>
      <c r="O831" s="3" t="s">
        <v>21</v>
      </c>
      <c r="P831" t="str">
        <f t="shared" si="12"/>
        <v>450013968220</v>
      </c>
      <c r="Q831" s="9" cm="1">
        <f t="array" ref="Q831:S831">VLOOKUP(P831,Hoja1!C:F,{2,3,4},FALSE)</f>
        <v>46300</v>
      </c>
      <c r="R831" t="str">
        <v>F04</v>
      </c>
      <c r="S831" t="str">
        <v>1000001129 AGRONORTE S.R.L.</v>
      </c>
    </row>
    <row r="832" spans="1:19" x14ac:dyDescent="0.3">
      <c r="A832" s="2" t="s">
        <v>14</v>
      </c>
      <c r="B832" s="3" t="s">
        <v>14</v>
      </c>
      <c r="C832" s="3" t="s">
        <v>831</v>
      </c>
      <c r="D832" s="3" t="s">
        <v>14</v>
      </c>
      <c r="E832" s="3" t="s">
        <v>107</v>
      </c>
      <c r="F832" s="4">
        <v>46296</v>
      </c>
      <c r="G832" s="3" t="s">
        <v>44</v>
      </c>
      <c r="H832" s="6">
        <v>-133942.39999999999</v>
      </c>
      <c r="I832" s="3" t="s">
        <v>17</v>
      </c>
      <c r="J832" s="3" t="s">
        <v>14</v>
      </c>
      <c r="K832" s="3" t="s">
        <v>14</v>
      </c>
      <c r="L832" s="3" t="s">
        <v>832</v>
      </c>
      <c r="M832" s="4">
        <v>46297</v>
      </c>
      <c r="N832" s="3" t="s">
        <v>833</v>
      </c>
      <c r="O832" s="3" t="s">
        <v>22</v>
      </c>
      <c r="P832" t="str">
        <f t="shared" si="12"/>
        <v>450013968230</v>
      </c>
      <c r="Q832" s="9" cm="1">
        <f t="array" ref="Q832:S832">VLOOKUP(P832,Hoja1!C:F,{2,3,4},FALSE)</f>
        <v>46300</v>
      </c>
      <c r="R832" t="str">
        <v>F04</v>
      </c>
      <c r="S832" t="str">
        <v>1000001129 AGRONORTE S.R.L.</v>
      </c>
    </row>
    <row r="833" spans="1:19" x14ac:dyDescent="0.3">
      <c r="A833" s="2" t="s">
        <v>14</v>
      </c>
      <c r="B833" s="3" t="s">
        <v>14</v>
      </c>
      <c r="C833" s="3" t="s">
        <v>834</v>
      </c>
      <c r="D833" s="3" t="s">
        <v>14</v>
      </c>
      <c r="E833" s="3" t="s">
        <v>107</v>
      </c>
      <c r="F833" s="4">
        <v>46296</v>
      </c>
      <c r="G833" s="3" t="s">
        <v>44</v>
      </c>
      <c r="H833" s="6">
        <v>-111458.67</v>
      </c>
      <c r="I833" s="3" t="s">
        <v>17</v>
      </c>
      <c r="J833" s="3" t="s">
        <v>14</v>
      </c>
      <c r="K833" s="3" t="s">
        <v>14</v>
      </c>
      <c r="L833" s="3" t="s">
        <v>835</v>
      </c>
      <c r="M833" s="4">
        <v>46297</v>
      </c>
      <c r="N833" s="3" t="s">
        <v>836</v>
      </c>
      <c r="O833" s="3" t="s">
        <v>34</v>
      </c>
      <c r="P833" t="str">
        <f t="shared" si="12"/>
        <v>450013953010</v>
      </c>
      <c r="Q833" s="9" cm="1">
        <f t="array" ref="Q833:S833">VLOOKUP(P833,Hoja1!C:F,{2,3,4},FALSE)</f>
        <v>46301</v>
      </c>
      <c r="R833" t="str">
        <v>C05</v>
      </c>
      <c r="S833" t="str">
        <v>1000007799 VIDABLE CASTRO FERNANDO SEBASTIAN</v>
      </c>
    </row>
    <row r="834" spans="1:19" x14ac:dyDescent="0.3">
      <c r="A834" s="2" t="s">
        <v>14</v>
      </c>
      <c r="B834" s="3" t="s">
        <v>14</v>
      </c>
      <c r="C834" s="3" t="s">
        <v>834</v>
      </c>
      <c r="D834" s="3" t="s">
        <v>14</v>
      </c>
      <c r="E834" s="3" t="s">
        <v>107</v>
      </c>
      <c r="F834" s="4">
        <v>46296</v>
      </c>
      <c r="G834" s="3" t="s">
        <v>44</v>
      </c>
      <c r="H834" s="6">
        <v>-54110.38</v>
      </c>
      <c r="I834" s="3" t="s">
        <v>17</v>
      </c>
      <c r="J834" s="3" t="s">
        <v>14</v>
      </c>
      <c r="K834" s="3" t="s">
        <v>14</v>
      </c>
      <c r="L834" s="3" t="s">
        <v>835</v>
      </c>
      <c r="M834" s="4">
        <v>46297</v>
      </c>
      <c r="N834" s="3" t="s">
        <v>836</v>
      </c>
      <c r="O834" s="3" t="s">
        <v>21</v>
      </c>
      <c r="P834" t="str">
        <f t="shared" si="12"/>
        <v>450013953020</v>
      </c>
      <c r="Q834" s="9" cm="1">
        <f t="array" ref="Q834:S834">VLOOKUP(P834,Hoja1!C:F,{2,3,4},FALSE)</f>
        <v>46298</v>
      </c>
      <c r="R834" t="str">
        <v>C05</v>
      </c>
      <c r="S834" t="str">
        <v>1000007799 VIDABLE CASTRO FERNANDO SEBASTIAN</v>
      </c>
    </row>
    <row r="835" spans="1:19" x14ac:dyDescent="0.3">
      <c r="A835" s="2" t="s">
        <v>14</v>
      </c>
      <c r="B835" s="3" t="s">
        <v>14</v>
      </c>
      <c r="C835" s="3" t="s">
        <v>987</v>
      </c>
      <c r="D835" s="3" t="s">
        <v>14</v>
      </c>
      <c r="E835" s="3" t="s">
        <v>107</v>
      </c>
      <c r="F835" s="4">
        <v>46297</v>
      </c>
      <c r="G835" s="3" t="s">
        <v>44</v>
      </c>
      <c r="H835" s="6">
        <v>-172480</v>
      </c>
      <c r="I835" s="3" t="s">
        <v>17</v>
      </c>
      <c r="J835" s="3" t="s">
        <v>14</v>
      </c>
      <c r="K835" s="3" t="s">
        <v>14</v>
      </c>
      <c r="L835" s="3" t="s">
        <v>389</v>
      </c>
      <c r="M835" s="4">
        <v>46297</v>
      </c>
      <c r="N835" s="3" t="s">
        <v>988</v>
      </c>
      <c r="O835" s="3" t="s">
        <v>34</v>
      </c>
      <c r="P835" t="str">
        <f t="shared" ref="P835:P898" si="13">_xlfn.CONCAT(N835:O835)</f>
        <v>450014003410</v>
      </c>
      <c r="Q835" s="9" cm="1">
        <f t="array" ref="Q835:S835">VLOOKUP(P835,Hoja1!C:F,{2,3,4},FALSE)</f>
        <v>46303</v>
      </c>
      <c r="R835" t="str">
        <v>C39</v>
      </c>
      <c r="S835" t="str">
        <v>1000003377 ROYON HNOS SRL</v>
      </c>
    </row>
    <row r="836" spans="1:19" x14ac:dyDescent="0.3">
      <c r="A836" s="2" t="s">
        <v>14</v>
      </c>
      <c r="B836" s="3" t="s">
        <v>14</v>
      </c>
      <c r="C836" s="3" t="s">
        <v>989</v>
      </c>
      <c r="D836" s="3" t="s">
        <v>14</v>
      </c>
      <c r="E836" s="3" t="s">
        <v>107</v>
      </c>
      <c r="F836" s="4">
        <v>46297</v>
      </c>
      <c r="G836" s="3" t="s">
        <v>44</v>
      </c>
      <c r="H836" s="6">
        <v>-38532</v>
      </c>
      <c r="I836" s="3" t="s">
        <v>17</v>
      </c>
      <c r="J836" s="3" t="s">
        <v>14</v>
      </c>
      <c r="K836" s="3" t="s">
        <v>14</v>
      </c>
      <c r="L836" s="3" t="s">
        <v>19</v>
      </c>
      <c r="M836" s="4">
        <v>46297</v>
      </c>
      <c r="N836" s="3" t="s">
        <v>990</v>
      </c>
      <c r="O836" s="3" t="s">
        <v>34</v>
      </c>
      <c r="P836" t="str">
        <f t="shared" si="13"/>
        <v>450013811410</v>
      </c>
      <c r="Q836" s="9" cm="1">
        <f t="array" ref="Q836:S836">VLOOKUP(P836,Hoja1!C:F,{2,3,4},FALSE)</f>
        <v>46293</v>
      </c>
      <c r="R836" t="str">
        <v>C03</v>
      </c>
      <c r="S836" t="str">
        <v>1000001470 SUDAMERICANA CAMIONES SA</v>
      </c>
    </row>
    <row r="837" spans="1:19" x14ac:dyDescent="0.3">
      <c r="A837" s="2" t="s">
        <v>14</v>
      </c>
      <c r="B837" s="3" t="s">
        <v>14</v>
      </c>
      <c r="C837" s="3" t="s">
        <v>989</v>
      </c>
      <c r="D837" s="3" t="s">
        <v>14</v>
      </c>
      <c r="E837" s="3" t="s">
        <v>107</v>
      </c>
      <c r="F837" s="4">
        <v>46297</v>
      </c>
      <c r="G837" s="3" t="s">
        <v>44</v>
      </c>
      <c r="H837" s="6">
        <v>-558022.40000000002</v>
      </c>
      <c r="I837" s="3" t="s">
        <v>17</v>
      </c>
      <c r="J837" s="3" t="s">
        <v>14</v>
      </c>
      <c r="K837" s="3" t="s">
        <v>14</v>
      </c>
      <c r="L837" s="3" t="s">
        <v>19</v>
      </c>
      <c r="M837" s="4">
        <v>46297</v>
      </c>
      <c r="N837" s="3" t="s">
        <v>990</v>
      </c>
      <c r="O837" s="3" t="s">
        <v>21</v>
      </c>
      <c r="P837" t="str">
        <f t="shared" si="13"/>
        <v>450013811420</v>
      </c>
      <c r="Q837" s="9" cm="1">
        <f t="array" ref="Q837:S837">VLOOKUP(P837,Hoja1!C:F,{2,3,4},FALSE)</f>
        <v>46293</v>
      </c>
      <c r="R837" t="str">
        <v>C03</v>
      </c>
      <c r="S837" t="str">
        <v>1000001470 SUDAMERICANA CAMIONES SA</v>
      </c>
    </row>
    <row r="838" spans="1:19" x14ac:dyDescent="0.3">
      <c r="A838" s="2" t="s">
        <v>14</v>
      </c>
      <c r="B838" s="3" t="s">
        <v>14</v>
      </c>
      <c r="C838" s="3" t="s">
        <v>989</v>
      </c>
      <c r="D838" s="3" t="s">
        <v>14</v>
      </c>
      <c r="E838" s="3" t="s">
        <v>107</v>
      </c>
      <c r="F838" s="4">
        <v>46297</v>
      </c>
      <c r="G838" s="3" t="s">
        <v>44</v>
      </c>
      <c r="H838" s="6">
        <v>-753281.6</v>
      </c>
      <c r="I838" s="3" t="s">
        <v>17</v>
      </c>
      <c r="J838" s="3" t="s">
        <v>14</v>
      </c>
      <c r="K838" s="3" t="s">
        <v>14</v>
      </c>
      <c r="L838" s="3" t="s">
        <v>19</v>
      </c>
      <c r="M838" s="4">
        <v>46297</v>
      </c>
      <c r="N838" s="3" t="s">
        <v>990</v>
      </c>
      <c r="O838" s="3" t="s">
        <v>22</v>
      </c>
      <c r="P838" t="str">
        <f t="shared" si="13"/>
        <v>450013811430</v>
      </c>
      <c r="Q838" s="9" cm="1">
        <f t="array" ref="Q838:S838">VLOOKUP(P838,Hoja1!C:F,{2,3,4},FALSE)</f>
        <v>46293</v>
      </c>
      <c r="R838" t="str">
        <v>C03</v>
      </c>
      <c r="S838" t="str">
        <v>1000001470 SUDAMERICANA CAMIONES SA</v>
      </c>
    </row>
    <row r="839" spans="1:19" x14ac:dyDescent="0.3">
      <c r="A839" s="2" t="s">
        <v>14</v>
      </c>
      <c r="B839" s="3" t="s">
        <v>14</v>
      </c>
      <c r="C839" s="3" t="s">
        <v>991</v>
      </c>
      <c r="D839" s="3" t="s">
        <v>14</v>
      </c>
      <c r="E839" s="3" t="s">
        <v>107</v>
      </c>
      <c r="F839" s="4">
        <v>46297</v>
      </c>
      <c r="G839" s="3" t="s">
        <v>16</v>
      </c>
      <c r="H839" s="5">
        <v>38532</v>
      </c>
      <c r="I839" s="3" t="s">
        <v>17</v>
      </c>
      <c r="J839" s="3" t="s">
        <v>14</v>
      </c>
      <c r="K839" s="3" t="s">
        <v>14</v>
      </c>
      <c r="L839" s="3" t="s">
        <v>19</v>
      </c>
      <c r="M839" s="4">
        <v>46297</v>
      </c>
      <c r="N839" s="3" t="s">
        <v>990</v>
      </c>
      <c r="O839" s="3" t="s">
        <v>34</v>
      </c>
      <c r="P839" t="str">
        <f t="shared" si="13"/>
        <v>450013811410</v>
      </c>
      <c r="Q839" s="9" cm="1">
        <f t="array" ref="Q839:S839">VLOOKUP(P839,Hoja1!C:F,{2,3,4},FALSE)</f>
        <v>46293</v>
      </c>
      <c r="R839" t="str">
        <v>C03</v>
      </c>
      <c r="S839" t="str">
        <v>1000001470 SUDAMERICANA CAMIONES SA</v>
      </c>
    </row>
    <row r="840" spans="1:19" x14ac:dyDescent="0.3">
      <c r="A840" s="2" t="s">
        <v>14</v>
      </c>
      <c r="B840" s="3" t="s">
        <v>14</v>
      </c>
      <c r="C840" s="3" t="s">
        <v>991</v>
      </c>
      <c r="D840" s="3" t="s">
        <v>14</v>
      </c>
      <c r="E840" s="3" t="s">
        <v>107</v>
      </c>
      <c r="F840" s="4">
        <v>46297</v>
      </c>
      <c r="G840" s="3" t="s">
        <v>16</v>
      </c>
      <c r="H840" s="5">
        <v>558022.40000000002</v>
      </c>
      <c r="I840" s="3" t="s">
        <v>17</v>
      </c>
      <c r="J840" s="3" t="s">
        <v>14</v>
      </c>
      <c r="K840" s="3" t="s">
        <v>14</v>
      </c>
      <c r="L840" s="3" t="s">
        <v>19</v>
      </c>
      <c r="M840" s="4">
        <v>46297</v>
      </c>
      <c r="N840" s="3" t="s">
        <v>990</v>
      </c>
      <c r="O840" s="3" t="s">
        <v>21</v>
      </c>
      <c r="P840" t="str">
        <f t="shared" si="13"/>
        <v>450013811420</v>
      </c>
      <c r="Q840" s="9" cm="1">
        <f t="array" ref="Q840:S840">VLOOKUP(P840,Hoja1!C:F,{2,3,4},FALSE)</f>
        <v>46293</v>
      </c>
      <c r="R840" t="str">
        <v>C03</v>
      </c>
      <c r="S840" t="str">
        <v>1000001470 SUDAMERICANA CAMIONES SA</v>
      </c>
    </row>
    <row r="841" spans="1:19" x14ac:dyDescent="0.3">
      <c r="A841" s="2" t="s">
        <v>14</v>
      </c>
      <c r="B841" s="3" t="s">
        <v>14</v>
      </c>
      <c r="C841" s="3" t="s">
        <v>991</v>
      </c>
      <c r="D841" s="3" t="s">
        <v>14</v>
      </c>
      <c r="E841" s="3" t="s">
        <v>107</v>
      </c>
      <c r="F841" s="4">
        <v>46297</v>
      </c>
      <c r="G841" s="3" t="s">
        <v>16</v>
      </c>
      <c r="H841" s="5">
        <v>753281.6</v>
      </c>
      <c r="I841" s="3" t="s">
        <v>17</v>
      </c>
      <c r="J841" s="3" t="s">
        <v>14</v>
      </c>
      <c r="K841" s="3" t="s">
        <v>14</v>
      </c>
      <c r="L841" s="3" t="s">
        <v>19</v>
      </c>
      <c r="M841" s="4">
        <v>46297</v>
      </c>
      <c r="N841" s="3" t="s">
        <v>990</v>
      </c>
      <c r="O841" s="3" t="s">
        <v>22</v>
      </c>
      <c r="P841" t="str">
        <f t="shared" si="13"/>
        <v>450013811430</v>
      </c>
      <c r="Q841" s="9" cm="1">
        <f t="array" ref="Q841:S841">VLOOKUP(P841,Hoja1!C:F,{2,3,4},FALSE)</f>
        <v>46293</v>
      </c>
      <c r="R841" t="str">
        <v>C03</v>
      </c>
      <c r="S841" t="str">
        <v>1000001470 SUDAMERICANA CAMIONES SA</v>
      </c>
    </row>
    <row r="842" spans="1:19" x14ac:dyDescent="0.3">
      <c r="A842" s="2" t="s">
        <v>14</v>
      </c>
      <c r="B842" s="3" t="s">
        <v>14</v>
      </c>
      <c r="C842" s="3" t="s">
        <v>992</v>
      </c>
      <c r="D842" s="3" t="s">
        <v>14</v>
      </c>
      <c r="E842" s="3" t="s">
        <v>107</v>
      </c>
      <c r="F842" s="4">
        <v>46297</v>
      </c>
      <c r="G842" s="3" t="s">
        <v>44</v>
      </c>
      <c r="H842" s="6">
        <v>-38532</v>
      </c>
      <c r="I842" s="3" t="s">
        <v>17</v>
      </c>
      <c r="J842" s="3" t="s">
        <v>14</v>
      </c>
      <c r="K842" s="3" t="s">
        <v>14</v>
      </c>
      <c r="L842" s="3" t="s">
        <v>19</v>
      </c>
      <c r="M842" s="4">
        <v>46297</v>
      </c>
      <c r="N842" s="3" t="s">
        <v>990</v>
      </c>
      <c r="O842" s="3" t="s">
        <v>34</v>
      </c>
      <c r="P842" t="str">
        <f t="shared" si="13"/>
        <v>450013811410</v>
      </c>
      <c r="Q842" s="9" cm="1">
        <f t="array" ref="Q842:S842">VLOOKUP(P842,Hoja1!C:F,{2,3,4},FALSE)</f>
        <v>46293</v>
      </c>
      <c r="R842" t="str">
        <v>C03</v>
      </c>
      <c r="S842" t="str">
        <v>1000001470 SUDAMERICANA CAMIONES SA</v>
      </c>
    </row>
    <row r="843" spans="1:19" x14ac:dyDescent="0.3">
      <c r="A843" s="2" t="s">
        <v>14</v>
      </c>
      <c r="B843" s="3" t="s">
        <v>14</v>
      </c>
      <c r="C843" s="3" t="s">
        <v>992</v>
      </c>
      <c r="D843" s="3" t="s">
        <v>14</v>
      </c>
      <c r="E843" s="3" t="s">
        <v>107</v>
      </c>
      <c r="F843" s="4">
        <v>46297</v>
      </c>
      <c r="G843" s="3" t="s">
        <v>44</v>
      </c>
      <c r="H843" s="6">
        <v>-558022.40000000002</v>
      </c>
      <c r="I843" s="3" t="s">
        <v>17</v>
      </c>
      <c r="J843" s="3" t="s">
        <v>14</v>
      </c>
      <c r="K843" s="3" t="s">
        <v>14</v>
      </c>
      <c r="L843" s="3" t="s">
        <v>19</v>
      </c>
      <c r="M843" s="4">
        <v>46297</v>
      </c>
      <c r="N843" s="3" t="s">
        <v>990</v>
      </c>
      <c r="O843" s="3" t="s">
        <v>21</v>
      </c>
      <c r="P843" t="str">
        <f t="shared" si="13"/>
        <v>450013811420</v>
      </c>
      <c r="Q843" s="9" cm="1">
        <f t="array" ref="Q843:S843">VLOOKUP(P843,Hoja1!C:F,{2,3,4},FALSE)</f>
        <v>46293</v>
      </c>
      <c r="R843" t="str">
        <v>C03</v>
      </c>
      <c r="S843" t="str">
        <v>1000001470 SUDAMERICANA CAMIONES SA</v>
      </c>
    </row>
    <row r="844" spans="1:19" x14ac:dyDescent="0.3">
      <c r="A844" s="2" t="s">
        <v>14</v>
      </c>
      <c r="B844" s="3" t="s">
        <v>14</v>
      </c>
      <c r="C844" s="3" t="s">
        <v>992</v>
      </c>
      <c r="D844" s="3" t="s">
        <v>14</v>
      </c>
      <c r="E844" s="3" t="s">
        <v>107</v>
      </c>
      <c r="F844" s="4">
        <v>46297</v>
      </c>
      <c r="G844" s="3" t="s">
        <v>44</v>
      </c>
      <c r="H844" s="6">
        <v>-753281.6</v>
      </c>
      <c r="I844" s="3" t="s">
        <v>17</v>
      </c>
      <c r="J844" s="3" t="s">
        <v>14</v>
      </c>
      <c r="K844" s="3" t="s">
        <v>14</v>
      </c>
      <c r="L844" s="3" t="s">
        <v>19</v>
      </c>
      <c r="M844" s="4">
        <v>46297</v>
      </c>
      <c r="N844" s="3" t="s">
        <v>990</v>
      </c>
      <c r="O844" s="3" t="s">
        <v>22</v>
      </c>
      <c r="P844" t="str">
        <f t="shared" si="13"/>
        <v>450013811430</v>
      </c>
      <c r="Q844" s="9" cm="1">
        <f t="array" ref="Q844:S844">VLOOKUP(P844,Hoja1!C:F,{2,3,4},FALSE)</f>
        <v>46293</v>
      </c>
      <c r="R844" t="str">
        <v>C03</v>
      </c>
      <c r="S844" t="str">
        <v>1000001470 SUDAMERICANA CAMIONES SA</v>
      </c>
    </row>
    <row r="845" spans="1:19" x14ac:dyDescent="0.3">
      <c r="A845" s="2" t="s">
        <v>14</v>
      </c>
      <c r="B845" s="3" t="s">
        <v>14</v>
      </c>
      <c r="C845" s="3" t="s">
        <v>993</v>
      </c>
      <c r="D845" s="3" t="s">
        <v>14</v>
      </c>
      <c r="E845" s="3" t="s">
        <v>107</v>
      </c>
      <c r="F845" s="4">
        <v>46297</v>
      </c>
      <c r="G845" s="3" t="s">
        <v>44</v>
      </c>
      <c r="H845" s="6">
        <v>-66697.600000000006</v>
      </c>
      <c r="I845" s="3" t="s">
        <v>17</v>
      </c>
      <c r="J845" s="3" t="s">
        <v>14</v>
      </c>
      <c r="K845" s="3" t="s">
        <v>14</v>
      </c>
      <c r="L845" s="3" t="s">
        <v>994</v>
      </c>
      <c r="M845" s="4">
        <v>46297</v>
      </c>
      <c r="N845" s="3" t="s">
        <v>995</v>
      </c>
      <c r="O845" s="3" t="s">
        <v>34</v>
      </c>
      <c r="P845" t="str">
        <f t="shared" si="13"/>
        <v>450014002810</v>
      </c>
      <c r="Q845" s="9" cm="1">
        <f t="array" ref="Q845:S845">VLOOKUP(P845,Hoja1!C:F,{2,3,4},FALSE)</f>
        <v>46310</v>
      </c>
      <c r="R845" t="str">
        <v>L03</v>
      </c>
      <c r="S845" t="str">
        <v>1000000636 GIOVAGNOLI S.R.L.</v>
      </c>
    </row>
    <row r="846" spans="1:19" x14ac:dyDescent="0.3">
      <c r="A846" s="2" t="s">
        <v>14</v>
      </c>
      <c r="B846" s="3" t="s">
        <v>14</v>
      </c>
      <c r="C846" s="3" t="s">
        <v>996</v>
      </c>
      <c r="D846" s="3" t="s">
        <v>14</v>
      </c>
      <c r="E846" s="3" t="s">
        <v>107</v>
      </c>
      <c r="F846" s="4">
        <v>46297</v>
      </c>
      <c r="G846" s="3" t="s">
        <v>44</v>
      </c>
      <c r="H846" s="6">
        <v>-149583.20000000001</v>
      </c>
      <c r="I846" s="3" t="s">
        <v>17</v>
      </c>
      <c r="J846" s="3" t="s">
        <v>14</v>
      </c>
      <c r="K846" s="3" t="s">
        <v>14</v>
      </c>
      <c r="L846" s="3" t="s">
        <v>163</v>
      </c>
      <c r="M846" s="4">
        <v>46297</v>
      </c>
      <c r="N846" s="3" t="s">
        <v>997</v>
      </c>
      <c r="O846" s="3" t="s">
        <v>34</v>
      </c>
      <c r="P846" t="str">
        <f t="shared" si="13"/>
        <v>450013845210</v>
      </c>
      <c r="Q846" s="9" cm="1">
        <f t="array" ref="Q846:S846">VLOOKUP(P846,Hoja1!C:F,{2,3,4},FALSE)</f>
        <v>46297</v>
      </c>
      <c r="R846" t="str">
        <v>C03</v>
      </c>
      <c r="S846" t="str">
        <v>1000000062 FINNING ARGENTINA S.A.</v>
      </c>
    </row>
    <row r="847" spans="1:19" x14ac:dyDescent="0.3">
      <c r="A847" s="2" t="s">
        <v>14</v>
      </c>
      <c r="B847" s="3" t="s">
        <v>14</v>
      </c>
      <c r="C847" s="3" t="s">
        <v>996</v>
      </c>
      <c r="D847" s="3" t="s">
        <v>14</v>
      </c>
      <c r="E847" s="3" t="s">
        <v>107</v>
      </c>
      <c r="F847" s="4">
        <v>46297</v>
      </c>
      <c r="G847" s="3" t="s">
        <v>44</v>
      </c>
      <c r="H847" s="6">
        <v>-27405.599999999999</v>
      </c>
      <c r="I847" s="3" t="s">
        <v>17</v>
      </c>
      <c r="J847" s="3" t="s">
        <v>14</v>
      </c>
      <c r="K847" s="3" t="s">
        <v>14</v>
      </c>
      <c r="L847" s="3" t="s">
        <v>163</v>
      </c>
      <c r="M847" s="4">
        <v>46297</v>
      </c>
      <c r="N847" s="3" t="s">
        <v>997</v>
      </c>
      <c r="O847" s="3" t="s">
        <v>22</v>
      </c>
      <c r="P847" t="str">
        <f t="shared" si="13"/>
        <v>450013845230</v>
      </c>
      <c r="Q847" s="9" cm="1">
        <f t="array" ref="Q847:S847">VLOOKUP(P847,Hoja1!C:F,{2,3,4},FALSE)</f>
        <v>46297</v>
      </c>
      <c r="R847" t="str">
        <v>C03</v>
      </c>
      <c r="S847" t="str">
        <v>1000000062 FINNING ARGENTINA S.A.</v>
      </c>
    </row>
    <row r="848" spans="1:19" x14ac:dyDescent="0.3">
      <c r="A848" s="2" t="s">
        <v>14</v>
      </c>
      <c r="B848" s="3" t="s">
        <v>14</v>
      </c>
      <c r="C848" s="3" t="s">
        <v>996</v>
      </c>
      <c r="D848" s="3" t="s">
        <v>14</v>
      </c>
      <c r="E848" s="3" t="s">
        <v>107</v>
      </c>
      <c r="F848" s="4">
        <v>46297</v>
      </c>
      <c r="G848" s="3" t="s">
        <v>44</v>
      </c>
      <c r="H848" s="6">
        <v>-560576</v>
      </c>
      <c r="I848" s="3" t="s">
        <v>17</v>
      </c>
      <c r="J848" s="3" t="s">
        <v>14</v>
      </c>
      <c r="K848" s="3" t="s">
        <v>14</v>
      </c>
      <c r="L848" s="3" t="s">
        <v>163</v>
      </c>
      <c r="M848" s="4">
        <v>46297</v>
      </c>
      <c r="N848" s="3" t="s">
        <v>997</v>
      </c>
      <c r="O848" s="3" t="s">
        <v>344</v>
      </c>
      <c r="P848" t="str">
        <f t="shared" si="13"/>
        <v>450013845290</v>
      </c>
      <c r="Q848" s="9" cm="1">
        <f t="array" ref="Q848:S848">VLOOKUP(P848,Hoja1!C:F,{2,3,4},FALSE)</f>
        <v>46297</v>
      </c>
      <c r="R848" t="str">
        <v>C03</v>
      </c>
      <c r="S848" t="str">
        <v>1000000062 FINNING ARGENTINA S.A.</v>
      </c>
    </row>
    <row r="849" spans="1:19" x14ac:dyDescent="0.3">
      <c r="A849" s="2" t="s">
        <v>14</v>
      </c>
      <c r="B849" s="3" t="s">
        <v>14</v>
      </c>
      <c r="C849" s="3" t="s">
        <v>996</v>
      </c>
      <c r="D849" s="3" t="s">
        <v>14</v>
      </c>
      <c r="E849" s="3" t="s">
        <v>107</v>
      </c>
      <c r="F849" s="4">
        <v>46297</v>
      </c>
      <c r="G849" s="3" t="s">
        <v>44</v>
      </c>
      <c r="H849" s="6">
        <v>-570060.80000000005</v>
      </c>
      <c r="I849" s="3" t="s">
        <v>17</v>
      </c>
      <c r="J849" s="3" t="s">
        <v>14</v>
      </c>
      <c r="K849" s="3" t="s">
        <v>14</v>
      </c>
      <c r="L849" s="3" t="s">
        <v>163</v>
      </c>
      <c r="M849" s="4">
        <v>46297</v>
      </c>
      <c r="N849" s="3" t="s">
        <v>997</v>
      </c>
      <c r="O849" s="3" t="s">
        <v>345</v>
      </c>
      <c r="P849" t="str">
        <f t="shared" si="13"/>
        <v>4500138452100</v>
      </c>
      <c r="Q849" s="9" cm="1">
        <f t="array" ref="Q849:S849">VLOOKUP(P849,Hoja1!C:F,{2,3,4},FALSE)</f>
        <v>46297</v>
      </c>
      <c r="R849" t="str">
        <v>C03</v>
      </c>
      <c r="S849" t="str">
        <v>1000000062 FINNING ARGENTINA S.A.</v>
      </c>
    </row>
    <row r="850" spans="1:19" x14ac:dyDescent="0.3">
      <c r="A850" s="2" t="s">
        <v>14</v>
      </c>
      <c r="B850" s="3" t="s">
        <v>14</v>
      </c>
      <c r="C850" s="3" t="s">
        <v>998</v>
      </c>
      <c r="D850" s="3" t="s">
        <v>14</v>
      </c>
      <c r="E850" s="3" t="s">
        <v>107</v>
      </c>
      <c r="F850" s="4">
        <v>46297</v>
      </c>
      <c r="G850" s="3" t="s">
        <v>44</v>
      </c>
      <c r="H850" s="6">
        <v>-572634.79</v>
      </c>
      <c r="I850" s="3" t="s">
        <v>17</v>
      </c>
      <c r="J850" s="3" t="s">
        <v>14</v>
      </c>
      <c r="K850" s="3" t="s">
        <v>14</v>
      </c>
      <c r="L850" s="3" t="s">
        <v>999</v>
      </c>
      <c r="M850" s="4">
        <v>46297</v>
      </c>
      <c r="N850" s="3" t="s">
        <v>1000</v>
      </c>
      <c r="O850" s="3" t="s">
        <v>34</v>
      </c>
      <c r="P850" t="str">
        <f t="shared" si="13"/>
        <v>450013973010</v>
      </c>
      <c r="Q850" s="9" cm="1">
        <f t="array" ref="Q850:S850">VLOOKUP(P850,Hoja1!C:F,{2,3,4},FALSE)</f>
        <v>46301</v>
      </c>
      <c r="R850" t="str">
        <v>C29</v>
      </c>
      <c r="S850" t="str">
        <v>1000000581 GINZA S.A.</v>
      </c>
    </row>
    <row r="851" spans="1:19" x14ac:dyDescent="0.3">
      <c r="A851" s="2" t="s">
        <v>14</v>
      </c>
      <c r="B851" s="3" t="s">
        <v>14</v>
      </c>
      <c r="C851" s="3" t="s">
        <v>1001</v>
      </c>
      <c r="D851" s="3" t="s">
        <v>14</v>
      </c>
      <c r="E851" s="3" t="s">
        <v>107</v>
      </c>
      <c r="F851" s="4">
        <v>46297</v>
      </c>
      <c r="G851" s="3" t="s">
        <v>44</v>
      </c>
      <c r="H851" s="6">
        <v>-560348</v>
      </c>
      <c r="I851" s="3" t="s">
        <v>17</v>
      </c>
      <c r="J851" s="3" t="s">
        <v>14</v>
      </c>
      <c r="K851" s="3" t="s">
        <v>14</v>
      </c>
      <c r="L851" s="3" t="s">
        <v>163</v>
      </c>
      <c r="M851" s="4">
        <v>46297</v>
      </c>
      <c r="N851" s="3" t="s">
        <v>1002</v>
      </c>
      <c r="O851" s="3" t="s">
        <v>34</v>
      </c>
      <c r="P851" t="str">
        <f t="shared" si="13"/>
        <v>450013856910</v>
      </c>
      <c r="Q851" s="9" cm="1">
        <f t="array" ref="Q851:S851">VLOOKUP(P851,Hoja1!C:F,{2,3,4},FALSE)</f>
        <v>46304</v>
      </c>
      <c r="R851" t="str">
        <v>C03</v>
      </c>
      <c r="S851" t="str">
        <v>1000000062 FINNING ARGENTINA S.A.</v>
      </c>
    </row>
    <row r="852" spans="1:19" x14ac:dyDescent="0.3">
      <c r="A852" s="2" t="s">
        <v>14</v>
      </c>
      <c r="B852" s="3" t="s">
        <v>14</v>
      </c>
      <c r="C852" s="3" t="s">
        <v>1001</v>
      </c>
      <c r="D852" s="3" t="s">
        <v>14</v>
      </c>
      <c r="E852" s="3" t="s">
        <v>107</v>
      </c>
      <c r="F852" s="4">
        <v>46297</v>
      </c>
      <c r="G852" s="3" t="s">
        <v>44</v>
      </c>
      <c r="H852" s="6">
        <v>-1485739.2</v>
      </c>
      <c r="I852" s="3" t="s">
        <v>17</v>
      </c>
      <c r="J852" s="3" t="s">
        <v>14</v>
      </c>
      <c r="K852" s="3" t="s">
        <v>14</v>
      </c>
      <c r="L852" s="3" t="s">
        <v>163</v>
      </c>
      <c r="M852" s="4">
        <v>46297</v>
      </c>
      <c r="N852" s="3" t="s">
        <v>1002</v>
      </c>
      <c r="O852" s="3" t="s">
        <v>21</v>
      </c>
      <c r="P852" t="str">
        <f t="shared" si="13"/>
        <v>450013856920</v>
      </c>
      <c r="Q852" s="9" cm="1">
        <f t="array" ref="Q852:S852">VLOOKUP(P852,Hoja1!C:F,{2,3,4},FALSE)</f>
        <v>46296</v>
      </c>
      <c r="R852" t="str">
        <v>C03</v>
      </c>
      <c r="S852" t="str">
        <v>1000000062 FINNING ARGENTINA S.A.</v>
      </c>
    </row>
    <row r="853" spans="1:19" x14ac:dyDescent="0.3">
      <c r="A853" s="2" t="s">
        <v>14</v>
      </c>
      <c r="B853" s="3" t="s">
        <v>14</v>
      </c>
      <c r="C853" s="3" t="s">
        <v>1003</v>
      </c>
      <c r="D853" s="3" t="s">
        <v>14</v>
      </c>
      <c r="E853" s="3" t="s">
        <v>107</v>
      </c>
      <c r="F853" s="4">
        <v>46297</v>
      </c>
      <c r="G853" s="3" t="s">
        <v>44</v>
      </c>
      <c r="H853" s="6">
        <v>-235600</v>
      </c>
      <c r="I853" s="3" t="s">
        <v>17</v>
      </c>
      <c r="J853" s="3" t="s">
        <v>14</v>
      </c>
      <c r="K853" s="3" t="s">
        <v>14</v>
      </c>
      <c r="L853" s="3" t="s">
        <v>163</v>
      </c>
      <c r="M853" s="4">
        <v>46297</v>
      </c>
      <c r="N853" s="3" t="s">
        <v>997</v>
      </c>
      <c r="O853" s="3" t="s">
        <v>26</v>
      </c>
      <c r="P853" t="str">
        <f t="shared" si="13"/>
        <v>450013845240</v>
      </c>
      <c r="Q853" s="9" cm="1">
        <f t="array" ref="Q853:S853">VLOOKUP(P853,Hoja1!C:F,{2,3,4},FALSE)</f>
        <v>46297</v>
      </c>
      <c r="R853" t="str">
        <v>C03</v>
      </c>
      <c r="S853" t="str">
        <v>1000000062 FINNING ARGENTINA S.A.</v>
      </c>
    </row>
    <row r="854" spans="1:19" x14ac:dyDescent="0.3">
      <c r="A854" s="2" t="s">
        <v>14</v>
      </c>
      <c r="B854" s="3" t="s">
        <v>14</v>
      </c>
      <c r="C854" s="3" t="s">
        <v>1003</v>
      </c>
      <c r="D854" s="3" t="s">
        <v>14</v>
      </c>
      <c r="E854" s="3" t="s">
        <v>107</v>
      </c>
      <c r="F854" s="4">
        <v>46297</v>
      </c>
      <c r="G854" s="3" t="s">
        <v>44</v>
      </c>
      <c r="H854" s="6">
        <v>-78736</v>
      </c>
      <c r="I854" s="3" t="s">
        <v>17</v>
      </c>
      <c r="J854" s="3" t="s">
        <v>14</v>
      </c>
      <c r="K854" s="3" t="s">
        <v>14</v>
      </c>
      <c r="L854" s="3" t="s">
        <v>163</v>
      </c>
      <c r="M854" s="4">
        <v>46297</v>
      </c>
      <c r="N854" s="3" t="s">
        <v>997</v>
      </c>
      <c r="O854" s="3" t="s">
        <v>23</v>
      </c>
      <c r="P854" t="str">
        <f t="shared" si="13"/>
        <v>450013845250</v>
      </c>
      <c r="Q854" s="9" cm="1">
        <f t="array" ref="Q854:S854">VLOOKUP(P854,Hoja1!C:F,{2,3,4},FALSE)</f>
        <v>46297</v>
      </c>
      <c r="R854" t="str">
        <v>C03</v>
      </c>
      <c r="S854" t="str">
        <v>1000000062 FINNING ARGENTINA S.A.</v>
      </c>
    </row>
    <row r="855" spans="1:19" x14ac:dyDescent="0.3">
      <c r="A855" s="2" t="s">
        <v>14</v>
      </c>
      <c r="B855" s="3" t="s">
        <v>14</v>
      </c>
      <c r="C855" s="3" t="s">
        <v>1004</v>
      </c>
      <c r="D855" s="3" t="s">
        <v>14</v>
      </c>
      <c r="E855" s="3" t="s">
        <v>107</v>
      </c>
      <c r="F855" s="4">
        <v>46297</v>
      </c>
      <c r="G855" s="3" t="s">
        <v>44</v>
      </c>
      <c r="H855" s="6">
        <v>-456000</v>
      </c>
      <c r="I855" s="3" t="s">
        <v>17</v>
      </c>
      <c r="J855" s="3" t="s">
        <v>14</v>
      </c>
      <c r="K855" s="3" t="s">
        <v>14</v>
      </c>
      <c r="L855" s="3" t="s">
        <v>19</v>
      </c>
      <c r="M855" s="4">
        <v>46297</v>
      </c>
      <c r="N855" s="3" t="s">
        <v>974</v>
      </c>
      <c r="O855" s="3" t="s">
        <v>34</v>
      </c>
      <c r="P855" t="str">
        <f t="shared" si="13"/>
        <v>450013262110</v>
      </c>
      <c r="Q855" s="9" cm="1">
        <f t="array" ref="Q855:S855">VLOOKUP(P855,Hoja1!C:F,{2,3,4},FALSE)</f>
        <v>46230</v>
      </c>
      <c r="R855" t="str">
        <v>EFO</v>
      </c>
      <c r="S855" t="str">
        <v>1000001470 SUDAMERICANA CAMIONES SA</v>
      </c>
    </row>
    <row r="856" spans="1:19" x14ac:dyDescent="0.3">
      <c r="A856" s="2" t="s">
        <v>14</v>
      </c>
      <c r="B856" s="3" t="s">
        <v>14</v>
      </c>
      <c r="C856" s="3" t="s">
        <v>1005</v>
      </c>
      <c r="D856" s="3" t="s">
        <v>14</v>
      </c>
      <c r="E856" s="3" t="s">
        <v>107</v>
      </c>
      <c r="F856" s="4">
        <v>46297</v>
      </c>
      <c r="G856" s="3" t="s">
        <v>44</v>
      </c>
      <c r="H856" s="6">
        <v>-228000</v>
      </c>
      <c r="I856" s="3" t="s">
        <v>17</v>
      </c>
      <c r="J856" s="3" t="s">
        <v>14</v>
      </c>
      <c r="K856" s="3" t="s">
        <v>14</v>
      </c>
      <c r="L856" s="3" t="s">
        <v>19</v>
      </c>
      <c r="M856" s="4">
        <v>46297</v>
      </c>
      <c r="N856" s="3" t="s">
        <v>974</v>
      </c>
      <c r="O856" s="3" t="s">
        <v>21</v>
      </c>
      <c r="P856" t="str">
        <f t="shared" si="13"/>
        <v>450013262120</v>
      </c>
      <c r="Q856" s="9" cm="1">
        <f t="array" ref="Q856:S856">VLOOKUP(P856,Hoja1!C:F,{2,3,4},FALSE)</f>
        <v>46230</v>
      </c>
      <c r="R856" t="str">
        <v>EFO</v>
      </c>
      <c r="S856" t="str">
        <v>1000001470 SUDAMERICANA CAMIONES SA</v>
      </c>
    </row>
    <row r="857" spans="1:19" x14ac:dyDescent="0.3">
      <c r="A857" s="2" t="s">
        <v>14</v>
      </c>
      <c r="B857" s="3" t="s">
        <v>14</v>
      </c>
      <c r="C857" s="3" t="s">
        <v>1006</v>
      </c>
      <c r="D857" s="3" t="s">
        <v>14</v>
      </c>
      <c r="E857" s="3" t="s">
        <v>107</v>
      </c>
      <c r="F857" s="4">
        <v>46297</v>
      </c>
      <c r="G857" s="3" t="s">
        <v>44</v>
      </c>
      <c r="H857" s="6">
        <v>-456000</v>
      </c>
      <c r="I857" s="3" t="s">
        <v>17</v>
      </c>
      <c r="J857" s="3" t="s">
        <v>14</v>
      </c>
      <c r="K857" s="3" t="s">
        <v>14</v>
      </c>
      <c r="L857" s="3" t="s">
        <v>19</v>
      </c>
      <c r="M857" s="4">
        <v>46297</v>
      </c>
      <c r="N857" s="3" t="s">
        <v>974</v>
      </c>
      <c r="O857" s="3" t="s">
        <v>22</v>
      </c>
      <c r="P857" t="str">
        <f t="shared" si="13"/>
        <v>450013262130</v>
      </c>
      <c r="Q857" s="9" cm="1">
        <f t="array" ref="Q857:S857">VLOOKUP(P857,Hoja1!C:F,{2,3,4},FALSE)</f>
        <v>46230</v>
      </c>
      <c r="R857" t="str">
        <v>EFO</v>
      </c>
      <c r="S857" t="str">
        <v>1000001470 SUDAMERICANA CAMIONES SA</v>
      </c>
    </row>
    <row r="858" spans="1:19" x14ac:dyDescent="0.3">
      <c r="A858" s="2" t="s">
        <v>14</v>
      </c>
      <c r="B858" s="3" t="s">
        <v>14</v>
      </c>
      <c r="C858" s="3" t="s">
        <v>1007</v>
      </c>
      <c r="D858" s="3" t="s">
        <v>14</v>
      </c>
      <c r="E858" s="3" t="s">
        <v>107</v>
      </c>
      <c r="F858" s="4">
        <v>46297</v>
      </c>
      <c r="G858" s="3" t="s">
        <v>44</v>
      </c>
      <c r="H858" s="6">
        <v>-456000</v>
      </c>
      <c r="I858" s="3" t="s">
        <v>17</v>
      </c>
      <c r="J858" s="3" t="s">
        <v>14</v>
      </c>
      <c r="K858" s="3" t="s">
        <v>14</v>
      </c>
      <c r="L858" s="3" t="s">
        <v>19</v>
      </c>
      <c r="M858" s="4">
        <v>46297</v>
      </c>
      <c r="N858" s="3" t="s">
        <v>974</v>
      </c>
      <c r="O858" s="3" t="s">
        <v>26</v>
      </c>
      <c r="P858" t="str">
        <f t="shared" si="13"/>
        <v>450013262140</v>
      </c>
      <c r="Q858" s="9" cm="1">
        <f t="array" ref="Q858:S858">VLOOKUP(P858,Hoja1!C:F,{2,3,4},FALSE)</f>
        <v>46230</v>
      </c>
      <c r="R858" t="str">
        <v>EFO</v>
      </c>
      <c r="S858" t="str">
        <v>1000001470 SUDAMERICANA CAMIONES SA</v>
      </c>
    </row>
    <row r="859" spans="1:19" x14ac:dyDescent="0.3">
      <c r="A859" s="2" t="s">
        <v>14</v>
      </c>
      <c r="B859" s="3" t="s">
        <v>14</v>
      </c>
      <c r="C859" s="3" t="s">
        <v>1008</v>
      </c>
      <c r="D859" s="3" t="s">
        <v>14</v>
      </c>
      <c r="E859" s="3" t="s">
        <v>107</v>
      </c>
      <c r="F859" s="4">
        <v>46297</v>
      </c>
      <c r="G859" s="3" t="s">
        <v>44</v>
      </c>
      <c r="H859" s="6">
        <v>-456000</v>
      </c>
      <c r="I859" s="3" t="s">
        <v>17</v>
      </c>
      <c r="J859" s="3" t="s">
        <v>14</v>
      </c>
      <c r="K859" s="3" t="s">
        <v>14</v>
      </c>
      <c r="L859" s="3" t="s">
        <v>19</v>
      </c>
      <c r="M859" s="4">
        <v>46297</v>
      </c>
      <c r="N859" s="3" t="s">
        <v>974</v>
      </c>
      <c r="O859" s="3" t="s">
        <v>24</v>
      </c>
      <c r="P859" t="str">
        <f t="shared" si="13"/>
        <v>450013262160</v>
      </c>
      <c r="Q859" s="9" cm="1">
        <f t="array" ref="Q859:S859">VLOOKUP(P859,Hoja1!C:F,{2,3,4},FALSE)</f>
        <v>46230</v>
      </c>
      <c r="R859" t="str">
        <v>EFO</v>
      </c>
      <c r="S859" t="str">
        <v>1000001470 SUDAMERICANA CAMIONES SA</v>
      </c>
    </row>
    <row r="860" spans="1:19" x14ac:dyDescent="0.3">
      <c r="A860" s="2" t="s">
        <v>14</v>
      </c>
      <c r="B860" s="3" t="s">
        <v>14</v>
      </c>
      <c r="C860" s="3" t="s">
        <v>1009</v>
      </c>
      <c r="D860" s="3" t="s">
        <v>14</v>
      </c>
      <c r="E860" s="3" t="s">
        <v>107</v>
      </c>
      <c r="F860" s="4">
        <v>46297</v>
      </c>
      <c r="G860" s="3" t="s">
        <v>44</v>
      </c>
      <c r="H860" s="6">
        <v>-456000</v>
      </c>
      <c r="I860" s="3" t="s">
        <v>17</v>
      </c>
      <c r="J860" s="3" t="s">
        <v>14</v>
      </c>
      <c r="K860" s="3" t="s">
        <v>14</v>
      </c>
      <c r="L860" s="3" t="s">
        <v>19</v>
      </c>
      <c r="M860" s="4">
        <v>46297</v>
      </c>
      <c r="N860" s="3" t="s">
        <v>974</v>
      </c>
      <c r="O860" s="3" t="s">
        <v>25</v>
      </c>
      <c r="P860" t="str">
        <f t="shared" si="13"/>
        <v>450013262170</v>
      </c>
      <c r="Q860" s="9" cm="1">
        <f t="array" ref="Q860:S860">VLOOKUP(P860,Hoja1!C:F,{2,3,4},FALSE)</f>
        <v>46230</v>
      </c>
      <c r="R860" t="str">
        <v>EFO</v>
      </c>
      <c r="S860" t="str">
        <v>1000001470 SUDAMERICANA CAMIONES SA</v>
      </c>
    </row>
    <row r="861" spans="1:19" x14ac:dyDescent="0.3">
      <c r="A861" s="2" t="s">
        <v>14</v>
      </c>
      <c r="B861" s="3" t="s">
        <v>14</v>
      </c>
      <c r="C861" s="3" t="s">
        <v>1010</v>
      </c>
      <c r="D861" s="3" t="s">
        <v>14</v>
      </c>
      <c r="E861" s="3" t="s">
        <v>107</v>
      </c>
      <c r="F861" s="4">
        <v>46297</v>
      </c>
      <c r="G861" s="3" t="s">
        <v>44</v>
      </c>
      <c r="H861" s="6">
        <v>-456000</v>
      </c>
      <c r="I861" s="3" t="s">
        <v>17</v>
      </c>
      <c r="J861" s="3" t="s">
        <v>14</v>
      </c>
      <c r="K861" s="3" t="s">
        <v>14</v>
      </c>
      <c r="L861" s="3" t="s">
        <v>19</v>
      </c>
      <c r="M861" s="4">
        <v>46297</v>
      </c>
      <c r="N861" s="3" t="s">
        <v>974</v>
      </c>
      <c r="O861" s="3" t="s">
        <v>343</v>
      </c>
      <c r="P861" t="str">
        <f t="shared" si="13"/>
        <v>450013262180</v>
      </c>
      <c r="Q861" s="9" cm="1">
        <f t="array" ref="Q861:S861">VLOOKUP(P861,Hoja1!C:F,{2,3,4},FALSE)</f>
        <v>46230</v>
      </c>
      <c r="R861" t="str">
        <v>EFO</v>
      </c>
      <c r="S861" t="str">
        <v>1000001470 SUDAMERICANA CAMIONES SA</v>
      </c>
    </row>
    <row r="862" spans="1:19" x14ac:dyDescent="0.3">
      <c r="A862" s="2" t="s">
        <v>14</v>
      </c>
      <c r="B862" s="3" t="s">
        <v>14</v>
      </c>
      <c r="C862" s="3" t="s">
        <v>1011</v>
      </c>
      <c r="D862" s="3" t="s">
        <v>14</v>
      </c>
      <c r="E862" s="3" t="s">
        <v>107</v>
      </c>
      <c r="F862" s="4">
        <v>46297</v>
      </c>
      <c r="G862" s="3" t="s">
        <v>44</v>
      </c>
      <c r="H862" s="6">
        <v>-456000</v>
      </c>
      <c r="I862" s="3" t="s">
        <v>17</v>
      </c>
      <c r="J862" s="3" t="s">
        <v>14</v>
      </c>
      <c r="K862" s="3" t="s">
        <v>14</v>
      </c>
      <c r="L862" s="3" t="s">
        <v>19</v>
      </c>
      <c r="M862" s="4">
        <v>46297</v>
      </c>
      <c r="N862" s="3" t="s">
        <v>974</v>
      </c>
      <c r="O862" s="3" t="s">
        <v>344</v>
      </c>
      <c r="P862" t="str">
        <f t="shared" si="13"/>
        <v>450013262190</v>
      </c>
      <c r="Q862" s="9" cm="1">
        <f t="array" ref="Q862:S862">VLOOKUP(P862,Hoja1!C:F,{2,3,4},FALSE)</f>
        <v>46230</v>
      </c>
      <c r="R862" t="str">
        <v>EFO</v>
      </c>
      <c r="S862" t="str">
        <v>1000001470 SUDAMERICANA CAMIONES SA</v>
      </c>
    </row>
    <row r="863" spans="1:19" x14ac:dyDescent="0.3">
      <c r="A863" s="2" t="s">
        <v>14</v>
      </c>
      <c r="B863" s="3" t="s">
        <v>14</v>
      </c>
      <c r="C863" s="3" t="s">
        <v>1012</v>
      </c>
      <c r="D863" s="3" t="s">
        <v>14</v>
      </c>
      <c r="E863" s="3" t="s">
        <v>107</v>
      </c>
      <c r="F863" s="4">
        <v>46297</v>
      </c>
      <c r="G863" s="3" t="s">
        <v>44</v>
      </c>
      <c r="H863" s="6">
        <v>-607635.19999999995</v>
      </c>
      <c r="I863" s="3" t="s">
        <v>17</v>
      </c>
      <c r="J863" s="3" t="s">
        <v>14</v>
      </c>
      <c r="K863" s="3" t="s">
        <v>14</v>
      </c>
      <c r="L863" s="3" t="s">
        <v>19</v>
      </c>
      <c r="M863" s="4">
        <v>46297</v>
      </c>
      <c r="N863" s="3" t="s">
        <v>1013</v>
      </c>
      <c r="O863" s="3" t="s">
        <v>34</v>
      </c>
      <c r="P863" t="str">
        <f t="shared" si="13"/>
        <v>450013989010</v>
      </c>
      <c r="Q863" s="9" cm="1">
        <f t="array" ref="Q863:S863">VLOOKUP(P863,Hoja1!C:F,{2,3,4},FALSE)</f>
        <v>46309</v>
      </c>
      <c r="R863" t="str">
        <v>F06</v>
      </c>
      <c r="S863" t="str">
        <v>1000001470 SUDAMERICANA CAMIONES SA</v>
      </c>
    </row>
    <row r="864" spans="1:19" x14ac:dyDescent="0.3">
      <c r="A864" s="2" t="s">
        <v>14</v>
      </c>
      <c r="B864" s="3" t="s">
        <v>14</v>
      </c>
      <c r="C864" s="3" t="s">
        <v>1014</v>
      </c>
      <c r="D864" s="3" t="s">
        <v>14</v>
      </c>
      <c r="E864" s="3" t="s">
        <v>107</v>
      </c>
      <c r="F864" s="4">
        <v>46297</v>
      </c>
      <c r="G864" s="3" t="s">
        <v>44</v>
      </c>
      <c r="H864" s="6">
        <v>-6552239.3099999996</v>
      </c>
      <c r="I864" s="3" t="s">
        <v>17</v>
      </c>
      <c r="J864" s="3" t="s">
        <v>14</v>
      </c>
      <c r="K864" s="3" t="s">
        <v>14</v>
      </c>
      <c r="L864" s="3" t="s">
        <v>1015</v>
      </c>
      <c r="M864" s="4">
        <v>46297</v>
      </c>
      <c r="N864" s="3" t="s">
        <v>1016</v>
      </c>
      <c r="O864" s="3" t="s">
        <v>34</v>
      </c>
      <c r="P864" t="str">
        <f t="shared" si="13"/>
        <v>450013758110</v>
      </c>
      <c r="Q864" s="9" cm="1">
        <f t="array" ref="Q864:S864">VLOOKUP(P864,Hoja1!C:F,{2,3,4},FALSE)</f>
        <v>46387</v>
      </c>
      <c r="R864" t="str">
        <v>C15</v>
      </c>
      <c r="S864" t="str">
        <v>1000010190 ANDREANI LOGISTICA SA</v>
      </c>
    </row>
    <row r="865" spans="1:19" x14ac:dyDescent="0.3">
      <c r="A865" s="2" t="s">
        <v>14</v>
      </c>
      <c r="B865" s="3" t="s">
        <v>14</v>
      </c>
      <c r="C865" s="3" t="s">
        <v>1017</v>
      </c>
      <c r="D865" s="3" t="s">
        <v>14</v>
      </c>
      <c r="E865" s="3" t="s">
        <v>107</v>
      </c>
      <c r="F865" s="4">
        <v>46297</v>
      </c>
      <c r="G865" s="3" t="s">
        <v>44</v>
      </c>
      <c r="H865" s="6">
        <v>-511024</v>
      </c>
      <c r="I865" s="3" t="s">
        <v>17</v>
      </c>
      <c r="J865" s="3" t="s">
        <v>14</v>
      </c>
      <c r="K865" s="3" t="s">
        <v>14</v>
      </c>
      <c r="L865" s="3" t="s">
        <v>163</v>
      </c>
      <c r="M865" s="4">
        <v>46297</v>
      </c>
      <c r="N865" s="3" t="s">
        <v>1018</v>
      </c>
      <c r="O865" s="3" t="s">
        <v>34</v>
      </c>
      <c r="P865" t="str">
        <f t="shared" si="13"/>
        <v>450013993610</v>
      </c>
      <c r="Q865" s="9" cm="1">
        <f t="array" ref="Q865:S865">VLOOKUP(P865,Hoja1!C:F,{2,3,4},FALSE)</f>
        <v>46305</v>
      </c>
      <c r="R865" t="str">
        <v>C03</v>
      </c>
      <c r="S865" t="str">
        <v>1000000062 FINNING ARGENTINA S.A.</v>
      </c>
    </row>
    <row r="866" spans="1:19" x14ac:dyDescent="0.3">
      <c r="A866" s="2" t="s">
        <v>14</v>
      </c>
      <c r="B866" s="3" t="s">
        <v>14</v>
      </c>
      <c r="C866" s="3" t="s">
        <v>1017</v>
      </c>
      <c r="D866" s="3" t="s">
        <v>14</v>
      </c>
      <c r="E866" s="3" t="s">
        <v>107</v>
      </c>
      <c r="F866" s="4">
        <v>46297</v>
      </c>
      <c r="G866" s="3" t="s">
        <v>44</v>
      </c>
      <c r="H866" s="6">
        <v>-322893.59999999998</v>
      </c>
      <c r="I866" s="3" t="s">
        <v>17</v>
      </c>
      <c r="J866" s="3" t="s">
        <v>14</v>
      </c>
      <c r="K866" s="3" t="s">
        <v>14</v>
      </c>
      <c r="L866" s="3" t="s">
        <v>163</v>
      </c>
      <c r="M866" s="4">
        <v>46297</v>
      </c>
      <c r="N866" s="3" t="s">
        <v>1018</v>
      </c>
      <c r="O866" s="3" t="s">
        <v>21</v>
      </c>
      <c r="P866" t="str">
        <f t="shared" si="13"/>
        <v>450013993620</v>
      </c>
      <c r="Q866" s="9" cm="1">
        <f t="array" ref="Q866:S866">VLOOKUP(P866,Hoja1!C:F,{2,3,4},FALSE)</f>
        <v>46305</v>
      </c>
      <c r="R866" t="str">
        <v>C03</v>
      </c>
      <c r="S866" t="str">
        <v>1000000062 FINNING ARGENTINA S.A.</v>
      </c>
    </row>
    <row r="867" spans="1:19" x14ac:dyDescent="0.3">
      <c r="A867" s="2" t="s">
        <v>14</v>
      </c>
      <c r="B867" s="3" t="s">
        <v>14</v>
      </c>
      <c r="C867" s="3" t="s">
        <v>1019</v>
      </c>
      <c r="D867" s="3" t="s">
        <v>36</v>
      </c>
      <c r="E867" s="3" t="s">
        <v>107</v>
      </c>
      <c r="F867" s="4">
        <v>46297</v>
      </c>
      <c r="G867" s="3" t="s">
        <v>44</v>
      </c>
      <c r="H867" s="6">
        <v>-2249600</v>
      </c>
      <c r="I867" s="3" t="s">
        <v>17</v>
      </c>
      <c r="J867" s="3" t="s">
        <v>14</v>
      </c>
      <c r="K867" s="3" t="s">
        <v>14</v>
      </c>
      <c r="L867" s="3" t="s">
        <v>139</v>
      </c>
      <c r="M867" s="4">
        <v>46297</v>
      </c>
      <c r="N867" s="3" t="s">
        <v>1020</v>
      </c>
      <c r="O867" s="3" t="s">
        <v>34</v>
      </c>
      <c r="P867" t="str">
        <f t="shared" si="13"/>
        <v>450013442310</v>
      </c>
      <c r="Q867" s="9" cm="1">
        <f t="array" ref="Q867:S867">VLOOKUP(P867,Hoja1!C:F,{2,3,4},FALSE)</f>
        <v>46522</v>
      </c>
      <c r="R867" t="str">
        <v>C04</v>
      </c>
      <c r="S867" t="str">
        <v>1000003490 M D AUTOELEVADORES Y EQUIPOS S</v>
      </c>
    </row>
    <row r="868" spans="1:19" x14ac:dyDescent="0.3">
      <c r="A868" s="2" t="s">
        <v>14</v>
      </c>
      <c r="B868" s="3" t="s">
        <v>14</v>
      </c>
      <c r="C868" s="3" t="s">
        <v>1021</v>
      </c>
      <c r="D868" s="3" t="s">
        <v>14</v>
      </c>
      <c r="E868" s="3" t="s">
        <v>107</v>
      </c>
      <c r="F868" s="4">
        <v>46297</v>
      </c>
      <c r="G868" s="3" t="s">
        <v>44</v>
      </c>
      <c r="H868" s="6">
        <v>-273.60000000000002</v>
      </c>
      <c r="I868" s="3" t="s">
        <v>17</v>
      </c>
      <c r="J868" s="3" t="s">
        <v>14</v>
      </c>
      <c r="K868" s="3" t="s">
        <v>14</v>
      </c>
      <c r="L868" s="3" t="s">
        <v>163</v>
      </c>
      <c r="M868" s="4">
        <v>46297</v>
      </c>
      <c r="N868" s="3" t="s">
        <v>1022</v>
      </c>
      <c r="O868" s="3" t="s">
        <v>344</v>
      </c>
      <c r="P868" t="str">
        <f t="shared" si="13"/>
        <v>450013820690</v>
      </c>
      <c r="Q868" s="9" cm="1">
        <f t="array" ref="Q868:S868">VLOOKUP(P868,Hoja1!C:F,{2,3,4},FALSE)</f>
        <v>46297</v>
      </c>
      <c r="R868" t="str">
        <v>C03</v>
      </c>
      <c r="S868" t="str">
        <v>1000000062 FINNING ARGENTINA S.A.</v>
      </c>
    </row>
    <row r="869" spans="1:19" x14ac:dyDescent="0.3">
      <c r="A869" s="2" t="s">
        <v>14</v>
      </c>
      <c r="B869" s="3" t="s">
        <v>14</v>
      </c>
      <c r="C869" s="3" t="s">
        <v>1023</v>
      </c>
      <c r="D869" s="3" t="s">
        <v>14</v>
      </c>
      <c r="E869" s="3" t="s">
        <v>107</v>
      </c>
      <c r="F869" s="4">
        <v>46297</v>
      </c>
      <c r="G869" s="3" t="s">
        <v>44</v>
      </c>
      <c r="H869" s="6">
        <v>-269328.8</v>
      </c>
      <c r="I869" s="3" t="s">
        <v>17</v>
      </c>
      <c r="J869" s="3" t="s">
        <v>14</v>
      </c>
      <c r="K869" s="3" t="s">
        <v>14</v>
      </c>
      <c r="L869" s="3" t="s">
        <v>163</v>
      </c>
      <c r="M869" s="4">
        <v>46297</v>
      </c>
      <c r="N869" s="3" t="s">
        <v>1022</v>
      </c>
      <c r="O869" s="3" t="s">
        <v>400</v>
      </c>
      <c r="P869" t="str">
        <f t="shared" si="13"/>
        <v>4500138206120</v>
      </c>
      <c r="Q869" s="9" cm="1">
        <f t="array" ref="Q869:S869">VLOOKUP(P869,Hoja1!C:F,{2,3,4},FALSE)</f>
        <v>46304</v>
      </c>
      <c r="R869" t="str">
        <v>C03</v>
      </c>
      <c r="S869" t="str">
        <v>1000000062 FINNING ARGENTINA S.A.</v>
      </c>
    </row>
    <row r="870" spans="1:19" x14ac:dyDescent="0.3">
      <c r="A870" s="2" t="s">
        <v>14</v>
      </c>
      <c r="B870" s="3" t="s">
        <v>14</v>
      </c>
      <c r="C870" s="3" t="s">
        <v>1024</v>
      </c>
      <c r="D870" s="3" t="s">
        <v>14</v>
      </c>
      <c r="E870" s="3" t="s">
        <v>107</v>
      </c>
      <c r="F870" s="4">
        <v>46297</v>
      </c>
      <c r="G870" s="3" t="s">
        <v>16</v>
      </c>
      <c r="H870" s="5">
        <v>273.60000000000002</v>
      </c>
      <c r="I870" s="3" t="s">
        <v>17</v>
      </c>
      <c r="J870" s="3" t="s">
        <v>14</v>
      </c>
      <c r="K870" s="3" t="s">
        <v>14</v>
      </c>
      <c r="L870" s="3" t="s">
        <v>163</v>
      </c>
      <c r="M870" s="4">
        <v>46297</v>
      </c>
      <c r="N870" s="3" t="s">
        <v>1022</v>
      </c>
      <c r="O870" s="3" t="s">
        <v>344</v>
      </c>
      <c r="P870" t="str">
        <f t="shared" si="13"/>
        <v>450013820690</v>
      </c>
      <c r="Q870" s="9" cm="1">
        <f t="array" ref="Q870:S870">VLOOKUP(P870,Hoja1!C:F,{2,3,4},FALSE)</f>
        <v>46297</v>
      </c>
      <c r="R870" t="str">
        <v>C03</v>
      </c>
      <c r="S870" t="str">
        <v>1000000062 FINNING ARGENTINA S.A.</v>
      </c>
    </row>
    <row r="871" spans="1:19" x14ac:dyDescent="0.3">
      <c r="A871" s="2" t="s">
        <v>14</v>
      </c>
      <c r="B871" s="3" t="s">
        <v>14</v>
      </c>
      <c r="C871" s="3" t="s">
        <v>1025</v>
      </c>
      <c r="D871" s="3" t="s">
        <v>14</v>
      </c>
      <c r="E871" s="3" t="s">
        <v>107</v>
      </c>
      <c r="F871" s="4">
        <v>46297</v>
      </c>
      <c r="G871" s="3" t="s">
        <v>44</v>
      </c>
      <c r="H871" s="6">
        <v>-1985895.2</v>
      </c>
      <c r="I871" s="3" t="s">
        <v>17</v>
      </c>
      <c r="J871" s="3" t="s">
        <v>14</v>
      </c>
      <c r="K871" s="3" t="s">
        <v>14</v>
      </c>
      <c r="L871" s="3" t="s">
        <v>163</v>
      </c>
      <c r="M871" s="4">
        <v>46297</v>
      </c>
      <c r="N871" s="3" t="s">
        <v>1026</v>
      </c>
      <c r="O871" s="3" t="s">
        <v>21</v>
      </c>
      <c r="P871" t="str">
        <f t="shared" si="13"/>
        <v>450013832420</v>
      </c>
      <c r="Q871" s="9" cm="1">
        <f t="array" ref="Q871:S871">VLOOKUP(P871,Hoja1!C:F,{2,3,4},FALSE)</f>
        <v>46297</v>
      </c>
      <c r="R871" t="str">
        <v>C03</v>
      </c>
      <c r="S871" t="str">
        <v>1000000062 FINNING ARGENTINA S.A.</v>
      </c>
    </row>
    <row r="872" spans="1:19" x14ac:dyDescent="0.3">
      <c r="A872" s="2" t="s">
        <v>14</v>
      </c>
      <c r="B872" s="3" t="s">
        <v>14</v>
      </c>
      <c r="C872" s="3" t="s">
        <v>1027</v>
      </c>
      <c r="D872" s="3" t="s">
        <v>14</v>
      </c>
      <c r="E872" s="3" t="s">
        <v>107</v>
      </c>
      <c r="F872" s="4">
        <v>46297</v>
      </c>
      <c r="G872" s="3" t="s">
        <v>44</v>
      </c>
      <c r="H872" s="6">
        <v>-370697.6</v>
      </c>
      <c r="I872" s="3" t="s">
        <v>17</v>
      </c>
      <c r="J872" s="3" t="s">
        <v>14</v>
      </c>
      <c r="K872" s="3" t="s">
        <v>14</v>
      </c>
      <c r="L872" s="3" t="s">
        <v>82</v>
      </c>
      <c r="M872" s="4">
        <v>46297</v>
      </c>
      <c r="N872" s="3" t="s">
        <v>1028</v>
      </c>
      <c r="O872" s="3" t="s">
        <v>34</v>
      </c>
      <c r="P872" t="str">
        <f t="shared" si="13"/>
        <v>450013965010</v>
      </c>
      <c r="Q872" s="9" cm="1">
        <f t="array" ref="Q872:S872">VLOOKUP(P872,Hoja1!C:F,{2,3,4},FALSE)</f>
        <v>46297</v>
      </c>
      <c r="R872" t="str">
        <v>F06</v>
      </c>
      <c r="S872" t="str">
        <v>1000000012 IGARRETA MAQUINAS S.A.</v>
      </c>
    </row>
    <row r="873" spans="1:19" x14ac:dyDescent="0.3">
      <c r="A873" s="2" t="s">
        <v>14</v>
      </c>
      <c r="B873" s="3" t="s">
        <v>14</v>
      </c>
      <c r="C873" s="3" t="s">
        <v>1027</v>
      </c>
      <c r="D873" s="3" t="s">
        <v>14</v>
      </c>
      <c r="E873" s="3" t="s">
        <v>107</v>
      </c>
      <c r="F873" s="4">
        <v>46297</v>
      </c>
      <c r="G873" s="3" t="s">
        <v>44</v>
      </c>
      <c r="H873" s="6">
        <v>-330584.8</v>
      </c>
      <c r="I873" s="3" t="s">
        <v>17</v>
      </c>
      <c r="J873" s="3" t="s">
        <v>14</v>
      </c>
      <c r="K873" s="3" t="s">
        <v>14</v>
      </c>
      <c r="L873" s="3" t="s">
        <v>82</v>
      </c>
      <c r="M873" s="4">
        <v>46297</v>
      </c>
      <c r="N873" s="3" t="s">
        <v>1028</v>
      </c>
      <c r="O873" s="3" t="s">
        <v>21</v>
      </c>
      <c r="P873" t="str">
        <f t="shared" si="13"/>
        <v>450013965020</v>
      </c>
      <c r="Q873" s="9" cm="1">
        <f t="array" ref="Q873:S873">VLOOKUP(P873,Hoja1!C:F,{2,3,4},FALSE)</f>
        <v>46297</v>
      </c>
      <c r="R873" t="str">
        <v>F06</v>
      </c>
      <c r="S873" t="str">
        <v>1000000012 IGARRETA MAQUINAS S.A.</v>
      </c>
    </row>
    <row r="874" spans="1:19" x14ac:dyDescent="0.3">
      <c r="A874" s="2" t="s">
        <v>14</v>
      </c>
      <c r="B874" s="3" t="s">
        <v>14</v>
      </c>
      <c r="C874" s="3" t="s">
        <v>1029</v>
      </c>
      <c r="D874" s="3" t="s">
        <v>14</v>
      </c>
      <c r="E874" s="3" t="s">
        <v>107</v>
      </c>
      <c r="F874" s="4">
        <v>46298</v>
      </c>
      <c r="G874" s="3" t="s">
        <v>44</v>
      </c>
      <c r="H874" s="6">
        <v>-24710.11</v>
      </c>
      <c r="I874" s="3" t="s">
        <v>17</v>
      </c>
      <c r="J874" s="3" t="s">
        <v>14</v>
      </c>
      <c r="K874" s="3" t="s">
        <v>14</v>
      </c>
      <c r="L874" s="3" t="s">
        <v>1030</v>
      </c>
      <c r="M874" s="4">
        <v>46298</v>
      </c>
      <c r="N874" s="3" t="s">
        <v>1031</v>
      </c>
      <c r="O874" s="3" t="s">
        <v>34</v>
      </c>
      <c r="P874" t="str">
        <f t="shared" si="13"/>
        <v>450013954110</v>
      </c>
      <c r="Q874" s="9" cm="1">
        <f t="array" ref="Q874:S874">VLOOKUP(P874,Hoja1!C:F,{2,3,4},FALSE)</f>
        <v>46304</v>
      </c>
      <c r="R874" t="str">
        <v>C05</v>
      </c>
      <c r="S874" t="str">
        <v>1000001306 JAR COMPUTACION SRL</v>
      </c>
    </row>
    <row r="875" spans="1:19" x14ac:dyDescent="0.3">
      <c r="A875" s="2" t="s">
        <v>14</v>
      </c>
      <c r="B875" s="3" t="s">
        <v>14</v>
      </c>
      <c r="C875" s="3" t="s">
        <v>1032</v>
      </c>
      <c r="D875" s="3" t="s">
        <v>14</v>
      </c>
      <c r="E875" s="3" t="s">
        <v>107</v>
      </c>
      <c r="F875" s="4">
        <v>46297</v>
      </c>
      <c r="G875" s="3" t="s">
        <v>44</v>
      </c>
      <c r="H875" s="6">
        <v>-965434.12</v>
      </c>
      <c r="I875" s="3" t="s">
        <v>17</v>
      </c>
      <c r="J875" s="3" t="s">
        <v>14</v>
      </c>
      <c r="K875" s="3" t="s">
        <v>14</v>
      </c>
      <c r="L875" s="3" t="s">
        <v>19</v>
      </c>
      <c r="M875" s="4">
        <v>46298</v>
      </c>
      <c r="N875" s="3" t="s">
        <v>1033</v>
      </c>
      <c r="O875" s="3" t="s">
        <v>34</v>
      </c>
      <c r="P875" t="str">
        <f t="shared" si="13"/>
        <v>450013974610</v>
      </c>
      <c r="Q875" s="9" cm="1">
        <f t="array" ref="Q875:S875">VLOOKUP(P875,Hoja1!C:F,{2,3,4},FALSE)</f>
        <v>46303</v>
      </c>
      <c r="R875" t="str">
        <v>C03</v>
      </c>
      <c r="S875" t="str">
        <v>1000001470 SUDAMERICANA CAMIONES SA</v>
      </c>
    </row>
    <row r="876" spans="1:19" x14ac:dyDescent="0.3">
      <c r="A876" s="2" t="s">
        <v>14</v>
      </c>
      <c r="B876" s="3" t="s">
        <v>14</v>
      </c>
      <c r="C876" s="3" t="s">
        <v>1034</v>
      </c>
      <c r="D876" s="3" t="s">
        <v>14</v>
      </c>
      <c r="E876" s="3" t="s">
        <v>107</v>
      </c>
      <c r="F876" s="4">
        <v>46297</v>
      </c>
      <c r="G876" s="3" t="s">
        <v>44</v>
      </c>
      <c r="H876" s="6">
        <v>-3819325</v>
      </c>
      <c r="I876" s="3" t="s">
        <v>17</v>
      </c>
      <c r="J876" s="3" t="s">
        <v>14</v>
      </c>
      <c r="K876" s="3" t="s">
        <v>14</v>
      </c>
      <c r="L876" s="3" t="s">
        <v>552</v>
      </c>
      <c r="M876" s="4">
        <v>46298</v>
      </c>
      <c r="N876" s="3" t="s">
        <v>553</v>
      </c>
      <c r="O876" s="3" t="s">
        <v>34</v>
      </c>
      <c r="P876" t="str">
        <f t="shared" si="13"/>
        <v>450013831810</v>
      </c>
      <c r="Q876" s="9" cm="1">
        <f t="array" ref="Q876:S876">VLOOKUP(P876,Hoja1!C:F,{2,3,4},FALSE)</f>
        <v>46357</v>
      </c>
      <c r="R876" t="str">
        <v>C21</v>
      </c>
      <c r="S876" t="str">
        <v>1000013572 MAXFA SA</v>
      </c>
    </row>
    <row r="877" spans="1:19" x14ac:dyDescent="0.3">
      <c r="A877" s="2" t="s">
        <v>14</v>
      </c>
      <c r="B877" s="3" t="s">
        <v>14</v>
      </c>
      <c r="C877" s="3" t="s">
        <v>1034</v>
      </c>
      <c r="D877" s="3" t="s">
        <v>14</v>
      </c>
      <c r="E877" s="3" t="s">
        <v>107</v>
      </c>
      <c r="F877" s="4">
        <v>46297</v>
      </c>
      <c r="G877" s="3" t="s">
        <v>44</v>
      </c>
      <c r="H877" s="6">
        <v>-676500</v>
      </c>
      <c r="I877" s="3" t="s">
        <v>17</v>
      </c>
      <c r="J877" s="3" t="s">
        <v>14</v>
      </c>
      <c r="K877" s="3" t="s">
        <v>14</v>
      </c>
      <c r="L877" s="3" t="s">
        <v>552</v>
      </c>
      <c r="M877" s="4">
        <v>46298</v>
      </c>
      <c r="N877" s="3" t="s">
        <v>553</v>
      </c>
      <c r="O877" s="3" t="s">
        <v>34</v>
      </c>
      <c r="P877" t="str">
        <f t="shared" si="13"/>
        <v>450013831810</v>
      </c>
      <c r="Q877" s="9" cm="1">
        <f t="array" ref="Q877:S877">VLOOKUP(P877,Hoja1!C:F,{2,3,4},FALSE)</f>
        <v>46357</v>
      </c>
      <c r="R877" t="str">
        <v>C21</v>
      </c>
      <c r="S877" t="str">
        <v>1000013572 MAXFA SA</v>
      </c>
    </row>
    <row r="878" spans="1:19" x14ac:dyDescent="0.3">
      <c r="A878" s="2" t="s">
        <v>14</v>
      </c>
      <c r="B878" s="3" t="s">
        <v>14</v>
      </c>
      <c r="C878" s="3" t="s">
        <v>1034</v>
      </c>
      <c r="D878" s="3" t="s">
        <v>14</v>
      </c>
      <c r="E878" s="3" t="s">
        <v>107</v>
      </c>
      <c r="F878" s="4">
        <v>46297</v>
      </c>
      <c r="G878" s="3" t="s">
        <v>44</v>
      </c>
      <c r="H878" s="6">
        <v>-77100</v>
      </c>
      <c r="I878" s="3" t="s">
        <v>17</v>
      </c>
      <c r="J878" s="3" t="s">
        <v>14</v>
      </c>
      <c r="K878" s="3" t="s">
        <v>14</v>
      </c>
      <c r="L878" s="3" t="s">
        <v>552</v>
      </c>
      <c r="M878" s="4">
        <v>46298</v>
      </c>
      <c r="N878" s="3" t="s">
        <v>553</v>
      </c>
      <c r="O878" s="3" t="s">
        <v>34</v>
      </c>
      <c r="P878" t="str">
        <f t="shared" si="13"/>
        <v>450013831810</v>
      </c>
      <c r="Q878" s="9" cm="1">
        <f t="array" ref="Q878:S878">VLOOKUP(P878,Hoja1!C:F,{2,3,4},FALSE)</f>
        <v>46357</v>
      </c>
      <c r="R878" t="str">
        <v>C21</v>
      </c>
      <c r="S878" t="str">
        <v>1000013572 MAXFA SA</v>
      </c>
    </row>
    <row r="879" spans="1:19" x14ac:dyDescent="0.3">
      <c r="A879" s="2" t="s">
        <v>14</v>
      </c>
      <c r="B879" s="3" t="s">
        <v>14</v>
      </c>
      <c r="C879" s="3" t="s">
        <v>1035</v>
      </c>
      <c r="D879" s="3" t="s">
        <v>14</v>
      </c>
      <c r="E879" s="3" t="s">
        <v>107</v>
      </c>
      <c r="F879" s="4">
        <v>46300</v>
      </c>
      <c r="G879" s="3" t="s">
        <v>44</v>
      </c>
      <c r="H879" s="6">
        <v>-65547910</v>
      </c>
      <c r="I879" s="3" t="s">
        <v>17</v>
      </c>
      <c r="J879" s="3" t="s">
        <v>14</v>
      </c>
      <c r="K879" s="3" t="s">
        <v>14</v>
      </c>
      <c r="L879" s="3" t="s">
        <v>121</v>
      </c>
      <c r="M879" s="4">
        <v>46300</v>
      </c>
      <c r="N879" s="3" t="s">
        <v>312</v>
      </c>
      <c r="O879" s="3" t="s">
        <v>34</v>
      </c>
      <c r="P879" t="str">
        <f t="shared" si="13"/>
        <v>450012941210</v>
      </c>
      <c r="Q879" s="9" cm="1">
        <f t="array" ref="Q879:S879">VLOOKUP(P879,Hoja1!C:F,{2,3,4},FALSE)</f>
        <v>46325</v>
      </c>
      <c r="R879" t="str">
        <v>C21</v>
      </c>
      <c r="S879" t="str">
        <v>1000000634 RAIZEN ARGENTINA S.A.U.</v>
      </c>
    </row>
    <row r="880" spans="1:19" x14ac:dyDescent="0.3">
      <c r="A880" s="2" t="s">
        <v>14</v>
      </c>
      <c r="B880" s="3" t="s">
        <v>14</v>
      </c>
      <c r="C880" s="3" t="s">
        <v>1035</v>
      </c>
      <c r="D880" s="3" t="s">
        <v>14</v>
      </c>
      <c r="E880" s="3" t="s">
        <v>107</v>
      </c>
      <c r="F880" s="4">
        <v>46300</v>
      </c>
      <c r="G880" s="3" t="s">
        <v>44</v>
      </c>
      <c r="H880" s="6">
        <v>-10281300</v>
      </c>
      <c r="I880" s="3" t="s">
        <v>17</v>
      </c>
      <c r="J880" s="3" t="s">
        <v>14</v>
      </c>
      <c r="K880" s="3" t="s">
        <v>14</v>
      </c>
      <c r="L880" s="3" t="s">
        <v>121</v>
      </c>
      <c r="M880" s="4">
        <v>46300</v>
      </c>
      <c r="N880" s="3" t="s">
        <v>312</v>
      </c>
      <c r="O880" s="3" t="s">
        <v>34</v>
      </c>
      <c r="P880" t="str">
        <f t="shared" si="13"/>
        <v>450012941210</v>
      </c>
      <c r="Q880" s="9" cm="1">
        <f t="array" ref="Q880:S880">VLOOKUP(P880,Hoja1!C:F,{2,3,4},FALSE)</f>
        <v>46325</v>
      </c>
      <c r="R880" t="str">
        <v>C21</v>
      </c>
      <c r="S880" t="str">
        <v>1000000634 RAIZEN ARGENTINA S.A.U.</v>
      </c>
    </row>
    <row r="881" spans="1:19" x14ac:dyDescent="0.3">
      <c r="A881" s="2" t="s">
        <v>14</v>
      </c>
      <c r="B881" s="3" t="s">
        <v>14</v>
      </c>
      <c r="C881" s="3" t="s">
        <v>1035</v>
      </c>
      <c r="D881" s="3" t="s">
        <v>14</v>
      </c>
      <c r="E881" s="3" t="s">
        <v>107</v>
      </c>
      <c r="F881" s="4">
        <v>46300</v>
      </c>
      <c r="G881" s="3" t="s">
        <v>44</v>
      </c>
      <c r="H881" s="6">
        <v>-1171750</v>
      </c>
      <c r="I881" s="3" t="s">
        <v>17</v>
      </c>
      <c r="J881" s="3" t="s">
        <v>14</v>
      </c>
      <c r="K881" s="3" t="s">
        <v>14</v>
      </c>
      <c r="L881" s="3" t="s">
        <v>121</v>
      </c>
      <c r="M881" s="4">
        <v>46300</v>
      </c>
      <c r="N881" s="3" t="s">
        <v>312</v>
      </c>
      <c r="O881" s="3" t="s">
        <v>34</v>
      </c>
      <c r="P881" t="str">
        <f t="shared" si="13"/>
        <v>450012941210</v>
      </c>
      <c r="Q881" s="9" cm="1">
        <f t="array" ref="Q881:S881">VLOOKUP(P881,Hoja1!C:F,{2,3,4},FALSE)</f>
        <v>46325</v>
      </c>
      <c r="R881" t="str">
        <v>C21</v>
      </c>
      <c r="S881" t="str">
        <v>1000000634 RAIZEN ARGENTINA S.A.U.</v>
      </c>
    </row>
    <row r="882" spans="1:19" x14ac:dyDescent="0.3">
      <c r="A882" s="2" t="s">
        <v>14</v>
      </c>
      <c r="B882" s="3" t="s">
        <v>14</v>
      </c>
      <c r="C882" s="3" t="s">
        <v>1036</v>
      </c>
      <c r="D882" s="3" t="s">
        <v>14</v>
      </c>
      <c r="E882" s="3" t="s">
        <v>107</v>
      </c>
      <c r="F882" s="4">
        <v>46300</v>
      </c>
      <c r="G882" s="3" t="s">
        <v>44</v>
      </c>
      <c r="H882" s="6">
        <v>-10901692.800000001</v>
      </c>
      <c r="I882" s="3" t="s">
        <v>17</v>
      </c>
      <c r="J882" s="3" t="s">
        <v>14</v>
      </c>
      <c r="K882" s="3" t="s">
        <v>14</v>
      </c>
      <c r="L882" s="3" t="s">
        <v>1037</v>
      </c>
      <c r="M882" s="4">
        <v>46300</v>
      </c>
      <c r="N882" s="3" t="s">
        <v>1038</v>
      </c>
      <c r="O882" s="3" t="s">
        <v>34</v>
      </c>
      <c r="P882" t="str">
        <f t="shared" si="13"/>
        <v>450011982210</v>
      </c>
      <c r="Q882" s="9" cm="1">
        <f t="array" ref="Q882:S882">VLOOKUP(P882,Hoja1!C:F,{2,3,4},FALSE)</f>
        <v>46783</v>
      </c>
      <c r="R882" t="str">
        <v>C25</v>
      </c>
      <c r="S882" t="str">
        <v>1000003582 EL GUARDIAN SRL</v>
      </c>
    </row>
    <row r="883" spans="1:19" x14ac:dyDescent="0.3">
      <c r="A883" s="2" t="s">
        <v>14</v>
      </c>
      <c r="B883" s="3" t="s">
        <v>14</v>
      </c>
      <c r="C883" s="3" t="s">
        <v>1039</v>
      </c>
      <c r="D883" s="3" t="s">
        <v>14</v>
      </c>
      <c r="E883" s="3" t="s">
        <v>107</v>
      </c>
      <c r="F883" s="4">
        <v>46300</v>
      </c>
      <c r="G883" s="3" t="s">
        <v>44</v>
      </c>
      <c r="H883" s="6">
        <v>-2281888.35</v>
      </c>
      <c r="I883" s="3" t="s">
        <v>17</v>
      </c>
      <c r="J883" s="3" t="s">
        <v>14</v>
      </c>
      <c r="K883" s="3" t="s">
        <v>14</v>
      </c>
      <c r="L883" s="3" t="s">
        <v>82</v>
      </c>
      <c r="M883" s="4">
        <v>46300</v>
      </c>
      <c r="N883" s="3" t="s">
        <v>1040</v>
      </c>
      <c r="O883" s="3" t="s">
        <v>34</v>
      </c>
      <c r="P883" t="str">
        <f t="shared" si="13"/>
        <v>450013687210</v>
      </c>
      <c r="Q883" s="9" cm="1">
        <f t="array" ref="Q883:S883">VLOOKUP(P883,Hoja1!C:F,{2,3,4},FALSE)</f>
        <v>46295</v>
      </c>
      <c r="R883" t="str">
        <v>F04</v>
      </c>
      <c r="S883" t="str">
        <v>1000000012 IGARRETA MAQUINAS S.A.</v>
      </c>
    </row>
    <row r="884" spans="1:19" x14ac:dyDescent="0.3">
      <c r="A884" s="2" t="s">
        <v>14</v>
      </c>
      <c r="B884" s="3" t="s">
        <v>14</v>
      </c>
      <c r="C884" s="3" t="s">
        <v>1041</v>
      </c>
      <c r="D884" s="3" t="s">
        <v>14</v>
      </c>
      <c r="E884" s="3" t="s">
        <v>107</v>
      </c>
      <c r="F884" s="4">
        <v>46300</v>
      </c>
      <c r="G884" s="3" t="s">
        <v>44</v>
      </c>
      <c r="H884" s="6">
        <v>-10901692.800000001</v>
      </c>
      <c r="I884" s="3" t="s">
        <v>17</v>
      </c>
      <c r="J884" s="3" t="s">
        <v>14</v>
      </c>
      <c r="K884" s="3" t="s">
        <v>14</v>
      </c>
      <c r="L884" s="3" t="s">
        <v>1037</v>
      </c>
      <c r="M884" s="4">
        <v>46300</v>
      </c>
      <c r="N884" s="3" t="s">
        <v>1038</v>
      </c>
      <c r="O884" s="3" t="s">
        <v>21</v>
      </c>
      <c r="P884" t="str">
        <f t="shared" si="13"/>
        <v>450011982220</v>
      </c>
      <c r="Q884" s="9" cm="1">
        <f t="array" ref="Q884:S884">VLOOKUP(P884,Hoja1!C:F,{2,3,4},FALSE)</f>
        <v>46783</v>
      </c>
      <c r="R884" t="str">
        <v>C25</v>
      </c>
      <c r="S884" t="str">
        <v>1000003582 EL GUARDIAN SRL</v>
      </c>
    </row>
    <row r="885" spans="1:19" x14ac:dyDescent="0.3">
      <c r="A885" s="2" t="s">
        <v>14</v>
      </c>
      <c r="B885" s="3" t="s">
        <v>14</v>
      </c>
      <c r="C885" s="3" t="s">
        <v>1042</v>
      </c>
      <c r="D885" s="3" t="s">
        <v>14</v>
      </c>
      <c r="E885" s="3" t="s">
        <v>107</v>
      </c>
      <c r="F885" s="4">
        <v>46296</v>
      </c>
      <c r="G885" s="3" t="s">
        <v>44</v>
      </c>
      <c r="H885" s="6">
        <v>-166038.18</v>
      </c>
      <c r="I885" s="3" t="s">
        <v>17</v>
      </c>
      <c r="J885" s="3" t="s">
        <v>14</v>
      </c>
      <c r="K885" s="3" t="s">
        <v>14</v>
      </c>
      <c r="L885" s="3" t="s">
        <v>169</v>
      </c>
      <c r="M885" s="4">
        <v>46300</v>
      </c>
      <c r="N885" s="3" t="s">
        <v>1043</v>
      </c>
      <c r="O885" s="3" t="s">
        <v>34</v>
      </c>
      <c r="P885" t="str">
        <f t="shared" si="13"/>
        <v>450013992510</v>
      </c>
      <c r="Q885" s="9" cm="1">
        <f t="array" ref="Q885:S885">VLOOKUP(P885,Hoja1!C:F,{2,3,4},FALSE)</f>
        <v>46297</v>
      </c>
      <c r="R885" t="str">
        <v>C43</v>
      </c>
      <c r="S885" t="str">
        <v>1000002607 DIESEL LANGE S.R.L</v>
      </c>
    </row>
    <row r="886" spans="1:19" x14ac:dyDescent="0.3">
      <c r="A886" s="2" t="s">
        <v>14</v>
      </c>
      <c r="B886" s="3" t="s">
        <v>14</v>
      </c>
      <c r="C886" s="3" t="s">
        <v>1044</v>
      </c>
      <c r="D886" s="3" t="s">
        <v>14</v>
      </c>
      <c r="E886" s="3" t="s">
        <v>107</v>
      </c>
      <c r="F886" s="4">
        <v>46296</v>
      </c>
      <c r="G886" s="3" t="s">
        <v>44</v>
      </c>
      <c r="H886" s="6">
        <v>-166038.18</v>
      </c>
      <c r="I886" s="3" t="s">
        <v>17</v>
      </c>
      <c r="J886" s="3" t="s">
        <v>14</v>
      </c>
      <c r="K886" s="3" t="s">
        <v>14</v>
      </c>
      <c r="L886" s="3" t="s">
        <v>169</v>
      </c>
      <c r="M886" s="4">
        <v>46300</v>
      </c>
      <c r="N886" s="3" t="s">
        <v>1043</v>
      </c>
      <c r="O886" s="3" t="s">
        <v>21</v>
      </c>
      <c r="P886" t="str">
        <f t="shared" si="13"/>
        <v>450013992520</v>
      </c>
      <c r="Q886" s="9" cm="1">
        <f t="array" ref="Q886:S886">VLOOKUP(P886,Hoja1!C:F,{2,3,4},FALSE)</f>
        <v>46315</v>
      </c>
      <c r="R886" t="str">
        <v>C43</v>
      </c>
      <c r="S886" t="str">
        <v>1000002607 DIESEL LANGE S.R.L</v>
      </c>
    </row>
    <row r="887" spans="1:19" x14ac:dyDescent="0.3">
      <c r="A887" s="2" t="s">
        <v>14</v>
      </c>
      <c r="B887" s="3" t="s">
        <v>14</v>
      </c>
      <c r="C887" s="3" t="s">
        <v>1045</v>
      </c>
      <c r="D887" s="3" t="s">
        <v>14</v>
      </c>
      <c r="E887" s="3" t="s">
        <v>107</v>
      </c>
      <c r="F887" s="4">
        <v>46300</v>
      </c>
      <c r="G887" s="3" t="s">
        <v>44</v>
      </c>
      <c r="H887" s="6">
        <v>-6344000</v>
      </c>
      <c r="I887" s="3" t="s">
        <v>17</v>
      </c>
      <c r="J887" s="3" t="s">
        <v>14</v>
      </c>
      <c r="K887" s="3" t="s">
        <v>14</v>
      </c>
      <c r="L887" s="3" t="s">
        <v>1046</v>
      </c>
      <c r="M887" s="4">
        <v>46300</v>
      </c>
      <c r="N887" s="3" t="s">
        <v>1047</v>
      </c>
      <c r="O887" s="3" t="s">
        <v>34</v>
      </c>
      <c r="P887" t="str">
        <f t="shared" si="13"/>
        <v>450013660210</v>
      </c>
      <c r="Q887" s="9" cm="1">
        <f t="array" ref="Q887:S887">VLOOKUP(P887,Hoja1!C:F,{2,3,4},FALSE)</f>
        <v>46325</v>
      </c>
      <c r="R887" t="str">
        <v>C13</v>
      </c>
      <c r="S887" t="str">
        <v>1000000577 IMPERIAL MOTOR S.A.</v>
      </c>
    </row>
    <row r="888" spans="1:19" x14ac:dyDescent="0.3">
      <c r="A888" s="2" t="s">
        <v>14</v>
      </c>
      <c r="B888" s="3" t="s">
        <v>14</v>
      </c>
      <c r="C888" s="3" t="s">
        <v>1048</v>
      </c>
      <c r="D888" s="3" t="s">
        <v>14</v>
      </c>
      <c r="E888" s="3" t="s">
        <v>107</v>
      </c>
      <c r="F888" s="4">
        <v>46300</v>
      </c>
      <c r="G888" s="3" t="s">
        <v>44</v>
      </c>
      <c r="H888" s="6">
        <v>-9710909</v>
      </c>
      <c r="I888" s="3" t="s">
        <v>17</v>
      </c>
      <c r="J888" s="3" t="s">
        <v>14</v>
      </c>
      <c r="K888" s="3" t="s">
        <v>14</v>
      </c>
      <c r="L888" s="3" t="s">
        <v>1049</v>
      </c>
      <c r="M888" s="4">
        <v>46300</v>
      </c>
      <c r="N888" s="3" t="s">
        <v>1050</v>
      </c>
      <c r="O888" s="3" t="s">
        <v>34</v>
      </c>
      <c r="P888" t="str">
        <f t="shared" si="13"/>
        <v>450011764210</v>
      </c>
      <c r="Q888" s="9" cm="1">
        <f t="array" ref="Q888:S888">VLOOKUP(P888,Hoja1!C:F,{2,3,4},FALSE)</f>
        <v>46387</v>
      </c>
      <c r="R888" t="str">
        <v>C24</v>
      </c>
      <c r="S888" t="str">
        <v>1000012493 MAXICONSUMO S A</v>
      </c>
    </row>
    <row r="889" spans="1:19" x14ac:dyDescent="0.3">
      <c r="A889" s="2" t="s">
        <v>14</v>
      </c>
      <c r="B889" s="3" t="s">
        <v>14</v>
      </c>
      <c r="C889" s="3" t="s">
        <v>1051</v>
      </c>
      <c r="D889" s="3" t="s">
        <v>14</v>
      </c>
      <c r="E889" s="3" t="s">
        <v>107</v>
      </c>
      <c r="F889" s="4">
        <v>46289</v>
      </c>
      <c r="G889" s="3" t="s">
        <v>44</v>
      </c>
      <c r="H889" s="6">
        <v>-1104663.1100000001</v>
      </c>
      <c r="I889" s="3" t="s">
        <v>17</v>
      </c>
      <c r="J889" s="3" t="s">
        <v>14</v>
      </c>
      <c r="K889" s="3" t="s">
        <v>14</v>
      </c>
      <c r="L889" s="3" t="s">
        <v>95</v>
      </c>
      <c r="M889" s="4">
        <v>46300</v>
      </c>
      <c r="N889" s="3" t="s">
        <v>1052</v>
      </c>
      <c r="O889" s="3" t="s">
        <v>21</v>
      </c>
      <c r="P889" t="str">
        <f t="shared" si="13"/>
        <v>450013572020</v>
      </c>
      <c r="Q889" s="9" cm="1">
        <f t="array" ref="Q889:S889">VLOOKUP(P889,Hoja1!C:F,{2,3,4},FALSE)</f>
        <v>46295</v>
      </c>
      <c r="R889" t="str">
        <v>C03</v>
      </c>
      <c r="S889" t="str">
        <v>1000000561 ESCANDINAVIA DEL PLATA SA</v>
      </c>
    </row>
    <row r="890" spans="1:19" x14ac:dyDescent="0.3">
      <c r="A890" s="2" t="s">
        <v>14</v>
      </c>
      <c r="B890" s="3" t="s">
        <v>14</v>
      </c>
      <c r="C890" s="3" t="s">
        <v>1053</v>
      </c>
      <c r="D890" s="3" t="s">
        <v>14</v>
      </c>
      <c r="E890" s="3" t="s">
        <v>107</v>
      </c>
      <c r="F890" s="4">
        <v>46290</v>
      </c>
      <c r="G890" s="3" t="s">
        <v>44</v>
      </c>
      <c r="H890" s="6">
        <v>-205822.58</v>
      </c>
      <c r="I890" s="3" t="s">
        <v>17</v>
      </c>
      <c r="J890" s="3" t="s">
        <v>14</v>
      </c>
      <c r="K890" s="3" t="s">
        <v>14</v>
      </c>
      <c r="L890" s="3" t="s">
        <v>19</v>
      </c>
      <c r="M890" s="4">
        <v>46300</v>
      </c>
      <c r="N890" s="3" t="s">
        <v>1054</v>
      </c>
      <c r="O890" s="3" t="s">
        <v>23</v>
      </c>
      <c r="P890" t="str">
        <f t="shared" si="13"/>
        <v>450013550850</v>
      </c>
      <c r="Q890" s="9" cm="1">
        <f t="array" ref="Q890:S890">VLOOKUP(P890,Hoja1!C:F,{2,3,4},FALSE)</f>
        <v>46308</v>
      </c>
      <c r="R890" t="str">
        <v>C03</v>
      </c>
      <c r="S890" t="str">
        <v>1000001470 SUDAMERICANA CAMIONES SA</v>
      </c>
    </row>
    <row r="891" spans="1:19" x14ac:dyDescent="0.3">
      <c r="A891" s="2" t="s">
        <v>14</v>
      </c>
      <c r="B891" s="3" t="s">
        <v>14</v>
      </c>
      <c r="C891" s="3" t="s">
        <v>1055</v>
      </c>
      <c r="D891" s="3" t="s">
        <v>14</v>
      </c>
      <c r="E891" s="3" t="s">
        <v>107</v>
      </c>
      <c r="F891" s="4">
        <v>46290</v>
      </c>
      <c r="G891" s="3" t="s">
        <v>44</v>
      </c>
      <c r="H891" s="6">
        <v>-120285.24</v>
      </c>
      <c r="I891" s="3" t="s">
        <v>17</v>
      </c>
      <c r="J891" s="3" t="s">
        <v>14</v>
      </c>
      <c r="K891" s="3" t="s">
        <v>14</v>
      </c>
      <c r="L891" s="3" t="s">
        <v>547</v>
      </c>
      <c r="M891" s="4">
        <v>46300</v>
      </c>
      <c r="N891" s="3" t="s">
        <v>1056</v>
      </c>
      <c r="O891" s="3" t="s">
        <v>24</v>
      </c>
      <c r="P891" t="str">
        <f t="shared" si="13"/>
        <v>450013129960</v>
      </c>
      <c r="Q891" s="9" cm="1">
        <f t="array" ref="Q891:S891">VLOOKUP(P891,Hoja1!C:F,{2,3,4},FALSE)</f>
        <v>46294</v>
      </c>
      <c r="R891" t="str">
        <v>C03</v>
      </c>
      <c r="S891" t="str">
        <v>1000003804 ALL DRILL S.A.</v>
      </c>
    </row>
    <row r="892" spans="1:19" x14ac:dyDescent="0.3">
      <c r="A892" s="2" t="s">
        <v>14</v>
      </c>
      <c r="B892" s="3" t="s">
        <v>14</v>
      </c>
      <c r="C892" s="3" t="s">
        <v>1055</v>
      </c>
      <c r="D892" s="3" t="s">
        <v>14</v>
      </c>
      <c r="E892" s="3" t="s">
        <v>107</v>
      </c>
      <c r="F892" s="4">
        <v>46290</v>
      </c>
      <c r="G892" s="3" t="s">
        <v>44</v>
      </c>
      <c r="H892" s="6">
        <v>-1182681.05</v>
      </c>
      <c r="I892" s="3" t="s">
        <v>17</v>
      </c>
      <c r="J892" s="3" t="s">
        <v>14</v>
      </c>
      <c r="K892" s="3" t="s">
        <v>14</v>
      </c>
      <c r="L892" s="3" t="s">
        <v>547</v>
      </c>
      <c r="M892" s="4">
        <v>46300</v>
      </c>
      <c r="N892" s="3" t="s">
        <v>1056</v>
      </c>
      <c r="O892" s="3" t="s">
        <v>343</v>
      </c>
      <c r="P892" t="str">
        <f t="shared" si="13"/>
        <v>450013129980</v>
      </c>
      <c r="Q892" s="9" cm="1">
        <f t="array" ref="Q892:S892">VLOOKUP(P892,Hoja1!C:F,{2,3,4},FALSE)</f>
        <v>46294</v>
      </c>
      <c r="R892" t="str">
        <v>C03</v>
      </c>
      <c r="S892" t="str">
        <v>1000003804 ALL DRILL S.A.</v>
      </c>
    </row>
    <row r="893" spans="1:19" x14ac:dyDescent="0.3">
      <c r="A893" s="2" t="s">
        <v>14</v>
      </c>
      <c r="B893" s="3" t="s">
        <v>14</v>
      </c>
      <c r="C893" s="3" t="s">
        <v>1057</v>
      </c>
      <c r="D893" s="3" t="s">
        <v>14</v>
      </c>
      <c r="E893" s="3" t="s">
        <v>107</v>
      </c>
      <c r="F893" s="4">
        <v>46289</v>
      </c>
      <c r="G893" s="3" t="s">
        <v>44</v>
      </c>
      <c r="H893" s="6">
        <v>-549414.22</v>
      </c>
      <c r="I893" s="3" t="s">
        <v>17</v>
      </c>
      <c r="J893" s="3" t="s">
        <v>14</v>
      </c>
      <c r="K893" s="3" t="s">
        <v>14</v>
      </c>
      <c r="L893" s="3" t="s">
        <v>163</v>
      </c>
      <c r="M893" s="4">
        <v>46300</v>
      </c>
      <c r="N893" s="3" t="s">
        <v>1058</v>
      </c>
      <c r="O893" s="3" t="s">
        <v>34</v>
      </c>
      <c r="P893" t="str">
        <f t="shared" si="13"/>
        <v>450013762810</v>
      </c>
      <c r="Q893" s="9" cm="1">
        <f t="array" ref="Q893:S893">VLOOKUP(P893,Hoja1!C:F,{2,3,4},FALSE)</f>
        <v>46291</v>
      </c>
      <c r="R893" t="str">
        <v>C03</v>
      </c>
      <c r="S893" t="str">
        <v>1000000062 FINNING ARGENTINA S.A.</v>
      </c>
    </row>
    <row r="894" spans="1:19" x14ac:dyDescent="0.3">
      <c r="A894" s="2" t="s">
        <v>14</v>
      </c>
      <c r="B894" s="3" t="s">
        <v>14</v>
      </c>
      <c r="C894" s="3" t="s">
        <v>1059</v>
      </c>
      <c r="D894" s="3" t="s">
        <v>14</v>
      </c>
      <c r="E894" s="3" t="s">
        <v>107</v>
      </c>
      <c r="F894" s="4">
        <v>46297</v>
      </c>
      <c r="G894" s="3" t="s">
        <v>44</v>
      </c>
      <c r="H894" s="6">
        <v>-8335250</v>
      </c>
      <c r="I894" s="3" t="s">
        <v>17</v>
      </c>
      <c r="J894" s="3" t="s">
        <v>14</v>
      </c>
      <c r="K894" s="3" t="s">
        <v>14</v>
      </c>
      <c r="L894" s="3" t="s">
        <v>1060</v>
      </c>
      <c r="M894" s="4">
        <v>46300</v>
      </c>
      <c r="N894" s="3" t="s">
        <v>1061</v>
      </c>
      <c r="O894" s="3" t="s">
        <v>34</v>
      </c>
      <c r="P894" t="str">
        <f t="shared" si="13"/>
        <v>450013898210</v>
      </c>
      <c r="Q894" s="9" cm="1">
        <f t="array" ref="Q894:S894">VLOOKUP(P894,Hoja1!C:F,{2,3,4},FALSE)</f>
        <v>46300</v>
      </c>
      <c r="R894" t="str">
        <v>C29</v>
      </c>
      <c r="S894" t="str">
        <v>1000001756 EPIROC ARGENTINA S.A.</v>
      </c>
    </row>
    <row r="895" spans="1:19" x14ac:dyDescent="0.3">
      <c r="A895" s="2" t="s">
        <v>14</v>
      </c>
      <c r="B895" s="3" t="s">
        <v>14</v>
      </c>
      <c r="C895" s="3" t="s">
        <v>1062</v>
      </c>
      <c r="D895" s="3" t="s">
        <v>14</v>
      </c>
      <c r="E895" s="3" t="s">
        <v>107</v>
      </c>
      <c r="F895" s="4">
        <v>46295</v>
      </c>
      <c r="G895" s="3" t="s">
        <v>44</v>
      </c>
      <c r="H895" s="6">
        <v>-29734.11</v>
      </c>
      <c r="I895" s="3" t="s">
        <v>17</v>
      </c>
      <c r="J895" s="3" t="s">
        <v>14</v>
      </c>
      <c r="K895" s="3" t="s">
        <v>14</v>
      </c>
      <c r="L895" s="3" t="s">
        <v>523</v>
      </c>
      <c r="M895" s="4">
        <v>46300</v>
      </c>
      <c r="N895" s="3" t="s">
        <v>1063</v>
      </c>
      <c r="O895" s="3" t="s">
        <v>22</v>
      </c>
      <c r="P895" t="str">
        <f t="shared" si="13"/>
        <v>450013659930</v>
      </c>
      <c r="Q895" s="9" cm="1">
        <f t="array" ref="Q895:S895">VLOOKUP(P895,Hoja1!C:F,{2,3,4},FALSE)</f>
        <v>46273</v>
      </c>
      <c r="R895" t="str">
        <v>C28</v>
      </c>
      <c r="S895" t="str">
        <v>1000001683 PIACENZA SRL</v>
      </c>
    </row>
    <row r="896" spans="1:19" x14ac:dyDescent="0.3">
      <c r="A896" s="2" t="s">
        <v>14</v>
      </c>
      <c r="B896" s="3" t="s">
        <v>14</v>
      </c>
      <c r="C896" s="3" t="s">
        <v>1062</v>
      </c>
      <c r="D896" s="3" t="s">
        <v>14</v>
      </c>
      <c r="E896" s="3" t="s">
        <v>107</v>
      </c>
      <c r="F896" s="4">
        <v>46295</v>
      </c>
      <c r="G896" s="3" t="s">
        <v>44</v>
      </c>
      <c r="H896" s="6">
        <v>-29734.11</v>
      </c>
      <c r="I896" s="3" t="s">
        <v>17</v>
      </c>
      <c r="J896" s="3" t="s">
        <v>14</v>
      </c>
      <c r="K896" s="3" t="s">
        <v>14</v>
      </c>
      <c r="L896" s="3" t="s">
        <v>523</v>
      </c>
      <c r="M896" s="4">
        <v>46300</v>
      </c>
      <c r="N896" s="3" t="s">
        <v>1063</v>
      </c>
      <c r="O896" s="3" t="s">
        <v>26</v>
      </c>
      <c r="P896" t="str">
        <f t="shared" si="13"/>
        <v>450013659940</v>
      </c>
      <c r="Q896" s="9" cm="1">
        <f t="array" ref="Q896:S896">VLOOKUP(P896,Hoja1!C:F,{2,3,4},FALSE)</f>
        <v>46273</v>
      </c>
      <c r="R896" t="str">
        <v>C28</v>
      </c>
      <c r="S896" t="str">
        <v>1000001683 PIACENZA SRL</v>
      </c>
    </row>
    <row r="897" spans="1:19" x14ac:dyDescent="0.3">
      <c r="A897" s="2" t="s">
        <v>14</v>
      </c>
      <c r="B897" s="3" t="s">
        <v>14</v>
      </c>
      <c r="C897" s="3" t="s">
        <v>1064</v>
      </c>
      <c r="D897" s="3" t="s">
        <v>36</v>
      </c>
      <c r="E897" s="3" t="s">
        <v>107</v>
      </c>
      <c r="F897" s="4">
        <v>46295</v>
      </c>
      <c r="G897" s="3" t="s">
        <v>44</v>
      </c>
      <c r="H897" s="6">
        <v>-2879338.72</v>
      </c>
      <c r="I897" s="3" t="s">
        <v>17</v>
      </c>
      <c r="J897" s="3" t="s">
        <v>14</v>
      </c>
      <c r="K897" s="3" t="s">
        <v>14</v>
      </c>
      <c r="L897" s="3" t="s">
        <v>1065</v>
      </c>
      <c r="M897" s="4">
        <v>46300</v>
      </c>
      <c r="N897" s="3" t="s">
        <v>1066</v>
      </c>
      <c r="O897" s="3" t="s">
        <v>34</v>
      </c>
      <c r="P897" t="str">
        <f t="shared" si="13"/>
        <v>450013677610</v>
      </c>
      <c r="Q897" s="9" cm="1">
        <f t="array" ref="Q897:S897">VLOOKUP(P897,Hoja1!C:F,{2,3,4},FALSE)</f>
        <v>46310</v>
      </c>
      <c r="R897" t="str">
        <v>CGT</v>
      </c>
      <c r="S897" t="str">
        <v>1000009487 REINA NACUSI GERARDO RAUL</v>
      </c>
    </row>
    <row r="898" spans="1:19" x14ac:dyDescent="0.3">
      <c r="A898" s="2" t="s">
        <v>14</v>
      </c>
      <c r="B898" s="3" t="s">
        <v>14</v>
      </c>
      <c r="C898" s="3" t="s">
        <v>1067</v>
      </c>
      <c r="D898" s="3" t="s">
        <v>36</v>
      </c>
      <c r="E898" s="3" t="s">
        <v>107</v>
      </c>
      <c r="F898" s="4">
        <v>46294</v>
      </c>
      <c r="G898" s="3" t="s">
        <v>44</v>
      </c>
      <c r="H898" s="6">
        <v>-2143174.54</v>
      </c>
      <c r="I898" s="3" t="s">
        <v>17</v>
      </c>
      <c r="J898" s="3" t="s">
        <v>14</v>
      </c>
      <c r="K898" s="3" t="s">
        <v>14</v>
      </c>
      <c r="L898" s="3" t="s">
        <v>89</v>
      </c>
      <c r="M898" s="4">
        <v>46300</v>
      </c>
      <c r="N898" s="3" t="s">
        <v>1068</v>
      </c>
      <c r="O898" s="3" t="s">
        <v>34</v>
      </c>
      <c r="P898" t="str">
        <f t="shared" si="13"/>
        <v>450013920310</v>
      </c>
      <c r="Q898" s="9" cm="1">
        <f t="array" ref="Q898:S898">VLOOKUP(P898,Hoja1!C:F,{2,3,4},FALSE)</f>
        <v>46302</v>
      </c>
      <c r="R898" t="str">
        <v>C28</v>
      </c>
      <c r="S898" t="str">
        <v>1000001028 SOSTEN S.A.</v>
      </c>
    </row>
    <row r="899" spans="1:19" x14ac:dyDescent="0.3">
      <c r="A899" s="2" t="s">
        <v>14</v>
      </c>
      <c r="B899" s="3" t="s">
        <v>14</v>
      </c>
      <c r="C899" s="3" t="s">
        <v>1069</v>
      </c>
      <c r="D899" s="3" t="s">
        <v>36</v>
      </c>
      <c r="E899" s="3" t="s">
        <v>107</v>
      </c>
      <c r="F899" s="4">
        <v>46294</v>
      </c>
      <c r="G899" s="3" t="s">
        <v>44</v>
      </c>
      <c r="H899" s="6">
        <v>-1446610.2</v>
      </c>
      <c r="I899" s="3" t="s">
        <v>17</v>
      </c>
      <c r="J899" s="3" t="s">
        <v>14</v>
      </c>
      <c r="K899" s="3" t="s">
        <v>14</v>
      </c>
      <c r="L899" s="3" t="s">
        <v>1070</v>
      </c>
      <c r="M899" s="4">
        <v>46300</v>
      </c>
      <c r="N899" s="3" t="s">
        <v>1071</v>
      </c>
      <c r="O899" s="3" t="s">
        <v>34</v>
      </c>
      <c r="P899" t="str">
        <f t="shared" ref="P899:P902" si="14">_xlfn.CONCAT(N899:O899)</f>
        <v>450013939610</v>
      </c>
      <c r="Q899" s="9" cm="1">
        <f t="array" ref="Q899:S899">VLOOKUP(P899,Hoja1!C:F,{2,3,4},FALSE)</f>
        <v>46297</v>
      </c>
      <c r="R899" t="str">
        <v>379</v>
      </c>
      <c r="S899" t="str">
        <v>1000001491 ALUMETAL S A</v>
      </c>
    </row>
    <row r="900" spans="1:19" x14ac:dyDescent="0.3">
      <c r="A900" s="2" t="s">
        <v>14</v>
      </c>
      <c r="B900" s="3" t="s">
        <v>14</v>
      </c>
      <c r="C900" s="3" t="s">
        <v>1072</v>
      </c>
      <c r="D900" s="3" t="s">
        <v>14</v>
      </c>
      <c r="E900" s="3" t="s">
        <v>107</v>
      </c>
      <c r="F900" s="4">
        <v>46297</v>
      </c>
      <c r="G900" s="3" t="s">
        <v>44</v>
      </c>
      <c r="H900" s="6">
        <v>-30459.98</v>
      </c>
      <c r="I900" s="3" t="s">
        <v>17</v>
      </c>
      <c r="J900" s="3" t="s">
        <v>14</v>
      </c>
      <c r="K900" s="3" t="s">
        <v>14</v>
      </c>
      <c r="L900" s="3" t="s">
        <v>1073</v>
      </c>
      <c r="M900" s="4">
        <v>46300</v>
      </c>
      <c r="N900" s="3" t="s">
        <v>1074</v>
      </c>
      <c r="O900" s="3" t="s">
        <v>34</v>
      </c>
      <c r="P900" t="str">
        <f t="shared" si="14"/>
        <v>450013958410</v>
      </c>
      <c r="Q900" s="9" cm="1">
        <f t="array" ref="Q900:S900">VLOOKUP(P900,Hoja1!C:F,{2,3,4},FALSE)</f>
        <v>46296</v>
      </c>
      <c r="R900" t="str">
        <v>C13</v>
      </c>
      <c r="S900" t="str">
        <v>1000009391 BOTAS MERCADO DAVID ESTEBAN</v>
      </c>
    </row>
    <row r="901" spans="1:19" x14ac:dyDescent="0.3">
      <c r="A901" s="2" t="s">
        <v>14</v>
      </c>
      <c r="B901" s="3" t="s">
        <v>14</v>
      </c>
      <c r="C901" s="3" t="s">
        <v>1072</v>
      </c>
      <c r="D901" s="3" t="s">
        <v>14</v>
      </c>
      <c r="E901" s="3" t="s">
        <v>107</v>
      </c>
      <c r="F901" s="4">
        <v>46297</v>
      </c>
      <c r="G901" s="3" t="s">
        <v>44</v>
      </c>
      <c r="H901" s="6">
        <v>-21157.5</v>
      </c>
      <c r="I901" s="3" t="s">
        <v>17</v>
      </c>
      <c r="J901" s="3" t="s">
        <v>14</v>
      </c>
      <c r="K901" s="3" t="s">
        <v>14</v>
      </c>
      <c r="L901" s="3" t="s">
        <v>1073</v>
      </c>
      <c r="M901" s="4">
        <v>46300</v>
      </c>
      <c r="N901" s="3" t="s">
        <v>1074</v>
      </c>
      <c r="O901" s="3" t="s">
        <v>21</v>
      </c>
      <c r="P901" t="str">
        <f t="shared" si="14"/>
        <v>450013958420</v>
      </c>
      <c r="Q901" s="9" cm="1">
        <f t="array" ref="Q901:S901">VLOOKUP(P901,Hoja1!C:F,{2,3,4},FALSE)</f>
        <v>46296</v>
      </c>
      <c r="R901" t="str">
        <v>C13</v>
      </c>
      <c r="S901" t="str">
        <v>1000009391 BOTAS MERCADO DAVID ESTEBAN</v>
      </c>
    </row>
    <row r="902" spans="1:19" x14ac:dyDescent="0.3">
      <c r="A902" s="7" t="s">
        <v>14</v>
      </c>
      <c r="B902" s="7" t="s">
        <v>14</v>
      </c>
      <c r="C902" s="7" t="s">
        <v>14</v>
      </c>
      <c r="D902" s="7" t="s">
        <v>14</v>
      </c>
      <c r="E902" s="7" t="s">
        <v>14</v>
      </c>
      <c r="F902" s="7" t="s">
        <v>14</v>
      </c>
      <c r="G902" s="7" t="s">
        <v>14</v>
      </c>
      <c r="H902" s="8">
        <v>-1368743865.4100001</v>
      </c>
      <c r="I902" s="7" t="s">
        <v>17</v>
      </c>
      <c r="J902" s="7" t="s">
        <v>14</v>
      </c>
      <c r="K902" s="7" t="s">
        <v>14</v>
      </c>
      <c r="L902" s="7" t="s">
        <v>14</v>
      </c>
      <c r="M902" s="7" t="s">
        <v>14</v>
      </c>
      <c r="N902" s="7" t="s">
        <v>14</v>
      </c>
      <c r="O902" s="7" t="s">
        <v>14</v>
      </c>
      <c r="P902" t="str">
        <f t="shared" si="14"/>
        <v/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45478-AA09-48F5-8E79-A7B3B89259FF}">
  <dimension ref="A1:F756"/>
  <sheetViews>
    <sheetView workbookViewId="0">
      <selection activeCell="G6" sqref="G6"/>
    </sheetView>
  </sheetViews>
  <sheetFormatPr baseColWidth="10" defaultRowHeight="14.4" x14ac:dyDescent="0.3"/>
  <cols>
    <col min="1" max="1" width="18" bestFit="1" customWidth="1"/>
    <col min="2" max="2" width="9" bestFit="1" customWidth="1"/>
    <col min="3" max="3" width="21.109375" customWidth="1"/>
    <col min="4" max="5" width="17" bestFit="1" customWidth="1"/>
    <col min="6" max="6" width="46" bestFit="1" customWidth="1"/>
  </cols>
  <sheetData>
    <row r="1" spans="1:6" x14ac:dyDescent="0.3">
      <c r="A1" s="1" t="s">
        <v>12</v>
      </c>
      <c r="B1" s="1" t="s">
        <v>13</v>
      </c>
      <c r="C1" s="1"/>
      <c r="D1" s="1" t="s">
        <v>837</v>
      </c>
      <c r="E1" s="1" t="s">
        <v>838</v>
      </c>
      <c r="F1" s="1" t="s">
        <v>839</v>
      </c>
    </row>
    <row r="2" spans="1:6" x14ac:dyDescent="0.3">
      <c r="A2" s="3" t="s">
        <v>1050</v>
      </c>
      <c r="B2" s="3" t="s">
        <v>34</v>
      </c>
      <c r="C2" s="3" t="str">
        <f>_xlfn.CONCAT(A2:B2)</f>
        <v>450011764210</v>
      </c>
      <c r="D2" s="4">
        <v>46387</v>
      </c>
      <c r="E2" s="3" t="s">
        <v>1075</v>
      </c>
      <c r="F2" s="3" t="s">
        <v>1076</v>
      </c>
    </row>
    <row r="3" spans="1:6" x14ac:dyDescent="0.3">
      <c r="A3" s="3" t="s">
        <v>751</v>
      </c>
      <c r="B3" s="3" t="s">
        <v>34</v>
      </c>
      <c r="C3" s="3" t="str">
        <f t="shared" ref="C3:C66" si="0">_xlfn.CONCAT(A3:B3)</f>
        <v>450013756010</v>
      </c>
      <c r="D3" s="4">
        <v>46387</v>
      </c>
      <c r="E3" s="3" t="s">
        <v>840</v>
      </c>
      <c r="F3" s="3" t="s">
        <v>841</v>
      </c>
    </row>
    <row r="4" spans="1:6" x14ac:dyDescent="0.3">
      <c r="A4" s="3" t="s">
        <v>312</v>
      </c>
      <c r="B4" s="3" t="s">
        <v>34</v>
      </c>
      <c r="C4" s="3" t="str">
        <f t="shared" si="0"/>
        <v>450012941210</v>
      </c>
      <c r="D4" s="4">
        <v>46325</v>
      </c>
      <c r="E4" s="3" t="s">
        <v>710</v>
      </c>
      <c r="F4" s="3" t="s">
        <v>842</v>
      </c>
    </row>
    <row r="5" spans="1:6" x14ac:dyDescent="0.3">
      <c r="A5" s="3" t="s">
        <v>1016</v>
      </c>
      <c r="B5" s="3" t="s">
        <v>34</v>
      </c>
      <c r="C5" s="3" t="str">
        <f t="shared" si="0"/>
        <v>450013758110</v>
      </c>
      <c r="D5" s="4">
        <v>46387</v>
      </c>
      <c r="E5" s="3" t="s">
        <v>840</v>
      </c>
      <c r="F5" s="3" t="s">
        <v>1077</v>
      </c>
    </row>
    <row r="6" spans="1:6" x14ac:dyDescent="0.3">
      <c r="A6" s="3" t="s">
        <v>591</v>
      </c>
      <c r="B6" s="3" t="s">
        <v>34</v>
      </c>
      <c r="C6" s="3" t="str">
        <f t="shared" si="0"/>
        <v>450013579310</v>
      </c>
      <c r="D6" s="4">
        <v>46325</v>
      </c>
      <c r="E6" s="3" t="s">
        <v>710</v>
      </c>
      <c r="F6" s="3" t="s">
        <v>843</v>
      </c>
    </row>
    <row r="7" spans="1:6" x14ac:dyDescent="0.3">
      <c r="A7" s="3" t="s">
        <v>672</v>
      </c>
      <c r="B7" s="3" t="s">
        <v>34</v>
      </c>
      <c r="C7" s="3" t="str">
        <f t="shared" si="0"/>
        <v>450013711010</v>
      </c>
      <c r="D7" s="4">
        <v>46325</v>
      </c>
      <c r="E7" s="3" t="s">
        <v>714</v>
      </c>
      <c r="F7" s="3" t="s">
        <v>844</v>
      </c>
    </row>
    <row r="8" spans="1:6" x14ac:dyDescent="0.3">
      <c r="A8" s="3" t="s">
        <v>1047</v>
      </c>
      <c r="B8" s="3" t="s">
        <v>34</v>
      </c>
      <c r="C8" s="3" t="str">
        <f t="shared" si="0"/>
        <v>450013660210</v>
      </c>
      <c r="D8" s="4">
        <v>46325</v>
      </c>
      <c r="E8" s="3" t="s">
        <v>714</v>
      </c>
      <c r="F8" s="3" t="s">
        <v>1078</v>
      </c>
    </row>
    <row r="9" spans="1:6" x14ac:dyDescent="0.3">
      <c r="A9" s="3" t="s">
        <v>1038</v>
      </c>
      <c r="B9" s="3" t="s">
        <v>34</v>
      </c>
      <c r="C9" s="3" t="str">
        <f t="shared" si="0"/>
        <v>450011982210</v>
      </c>
      <c r="D9" s="4">
        <v>46783</v>
      </c>
      <c r="E9" s="3" t="s">
        <v>703</v>
      </c>
      <c r="F9" s="3" t="s">
        <v>1079</v>
      </c>
    </row>
    <row r="10" spans="1:6" x14ac:dyDescent="0.3">
      <c r="A10" s="3" t="s">
        <v>1038</v>
      </c>
      <c r="B10" s="3" t="s">
        <v>21</v>
      </c>
      <c r="C10" s="3" t="str">
        <f t="shared" si="0"/>
        <v>450011982220</v>
      </c>
      <c r="D10" s="4">
        <v>46783</v>
      </c>
      <c r="E10" s="3" t="s">
        <v>703</v>
      </c>
      <c r="F10" s="3" t="s">
        <v>1079</v>
      </c>
    </row>
    <row r="11" spans="1:6" x14ac:dyDescent="0.3">
      <c r="A11" s="3" t="s">
        <v>553</v>
      </c>
      <c r="B11" s="3" t="s">
        <v>34</v>
      </c>
      <c r="C11" s="3" t="str">
        <f t="shared" si="0"/>
        <v>450013831810</v>
      </c>
      <c r="D11" s="4">
        <v>46357</v>
      </c>
      <c r="E11" s="3" t="s">
        <v>710</v>
      </c>
      <c r="F11" s="3" t="s">
        <v>845</v>
      </c>
    </row>
    <row r="12" spans="1:6" x14ac:dyDescent="0.3">
      <c r="A12" s="3" t="s">
        <v>799</v>
      </c>
      <c r="B12" s="3" t="s">
        <v>22</v>
      </c>
      <c r="C12" s="3" t="str">
        <f t="shared" si="0"/>
        <v>450011401730</v>
      </c>
      <c r="D12" s="4">
        <v>46358</v>
      </c>
      <c r="E12" s="3" t="s">
        <v>703</v>
      </c>
      <c r="F12" s="3" t="s">
        <v>846</v>
      </c>
    </row>
    <row r="13" spans="1:6" x14ac:dyDescent="0.3">
      <c r="A13" s="3" t="s">
        <v>799</v>
      </c>
      <c r="B13" s="3" t="s">
        <v>21</v>
      </c>
      <c r="C13" s="3" t="str">
        <f t="shared" si="0"/>
        <v>450011401720</v>
      </c>
      <c r="D13" s="4">
        <v>46358</v>
      </c>
      <c r="E13" s="3" t="s">
        <v>703</v>
      </c>
      <c r="F13" s="3" t="s">
        <v>846</v>
      </c>
    </row>
    <row r="14" spans="1:6" x14ac:dyDescent="0.3">
      <c r="A14" s="3" t="s">
        <v>799</v>
      </c>
      <c r="B14" s="3" t="s">
        <v>34</v>
      </c>
      <c r="C14" s="3" t="str">
        <f t="shared" si="0"/>
        <v>450011401710</v>
      </c>
      <c r="D14" s="4">
        <v>46358</v>
      </c>
      <c r="E14" s="3" t="s">
        <v>703</v>
      </c>
      <c r="F14" s="3" t="s">
        <v>846</v>
      </c>
    </row>
    <row r="15" spans="1:6" x14ac:dyDescent="0.3">
      <c r="A15" s="3" t="s">
        <v>772</v>
      </c>
      <c r="B15" s="3" t="s">
        <v>21</v>
      </c>
      <c r="C15" s="3" t="str">
        <f t="shared" si="0"/>
        <v>450013338520</v>
      </c>
      <c r="D15" s="4">
        <v>46606</v>
      </c>
      <c r="E15" s="3" t="s">
        <v>703</v>
      </c>
      <c r="F15" s="3" t="s">
        <v>847</v>
      </c>
    </row>
    <row r="16" spans="1:6" x14ac:dyDescent="0.3">
      <c r="A16" s="3" t="s">
        <v>803</v>
      </c>
      <c r="B16" s="3" t="s">
        <v>34</v>
      </c>
      <c r="C16" s="3" t="str">
        <f t="shared" si="0"/>
        <v>450008566510</v>
      </c>
      <c r="D16" s="4">
        <v>46326</v>
      </c>
      <c r="E16" s="3" t="s">
        <v>703</v>
      </c>
      <c r="F16" s="3" t="s">
        <v>848</v>
      </c>
    </row>
    <row r="17" spans="1:6" x14ac:dyDescent="0.3">
      <c r="A17" s="3" t="s">
        <v>801</v>
      </c>
      <c r="B17" s="3" t="s">
        <v>34</v>
      </c>
      <c r="C17" s="3" t="str">
        <f t="shared" si="0"/>
        <v>450012970910</v>
      </c>
      <c r="D17" s="4">
        <v>46387</v>
      </c>
      <c r="E17" s="3" t="s">
        <v>703</v>
      </c>
      <c r="F17" s="3" t="s">
        <v>848</v>
      </c>
    </row>
    <row r="18" spans="1:6" x14ac:dyDescent="0.3">
      <c r="A18" s="3" t="s">
        <v>805</v>
      </c>
      <c r="B18" s="3" t="s">
        <v>34</v>
      </c>
      <c r="C18" s="3" t="str">
        <f t="shared" si="0"/>
        <v>450013031610</v>
      </c>
      <c r="D18" s="4">
        <v>46387</v>
      </c>
      <c r="E18" s="3" t="s">
        <v>703</v>
      </c>
      <c r="F18" s="3" t="s">
        <v>848</v>
      </c>
    </row>
    <row r="19" spans="1:6" x14ac:dyDescent="0.3">
      <c r="A19" s="3" t="s">
        <v>662</v>
      </c>
      <c r="B19" s="3" t="s">
        <v>21</v>
      </c>
      <c r="C19" s="3" t="str">
        <f t="shared" si="0"/>
        <v>450012426620</v>
      </c>
      <c r="D19" s="4">
        <v>46387</v>
      </c>
      <c r="E19" s="3" t="s">
        <v>703</v>
      </c>
      <c r="F19" s="3" t="s">
        <v>849</v>
      </c>
    </row>
    <row r="20" spans="1:6" x14ac:dyDescent="0.3">
      <c r="A20" s="3" t="s">
        <v>772</v>
      </c>
      <c r="B20" s="3" t="s">
        <v>34</v>
      </c>
      <c r="C20" s="3" t="str">
        <f t="shared" si="0"/>
        <v>450013338510</v>
      </c>
      <c r="D20" s="4">
        <v>46606</v>
      </c>
      <c r="E20" s="3" t="s">
        <v>703</v>
      </c>
      <c r="F20" s="3" t="s">
        <v>847</v>
      </c>
    </row>
    <row r="21" spans="1:6" x14ac:dyDescent="0.3">
      <c r="A21" s="3" t="s">
        <v>772</v>
      </c>
      <c r="B21" s="3" t="s">
        <v>22</v>
      </c>
      <c r="C21" s="3" t="str">
        <f t="shared" si="0"/>
        <v>450013338530</v>
      </c>
      <c r="D21" s="4">
        <v>46606</v>
      </c>
      <c r="E21" s="3" t="s">
        <v>703</v>
      </c>
      <c r="F21" s="3" t="s">
        <v>847</v>
      </c>
    </row>
    <row r="22" spans="1:6" x14ac:dyDescent="0.3">
      <c r="A22" s="3" t="s">
        <v>807</v>
      </c>
      <c r="B22" s="3" t="s">
        <v>21</v>
      </c>
      <c r="C22" s="3" t="str">
        <f t="shared" si="0"/>
        <v>450008523420</v>
      </c>
      <c r="D22" s="4">
        <v>46326</v>
      </c>
      <c r="E22" s="3" t="s">
        <v>703</v>
      </c>
      <c r="F22" s="3" t="s">
        <v>848</v>
      </c>
    </row>
    <row r="23" spans="1:6" x14ac:dyDescent="0.3">
      <c r="A23" s="3" t="s">
        <v>698</v>
      </c>
      <c r="B23" s="3" t="s">
        <v>34</v>
      </c>
      <c r="C23" s="3" t="str">
        <f t="shared" si="0"/>
        <v>450013444910</v>
      </c>
      <c r="D23" s="4">
        <v>46387</v>
      </c>
      <c r="E23" s="3" t="s">
        <v>703</v>
      </c>
      <c r="F23" s="3" t="s">
        <v>851</v>
      </c>
    </row>
    <row r="24" spans="1:6" x14ac:dyDescent="0.3">
      <c r="A24" s="3" t="s">
        <v>807</v>
      </c>
      <c r="B24" s="3" t="s">
        <v>34</v>
      </c>
      <c r="C24" s="3" t="str">
        <f t="shared" si="0"/>
        <v>450008523410</v>
      </c>
      <c r="D24" s="4">
        <v>46326</v>
      </c>
      <c r="E24" s="3" t="s">
        <v>703</v>
      </c>
      <c r="F24" s="3" t="s">
        <v>848</v>
      </c>
    </row>
    <row r="25" spans="1:6" x14ac:dyDescent="0.3">
      <c r="A25" s="3" t="s">
        <v>807</v>
      </c>
      <c r="B25" s="3" t="s">
        <v>22</v>
      </c>
      <c r="C25" s="3" t="str">
        <f t="shared" si="0"/>
        <v>450008523430</v>
      </c>
      <c r="D25" s="4">
        <v>46326</v>
      </c>
      <c r="E25" s="3" t="s">
        <v>703</v>
      </c>
      <c r="F25" s="3" t="s">
        <v>848</v>
      </c>
    </row>
    <row r="26" spans="1:6" x14ac:dyDescent="0.3">
      <c r="A26" s="3" t="s">
        <v>615</v>
      </c>
      <c r="B26" s="3" t="s">
        <v>22</v>
      </c>
      <c r="C26" s="3" t="str">
        <f t="shared" si="0"/>
        <v>450013950330</v>
      </c>
      <c r="D26" s="4">
        <v>46304</v>
      </c>
      <c r="E26" s="3" t="s">
        <v>725</v>
      </c>
      <c r="F26" s="3" t="s">
        <v>852</v>
      </c>
    </row>
    <row r="27" spans="1:6" x14ac:dyDescent="0.3">
      <c r="A27" s="3" t="s">
        <v>662</v>
      </c>
      <c r="B27" s="3" t="s">
        <v>34</v>
      </c>
      <c r="C27" s="3" t="str">
        <f t="shared" si="0"/>
        <v>450012426610</v>
      </c>
      <c r="D27" s="4">
        <v>46387</v>
      </c>
      <c r="E27" s="3" t="s">
        <v>703</v>
      </c>
      <c r="F27" s="3" t="s">
        <v>849</v>
      </c>
    </row>
    <row r="28" spans="1:6" x14ac:dyDescent="0.3">
      <c r="A28" s="3" t="s">
        <v>615</v>
      </c>
      <c r="B28" s="3" t="s">
        <v>34</v>
      </c>
      <c r="C28" s="3" t="str">
        <f t="shared" si="0"/>
        <v>450013950310</v>
      </c>
      <c r="D28" s="4">
        <v>46304</v>
      </c>
      <c r="E28" s="3" t="s">
        <v>725</v>
      </c>
      <c r="F28" s="3" t="s">
        <v>852</v>
      </c>
    </row>
    <row r="29" spans="1:6" x14ac:dyDescent="0.3">
      <c r="A29" s="3" t="s">
        <v>448</v>
      </c>
      <c r="B29" s="3" t="s">
        <v>21</v>
      </c>
      <c r="C29" s="3" t="str">
        <f t="shared" si="0"/>
        <v>450013481820</v>
      </c>
      <c r="D29" s="4">
        <v>46387</v>
      </c>
      <c r="E29" s="3" t="s">
        <v>703</v>
      </c>
      <c r="F29" s="3" t="s">
        <v>853</v>
      </c>
    </row>
    <row r="30" spans="1:6" x14ac:dyDescent="0.3">
      <c r="A30" s="3" t="s">
        <v>668</v>
      </c>
      <c r="B30" s="3" t="s">
        <v>34</v>
      </c>
      <c r="C30" s="3" t="str">
        <f t="shared" si="0"/>
        <v>450013942710</v>
      </c>
      <c r="D30" s="4">
        <v>46320</v>
      </c>
      <c r="E30" s="3" t="s">
        <v>733</v>
      </c>
      <c r="F30" s="3" t="s">
        <v>854</v>
      </c>
    </row>
    <row r="31" spans="1:6" x14ac:dyDescent="0.3">
      <c r="A31" s="3" t="s">
        <v>373</v>
      </c>
      <c r="B31" s="3" t="s">
        <v>34</v>
      </c>
      <c r="C31" s="3" t="str">
        <f t="shared" si="0"/>
        <v>450013317710</v>
      </c>
      <c r="D31" s="4">
        <v>46301</v>
      </c>
      <c r="E31" s="3" t="s">
        <v>708</v>
      </c>
      <c r="F31" s="3" t="s">
        <v>855</v>
      </c>
    </row>
    <row r="32" spans="1:6" x14ac:dyDescent="0.3">
      <c r="A32" s="3" t="s">
        <v>96</v>
      </c>
      <c r="B32" s="3" t="s">
        <v>34</v>
      </c>
      <c r="C32" s="3" t="str">
        <f t="shared" si="0"/>
        <v>450013337410</v>
      </c>
      <c r="D32" s="4">
        <v>46304</v>
      </c>
      <c r="E32" s="3" t="s">
        <v>725</v>
      </c>
      <c r="F32" s="3" t="s">
        <v>854</v>
      </c>
    </row>
    <row r="33" spans="1:6" x14ac:dyDescent="0.3">
      <c r="A33" s="3" t="s">
        <v>793</v>
      </c>
      <c r="B33" s="3" t="s">
        <v>34</v>
      </c>
      <c r="C33" s="3" t="str">
        <f t="shared" si="0"/>
        <v>450013970310</v>
      </c>
      <c r="D33" s="4">
        <v>46366</v>
      </c>
      <c r="E33" s="3" t="s">
        <v>840</v>
      </c>
      <c r="F33" s="3" t="s">
        <v>856</v>
      </c>
    </row>
    <row r="34" spans="1:6" x14ac:dyDescent="0.3">
      <c r="A34" s="3" t="s">
        <v>599</v>
      </c>
      <c r="B34" s="3" t="s">
        <v>21</v>
      </c>
      <c r="C34" s="3" t="str">
        <f t="shared" si="0"/>
        <v>450013691820</v>
      </c>
      <c r="D34" s="4">
        <v>46304</v>
      </c>
      <c r="E34" s="3" t="s">
        <v>713</v>
      </c>
      <c r="F34" s="3" t="s">
        <v>852</v>
      </c>
    </row>
    <row r="35" spans="1:6" x14ac:dyDescent="0.3">
      <c r="A35" s="3" t="s">
        <v>659</v>
      </c>
      <c r="B35" s="3" t="s">
        <v>34</v>
      </c>
      <c r="C35" s="3" t="str">
        <f t="shared" si="0"/>
        <v>450013266110</v>
      </c>
      <c r="D35" s="4">
        <v>46596</v>
      </c>
      <c r="E35" s="3" t="s">
        <v>707</v>
      </c>
      <c r="F35" s="3" t="s">
        <v>857</v>
      </c>
    </row>
    <row r="36" spans="1:6" x14ac:dyDescent="0.3">
      <c r="A36" s="3" t="s">
        <v>659</v>
      </c>
      <c r="B36" s="3" t="s">
        <v>21</v>
      </c>
      <c r="C36" s="3" t="str">
        <f t="shared" si="0"/>
        <v>450013266120</v>
      </c>
      <c r="D36" s="4">
        <v>46596</v>
      </c>
      <c r="E36" s="3" t="s">
        <v>707</v>
      </c>
      <c r="F36" s="3" t="s">
        <v>857</v>
      </c>
    </row>
    <row r="37" spans="1:6" x14ac:dyDescent="0.3">
      <c r="A37" s="3" t="s">
        <v>659</v>
      </c>
      <c r="B37" s="3" t="s">
        <v>22</v>
      </c>
      <c r="C37" s="3" t="str">
        <f t="shared" si="0"/>
        <v>450013266130</v>
      </c>
      <c r="D37" s="4">
        <v>46596</v>
      </c>
      <c r="E37" s="3" t="s">
        <v>707</v>
      </c>
      <c r="F37" s="3" t="s">
        <v>857</v>
      </c>
    </row>
    <row r="38" spans="1:6" x14ac:dyDescent="0.3">
      <c r="A38" s="3" t="s">
        <v>448</v>
      </c>
      <c r="B38" s="3" t="s">
        <v>34</v>
      </c>
      <c r="C38" s="3" t="str">
        <f t="shared" si="0"/>
        <v>450013481810</v>
      </c>
      <c r="D38" s="4">
        <v>46387</v>
      </c>
      <c r="E38" s="3" t="s">
        <v>703</v>
      </c>
      <c r="F38" s="3" t="s">
        <v>853</v>
      </c>
    </row>
    <row r="39" spans="1:6" x14ac:dyDescent="0.3">
      <c r="A39" s="3" t="s">
        <v>573</v>
      </c>
      <c r="B39" s="3" t="s">
        <v>34</v>
      </c>
      <c r="C39" s="3" t="str">
        <f t="shared" si="0"/>
        <v>450013805310</v>
      </c>
      <c r="D39" s="4">
        <v>46304</v>
      </c>
      <c r="E39" s="3" t="s">
        <v>714</v>
      </c>
      <c r="F39" s="3" t="s">
        <v>858</v>
      </c>
    </row>
    <row r="40" spans="1:6" x14ac:dyDescent="0.3">
      <c r="A40" s="3" t="s">
        <v>342</v>
      </c>
      <c r="B40" s="3" t="s">
        <v>24</v>
      </c>
      <c r="C40" s="3" t="str">
        <f t="shared" si="0"/>
        <v>450013085560</v>
      </c>
      <c r="D40" s="4">
        <v>46295</v>
      </c>
      <c r="E40" s="3" t="s">
        <v>706</v>
      </c>
      <c r="F40" s="3" t="s">
        <v>859</v>
      </c>
    </row>
    <row r="41" spans="1:6" x14ac:dyDescent="0.3">
      <c r="A41" s="3" t="s">
        <v>1020</v>
      </c>
      <c r="B41" s="3" t="s">
        <v>34</v>
      </c>
      <c r="C41" s="3" t="str">
        <f t="shared" si="0"/>
        <v>450013442310</v>
      </c>
      <c r="D41" s="4">
        <v>46522</v>
      </c>
      <c r="E41" s="3" t="s">
        <v>704</v>
      </c>
      <c r="F41" s="3" t="s">
        <v>891</v>
      </c>
    </row>
    <row r="42" spans="1:6" x14ac:dyDescent="0.3">
      <c r="A42" s="3" t="s">
        <v>524</v>
      </c>
      <c r="B42" s="3" t="s">
        <v>26</v>
      </c>
      <c r="C42" s="3" t="str">
        <f t="shared" si="0"/>
        <v>450013464740</v>
      </c>
      <c r="D42" s="4">
        <v>46269</v>
      </c>
      <c r="E42" s="3" t="s">
        <v>711</v>
      </c>
      <c r="F42" s="3" t="s">
        <v>860</v>
      </c>
    </row>
    <row r="43" spans="1:6" x14ac:dyDescent="0.3">
      <c r="A43" s="3" t="s">
        <v>448</v>
      </c>
      <c r="B43" s="3" t="s">
        <v>26</v>
      </c>
      <c r="C43" s="3" t="str">
        <f t="shared" si="0"/>
        <v>450013481840</v>
      </c>
      <c r="D43" s="4">
        <v>46387</v>
      </c>
      <c r="E43" s="3" t="s">
        <v>703</v>
      </c>
      <c r="F43" s="3" t="s">
        <v>853</v>
      </c>
    </row>
    <row r="44" spans="1:6" x14ac:dyDescent="0.3">
      <c r="A44" s="3" t="s">
        <v>665</v>
      </c>
      <c r="B44" s="3" t="s">
        <v>34</v>
      </c>
      <c r="C44" s="3" t="str">
        <f t="shared" si="0"/>
        <v>450013245910</v>
      </c>
      <c r="D44" s="4">
        <v>46326</v>
      </c>
      <c r="E44" s="3" t="s">
        <v>703</v>
      </c>
      <c r="F44" s="3" t="s">
        <v>861</v>
      </c>
    </row>
    <row r="45" spans="1:6" x14ac:dyDescent="0.3">
      <c r="A45" s="3" t="s">
        <v>448</v>
      </c>
      <c r="B45" s="3" t="s">
        <v>22</v>
      </c>
      <c r="C45" s="3" t="str">
        <f t="shared" si="0"/>
        <v>450013481830</v>
      </c>
      <c r="D45" s="4">
        <v>46387</v>
      </c>
      <c r="E45" s="3" t="s">
        <v>703</v>
      </c>
      <c r="F45" s="3" t="s">
        <v>853</v>
      </c>
    </row>
    <row r="46" spans="1:6" x14ac:dyDescent="0.3">
      <c r="A46" s="3" t="s">
        <v>471</v>
      </c>
      <c r="B46" s="3" t="s">
        <v>21</v>
      </c>
      <c r="C46" s="3" t="str">
        <f t="shared" si="0"/>
        <v>450013572320</v>
      </c>
      <c r="D46" s="4">
        <v>46295</v>
      </c>
      <c r="E46" s="3" t="s">
        <v>706</v>
      </c>
      <c r="F46" s="3" t="s">
        <v>854</v>
      </c>
    </row>
    <row r="47" spans="1:6" x14ac:dyDescent="0.3">
      <c r="A47" s="3" t="s">
        <v>54</v>
      </c>
      <c r="B47" s="3" t="s">
        <v>34</v>
      </c>
      <c r="C47" s="3" t="str">
        <f t="shared" si="0"/>
        <v>450012818110</v>
      </c>
      <c r="D47" s="4">
        <v>46168</v>
      </c>
      <c r="E47" s="3" t="s">
        <v>705</v>
      </c>
      <c r="F47" s="3" t="s">
        <v>862</v>
      </c>
    </row>
    <row r="48" spans="1:6" x14ac:dyDescent="0.3">
      <c r="A48" s="3" t="s">
        <v>74</v>
      </c>
      <c r="B48" s="3" t="s">
        <v>34</v>
      </c>
      <c r="C48" s="3" t="str">
        <f t="shared" si="0"/>
        <v>450013297010</v>
      </c>
      <c r="D48" s="4">
        <v>46301</v>
      </c>
      <c r="E48" s="3" t="s">
        <v>708</v>
      </c>
      <c r="F48" s="3" t="s">
        <v>863</v>
      </c>
    </row>
    <row r="49" spans="1:6" x14ac:dyDescent="0.3">
      <c r="A49" s="3" t="s">
        <v>634</v>
      </c>
      <c r="B49" s="3" t="s">
        <v>34</v>
      </c>
      <c r="C49" s="3" t="str">
        <f t="shared" si="0"/>
        <v>450013667310</v>
      </c>
      <c r="D49" s="4">
        <v>46305</v>
      </c>
      <c r="E49" s="3" t="s">
        <v>720</v>
      </c>
      <c r="F49" s="3" t="s">
        <v>864</v>
      </c>
    </row>
    <row r="50" spans="1:6" x14ac:dyDescent="0.3">
      <c r="A50" s="3" t="s">
        <v>100</v>
      </c>
      <c r="B50" s="3" t="s">
        <v>34</v>
      </c>
      <c r="C50" s="3" t="str">
        <f t="shared" si="0"/>
        <v>450013947610</v>
      </c>
      <c r="D50" s="4">
        <v>46308</v>
      </c>
      <c r="E50" s="3" t="s">
        <v>708</v>
      </c>
      <c r="F50" s="3" t="s">
        <v>865</v>
      </c>
    </row>
    <row r="51" spans="1:6" x14ac:dyDescent="0.3">
      <c r="A51" s="3" t="s">
        <v>687</v>
      </c>
      <c r="B51" s="3" t="s">
        <v>34</v>
      </c>
      <c r="C51" s="3" t="str">
        <f t="shared" si="0"/>
        <v>450011733410</v>
      </c>
      <c r="D51" s="4">
        <v>46357</v>
      </c>
      <c r="E51" s="3" t="s">
        <v>707</v>
      </c>
      <c r="F51" s="3" t="s">
        <v>866</v>
      </c>
    </row>
    <row r="52" spans="1:6" x14ac:dyDescent="0.3">
      <c r="A52" s="3" t="s">
        <v>264</v>
      </c>
      <c r="B52" s="3" t="s">
        <v>22</v>
      </c>
      <c r="C52" s="3" t="str">
        <f t="shared" si="0"/>
        <v>450012748630</v>
      </c>
      <c r="D52" s="4">
        <v>46287</v>
      </c>
      <c r="E52" s="3" t="s">
        <v>725</v>
      </c>
      <c r="F52" s="3" t="s">
        <v>867</v>
      </c>
    </row>
    <row r="53" spans="1:6" x14ac:dyDescent="0.3">
      <c r="A53" s="3" t="s">
        <v>763</v>
      </c>
      <c r="B53" s="3" t="s">
        <v>22</v>
      </c>
      <c r="C53" s="3" t="str">
        <f t="shared" si="0"/>
        <v>450013834830</v>
      </c>
      <c r="D53" s="4">
        <v>46294</v>
      </c>
      <c r="E53" s="3" t="s">
        <v>706</v>
      </c>
      <c r="F53" s="3" t="s">
        <v>868</v>
      </c>
    </row>
    <row r="54" spans="1:6" x14ac:dyDescent="0.3">
      <c r="A54" s="3" t="s">
        <v>559</v>
      </c>
      <c r="B54" s="3" t="s">
        <v>23</v>
      </c>
      <c r="C54" s="3" t="str">
        <f t="shared" si="0"/>
        <v>450012451950</v>
      </c>
      <c r="D54" s="4">
        <v>46301</v>
      </c>
      <c r="E54" s="3" t="s">
        <v>724</v>
      </c>
      <c r="F54" s="3" t="s">
        <v>869</v>
      </c>
    </row>
    <row r="55" spans="1:6" x14ac:dyDescent="0.3">
      <c r="A55" s="3" t="s">
        <v>425</v>
      </c>
      <c r="B55" s="3" t="s">
        <v>347</v>
      </c>
      <c r="C55" s="3" t="str">
        <f t="shared" si="0"/>
        <v>4500133974180</v>
      </c>
      <c r="D55" s="4">
        <v>46295</v>
      </c>
      <c r="E55" s="3" t="s">
        <v>706</v>
      </c>
      <c r="F55" s="3" t="s">
        <v>870</v>
      </c>
    </row>
    <row r="56" spans="1:6" x14ac:dyDescent="0.3">
      <c r="A56" s="3" t="s">
        <v>510</v>
      </c>
      <c r="B56" s="3" t="s">
        <v>34</v>
      </c>
      <c r="C56" s="3" t="str">
        <f t="shared" si="0"/>
        <v>450013693610</v>
      </c>
      <c r="D56" s="4">
        <v>46290</v>
      </c>
      <c r="E56" s="3" t="s">
        <v>733</v>
      </c>
      <c r="F56" s="3" t="s">
        <v>871</v>
      </c>
    </row>
    <row r="57" spans="1:6" x14ac:dyDescent="0.3">
      <c r="A57" s="3" t="s">
        <v>833</v>
      </c>
      <c r="B57" s="3" t="s">
        <v>26</v>
      </c>
      <c r="C57" s="3" t="str">
        <f t="shared" si="0"/>
        <v>450013968240</v>
      </c>
      <c r="D57" s="4">
        <v>46321</v>
      </c>
      <c r="E57" s="3" t="s">
        <v>738</v>
      </c>
      <c r="F57" s="3" t="s">
        <v>872</v>
      </c>
    </row>
    <row r="58" spans="1:6" x14ac:dyDescent="0.3">
      <c r="A58" s="3" t="s">
        <v>39</v>
      </c>
      <c r="B58" s="3" t="s">
        <v>34</v>
      </c>
      <c r="C58" s="3" t="str">
        <f t="shared" si="0"/>
        <v>450011873510</v>
      </c>
      <c r="D58" s="4">
        <v>46386</v>
      </c>
      <c r="E58" s="3" t="s">
        <v>703</v>
      </c>
      <c r="F58" s="3" t="s">
        <v>873</v>
      </c>
    </row>
    <row r="59" spans="1:6" x14ac:dyDescent="0.3">
      <c r="A59" s="3" t="s">
        <v>39</v>
      </c>
      <c r="B59" s="3" t="s">
        <v>22</v>
      </c>
      <c r="C59" s="3" t="str">
        <f t="shared" si="0"/>
        <v>450011873530</v>
      </c>
      <c r="D59" s="4">
        <v>46386</v>
      </c>
      <c r="E59" s="3" t="s">
        <v>703</v>
      </c>
      <c r="F59" s="3" t="s">
        <v>873</v>
      </c>
    </row>
    <row r="60" spans="1:6" x14ac:dyDescent="0.3">
      <c r="A60" s="3" t="s">
        <v>39</v>
      </c>
      <c r="B60" s="3" t="s">
        <v>26</v>
      </c>
      <c r="C60" s="3" t="str">
        <f t="shared" si="0"/>
        <v>450011873540</v>
      </c>
      <c r="D60" s="4">
        <v>46386</v>
      </c>
      <c r="E60" s="3" t="s">
        <v>703</v>
      </c>
      <c r="F60" s="3" t="s">
        <v>873</v>
      </c>
    </row>
    <row r="61" spans="1:6" x14ac:dyDescent="0.3">
      <c r="A61" s="3" t="s">
        <v>39</v>
      </c>
      <c r="B61" s="3" t="s">
        <v>23</v>
      </c>
      <c r="C61" s="3" t="str">
        <f t="shared" si="0"/>
        <v>450011873550</v>
      </c>
      <c r="D61" s="4">
        <v>46386</v>
      </c>
      <c r="E61" s="3" t="s">
        <v>703</v>
      </c>
      <c r="F61" s="3" t="s">
        <v>873</v>
      </c>
    </row>
    <row r="62" spans="1:6" x14ac:dyDescent="0.3">
      <c r="A62" s="3" t="s">
        <v>39</v>
      </c>
      <c r="B62" s="3" t="s">
        <v>24</v>
      </c>
      <c r="C62" s="3" t="str">
        <f t="shared" si="0"/>
        <v>450011873560</v>
      </c>
      <c r="D62" s="4">
        <v>46386</v>
      </c>
      <c r="E62" s="3" t="s">
        <v>703</v>
      </c>
      <c r="F62" s="3" t="s">
        <v>873</v>
      </c>
    </row>
    <row r="63" spans="1:6" x14ac:dyDescent="0.3">
      <c r="A63" s="3" t="s">
        <v>41</v>
      </c>
      <c r="B63" s="3" t="s">
        <v>34</v>
      </c>
      <c r="C63" s="3" t="str">
        <f t="shared" si="0"/>
        <v>450012002910</v>
      </c>
      <c r="D63" s="4">
        <v>46386</v>
      </c>
      <c r="E63" s="3" t="s">
        <v>703</v>
      </c>
      <c r="F63" s="3" t="s">
        <v>873</v>
      </c>
    </row>
    <row r="64" spans="1:6" x14ac:dyDescent="0.3">
      <c r="A64" s="3" t="s">
        <v>41</v>
      </c>
      <c r="B64" s="3" t="s">
        <v>21</v>
      </c>
      <c r="C64" s="3" t="str">
        <f t="shared" si="0"/>
        <v>450012002920</v>
      </c>
      <c r="D64" s="4">
        <v>46386</v>
      </c>
      <c r="E64" s="3" t="s">
        <v>703</v>
      </c>
      <c r="F64" s="3" t="s">
        <v>873</v>
      </c>
    </row>
    <row r="65" spans="1:6" x14ac:dyDescent="0.3">
      <c r="A65" s="3" t="s">
        <v>41</v>
      </c>
      <c r="B65" s="3" t="s">
        <v>22</v>
      </c>
      <c r="C65" s="3" t="str">
        <f t="shared" si="0"/>
        <v>450012002930</v>
      </c>
      <c r="D65" s="4">
        <v>46386</v>
      </c>
      <c r="E65" s="3" t="s">
        <v>703</v>
      </c>
      <c r="F65" s="3" t="s">
        <v>873</v>
      </c>
    </row>
    <row r="66" spans="1:6" x14ac:dyDescent="0.3">
      <c r="A66" s="3" t="s">
        <v>41</v>
      </c>
      <c r="B66" s="3" t="s">
        <v>26</v>
      </c>
      <c r="C66" s="3" t="str">
        <f t="shared" si="0"/>
        <v>450012002940</v>
      </c>
      <c r="D66" s="4">
        <v>46386</v>
      </c>
      <c r="E66" s="3" t="s">
        <v>703</v>
      </c>
      <c r="F66" s="3" t="s">
        <v>873</v>
      </c>
    </row>
    <row r="67" spans="1:6" x14ac:dyDescent="0.3">
      <c r="A67" s="3" t="s">
        <v>41</v>
      </c>
      <c r="B67" s="3" t="s">
        <v>23</v>
      </c>
      <c r="C67" s="3" t="str">
        <f t="shared" ref="C67:C130" si="1">_xlfn.CONCAT(A67:B67)</f>
        <v>450012002950</v>
      </c>
      <c r="D67" s="4">
        <v>46386</v>
      </c>
      <c r="E67" s="3" t="s">
        <v>703</v>
      </c>
      <c r="F67" s="3" t="s">
        <v>873</v>
      </c>
    </row>
    <row r="68" spans="1:6" x14ac:dyDescent="0.3">
      <c r="A68" s="3" t="s">
        <v>41</v>
      </c>
      <c r="B68" s="3" t="s">
        <v>24</v>
      </c>
      <c r="C68" s="3" t="str">
        <f t="shared" si="1"/>
        <v>450012002960</v>
      </c>
      <c r="D68" s="4">
        <v>46386</v>
      </c>
      <c r="E68" s="3" t="s">
        <v>703</v>
      </c>
      <c r="F68" s="3" t="s">
        <v>873</v>
      </c>
    </row>
    <row r="69" spans="1:6" x14ac:dyDescent="0.3">
      <c r="A69" s="3" t="s">
        <v>85</v>
      </c>
      <c r="B69" s="3" t="s">
        <v>21</v>
      </c>
      <c r="C69" s="3" t="str">
        <f t="shared" si="1"/>
        <v>450012176020</v>
      </c>
      <c r="D69" s="4">
        <v>46322</v>
      </c>
      <c r="E69" s="3" t="s">
        <v>706</v>
      </c>
      <c r="F69" s="3" t="s">
        <v>874</v>
      </c>
    </row>
    <row r="70" spans="1:6" x14ac:dyDescent="0.3">
      <c r="A70" s="3" t="s">
        <v>85</v>
      </c>
      <c r="B70" s="3" t="s">
        <v>25</v>
      </c>
      <c r="C70" s="3" t="str">
        <f t="shared" si="1"/>
        <v>450012176070</v>
      </c>
      <c r="D70" s="4">
        <v>46322</v>
      </c>
      <c r="E70" s="3" t="s">
        <v>706</v>
      </c>
      <c r="F70" s="3" t="s">
        <v>874</v>
      </c>
    </row>
    <row r="71" spans="1:6" x14ac:dyDescent="0.3">
      <c r="A71" s="3" t="s">
        <v>83</v>
      </c>
      <c r="B71" s="3" t="s">
        <v>34</v>
      </c>
      <c r="C71" s="3" t="str">
        <f t="shared" si="1"/>
        <v>450012381510</v>
      </c>
      <c r="D71" s="4">
        <v>46322</v>
      </c>
      <c r="E71" s="3" t="s">
        <v>723</v>
      </c>
      <c r="F71" s="3" t="s">
        <v>874</v>
      </c>
    </row>
    <row r="72" spans="1:6" x14ac:dyDescent="0.3">
      <c r="A72" s="3" t="s">
        <v>559</v>
      </c>
      <c r="B72" s="3" t="s">
        <v>34</v>
      </c>
      <c r="C72" s="3" t="str">
        <f t="shared" si="1"/>
        <v>450012451910</v>
      </c>
      <c r="D72" s="4">
        <v>46301</v>
      </c>
      <c r="E72" s="3" t="s">
        <v>724</v>
      </c>
      <c r="F72" s="3" t="s">
        <v>869</v>
      </c>
    </row>
    <row r="73" spans="1:6" x14ac:dyDescent="0.3">
      <c r="A73" s="3" t="s">
        <v>559</v>
      </c>
      <c r="B73" s="3" t="s">
        <v>26</v>
      </c>
      <c r="C73" s="3" t="str">
        <f t="shared" si="1"/>
        <v>450012451940</v>
      </c>
      <c r="D73" s="4">
        <v>46301</v>
      </c>
      <c r="E73" s="3" t="s">
        <v>724</v>
      </c>
      <c r="F73" s="3" t="s">
        <v>869</v>
      </c>
    </row>
    <row r="74" spans="1:6" x14ac:dyDescent="0.3">
      <c r="A74" s="3" t="s">
        <v>559</v>
      </c>
      <c r="B74" s="3" t="s">
        <v>193</v>
      </c>
      <c r="C74" s="3" t="str">
        <f t="shared" si="1"/>
        <v>4500124519110</v>
      </c>
      <c r="D74" s="4">
        <v>46301</v>
      </c>
      <c r="E74" s="3" t="s">
        <v>724</v>
      </c>
      <c r="F74" s="3" t="s">
        <v>869</v>
      </c>
    </row>
    <row r="75" spans="1:6" x14ac:dyDescent="0.3">
      <c r="A75" s="3" t="s">
        <v>559</v>
      </c>
      <c r="B75" s="3" t="s">
        <v>403</v>
      </c>
      <c r="C75" s="3" t="str">
        <f t="shared" si="1"/>
        <v>4500124519160</v>
      </c>
      <c r="D75" s="4">
        <v>46301</v>
      </c>
      <c r="E75" s="3" t="s">
        <v>724</v>
      </c>
      <c r="F75" s="3" t="s">
        <v>869</v>
      </c>
    </row>
    <row r="76" spans="1:6" x14ac:dyDescent="0.3">
      <c r="A76" s="3" t="s">
        <v>68</v>
      </c>
      <c r="B76" s="3" t="s">
        <v>34</v>
      </c>
      <c r="C76" s="3" t="str">
        <f t="shared" si="1"/>
        <v>450013173210</v>
      </c>
      <c r="D76" s="4">
        <v>46219</v>
      </c>
      <c r="E76" s="3" t="s">
        <v>705</v>
      </c>
      <c r="F76" s="3" t="s">
        <v>855</v>
      </c>
    </row>
    <row r="77" spans="1:6" x14ac:dyDescent="0.3">
      <c r="A77" s="3" t="s">
        <v>68</v>
      </c>
      <c r="B77" s="3" t="s">
        <v>21</v>
      </c>
      <c r="C77" s="3" t="str">
        <f t="shared" si="1"/>
        <v>450013173220</v>
      </c>
      <c r="D77" s="4">
        <v>46219</v>
      </c>
      <c r="E77" s="3" t="s">
        <v>705</v>
      </c>
      <c r="F77" s="3" t="s">
        <v>855</v>
      </c>
    </row>
    <row r="78" spans="1:6" x14ac:dyDescent="0.3">
      <c r="A78" s="3" t="s">
        <v>399</v>
      </c>
      <c r="B78" s="3" t="s">
        <v>400</v>
      </c>
      <c r="C78" s="3" t="str">
        <f t="shared" si="1"/>
        <v>4500132791120</v>
      </c>
      <c r="D78" s="4">
        <v>46315</v>
      </c>
      <c r="E78" s="3" t="s">
        <v>706</v>
      </c>
      <c r="F78" s="3" t="s">
        <v>871</v>
      </c>
    </row>
    <row r="79" spans="1:6" x14ac:dyDescent="0.3">
      <c r="A79" s="3" t="s">
        <v>564</v>
      </c>
      <c r="B79" s="3" t="s">
        <v>34</v>
      </c>
      <c r="C79" s="3" t="str">
        <f t="shared" si="1"/>
        <v>450013724510</v>
      </c>
      <c r="D79" s="4">
        <v>46287</v>
      </c>
      <c r="E79" s="3" t="s">
        <v>706</v>
      </c>
      <c r="F79" s="3" t="s">
        <v>859</v>
      </c>
    </row>
    <row r="80" spans="1:6" x14ac:dyDescent="0.3">
      <c r="A80" s="3" t="s">
        <v>93</v>
      </c>
      <c r="B80" s="3" t="s">
        <v>34</v>
      </c>
      <c r="C80" s="3" t="str">
        <f t="shared" si="1"/>
        <v>450013784910</v>
      </c>
      <c r="D80" s="4">
        <v>46276</v>
      </c>
      <c r="E80" s="3" t="s">
        <v>731</v>
      </c>
      <c r="F80" s="3" t="s">
        <v>875</v>
      </c>
    </row>
    <row r="81" spans="1:6" x14ac:dyDescent="0.3">
      <c r="A81" s="3" t="s">
        <v>1022</v>
      </c>
      <c r="B81" s="3" t="s">
        <v>344</v>
      </c>
      <c r="C81" s="3" t="str">
        <f t="shared" si="1"/>
        <v>450013820690</v>
      </c>
      <c r="D81" s="4">
        <v>46297</v>
      </c>
      <c r="E81" s="3" t="s">
        <v>706</v>
      </c>
      <c r="F81" s="3" t="s">
        <v>859</v>
      </c>
    </row>
    <row r="82" spans="1:6" x14ac:dyDescent="0.3">
      <c r="A82" s="3" t="s">
        <v>629</v>
      </c>
      <c r="B82" s="3" t="s">
        <v>21</v>
      </c>
      <c r="C82" s="3" t="str">
        <f t="shared" si="1"/>
        <v>450013913420</v>
      </c>
      <c r="D82" s="4">
        <v>46297</v>
      </c>
      <c r="E82" s="3" t="s">
        <v>736</v>
      </c>
      <c r="F82" s="3" t="s">
        <v>871</v>
      </c>
    </row>
    <row r="83" spans="1:6" x14ac:dyDescent="0.3">
      <c r="A83" s="3" t="s">
        <v>807</v>
      </c>
      <c r="B83" s="3" t="s">
        <v>26</v>
      </c>
      <c r="C83" s="3" t="str">
        <f t="shared" si="1"/>
        <v>450008523440</v>
      </c>
      <c r="D83" s="4">
        <v>46326</v>
      </c>
      <c r="E83" s="3" t="s">
        <v>703</v>
      </c>
      <c r="F83" s="3" t="s">
        <v>848</v>
      </c>
    </row>
    <row r="84" spans="1:6" x14ac:dyDescent="0.3">
      <c r="A84" s="3" t="s">
        <v>807</v>
      </c>
      <c r="B84" s="3" t="s">
        <v>23</v>
      </c>
      <c r="C84" s="3" t="str">
        <f t="shared" si="1"/>
        <v>450008523450</v>
      </c>
      <c r="D84" s="4">
        <v>46326</v>
      </c>
      <c r="E84" s="3" t="s">
        <v>703</v>
      </c>
      <c r="F84" s="3" t="s">
        <v>848</v>
      </c>
    </row>
    <row r="85" spans="1:6" x14ac:dyDescent="0.3">
      <c r="A85" s="3" t="s">
        <v>331</v>
      </c>
      <c r="B85" s="3" t="s">
        <v>34</v>
      </c>
      <c r="C85" s="3" t="str">
        <f t="shared" si="1"/>
        <v>450010123710</v>
      </c>
      <c r="D85" s="4">
        <v>45824</v>
      </c>
      <c r="E85" s="3" t="s">
        <v>704</v>
      </c>
      <c r="F85" s="3" t="s">
        <v>876</v>
      </c>
    </row>
    <row r="86" spans="1:6" x14ac:dyDescent="0.3">
      <c r="A86" s="3" t="s">
        <v>656</v>
      </c>
      <c r="B86" s="3" t="s">
        <v>34</v>
      </c>
      <c r="C86" s="3" t="str">
        <f t="shared" si="1"/>
        <v>450010157010</v>
      </c>
      <c r="D86" s="4">
        <v>46325</v>
      </c>
      <c r="E86" s="3" t="s">
        <v>703</v>
      </c>
      <c r="F86" s="3" t="s">
        <v>877</v>
      </c>
    </row>
    <row r="87" spans="1:6" x14ac:dyDescent="0.3">
      <c r="A87" s="3" t="s">
        <v>317</v>
      </c>
      <c r="B87" s="3" t="s">
        <v>34</v>
      </c>
      <c r="C87" s="3" t="str">
        <f t="shared" si="1"/>
        <v>450011173210</v>
      </c>
      <c r="D87" s="4">
        <v>45973</v>
      </c>
      <c r="E87" s="3" t="s">
        <v>705</v>
      </c>
      <c r="F87" s="3" t="s">
        <v>878</v>
      </c>
    </row>
    <row r="88" spans="1:6" x14ac:dyDescent="0.3">
      <c r="A88" s="3" t="s">
        <v>317</v>
      </c>
      <c r="B88" s="3" t="s">
        <v>21</v>
      </c>
      <c r="C88" s="3" t="str">
        <f t="shared" si="1"/>
        <v>450011173220</v>
      </c>
      <c r="D88" s="4">
        <v>45971</v>
      </c>
      <c r="E88" s="3" t="s">
        <v>705</v>
      </c>
      <c r="F88" s="3" t="s">
        <v>878</v>
      </c>
    </row>
    <row r="89" spans="1:6" x14ac:dyDescent="0.3">
      <c r="A89" s="3" t="s">
        <v>317</v>
      </c>
      <c r="B89" s="3" t="s">
        <v>22</v>
      </c>
      <c r="C89" s="3" t="str">
        <f t="shared" si="1"/>
        <v>450011173230</v>
      </c>
      <c r="D89" s="4">
        <v>45971</v>
      </c>
      <c r="E89" s="3" t="s">
        <v>705</v>
      </c>
      <c r="F89" s="3" t="s">
        <v>878</v>
      </c>
    </row>
    <row r="90" spans="1:6" x14ac:dyDescent="0.3">
      <c r="A90" s="3" t="s">
        <v>319</v>
      </c>
      <c r="B90" s="3" t="s">
        <v>23</v>
      </c>
      <c r="C90" s="3" t="str">
        <f t="shared" si="1"/>
        <v>450011181950</v>
      </c>
      <c r="D90" s="4">
        <v>45974</v>
      </c>
      <c r="E90" s="3" t="s">
        <v>705</v>
      </c>
      <c r="F90" s="3" t="s">
        <v>879</v>
      </c>
    </row>
    <row r="91" spans="1:6" x14ac:dyDescent="0.3">
      <c r="A91" s="3" t="s">
        <v>319</v>
      </c>
      <c r="B91" s="3" t="s">
        <v>24</v>
      </c>
      <c r="C91" s="3" t="str">
        <f t="shared" si="1"/>
        <v>450011181960</v>
      </c>
      <c r="D91" s="4">
        <v>45974</v>
      </c>
      <c r="E91" s="3" t="s">
        <v>705</v>
      </c>
      <c r="F91" s="3" t="s">
        <v>879</v>
      </c>
    </row>
    <row r="92" spans="1:6" x14ac:dyDescent="0.3">
      <c r="A92" s="3" t="s">
        <v>298</v>
      </c>
      <c r="B92" s="3" t="s">
        <v>34</v>
      </c>
      <c r="C92" s="3" t="str">
        <f t="shared" si="1"/>
        <v>450011435610</v>
      </c>
      <c r="D92" s="4">
        <v>46203</v>
      </c>
      <c r="E92" s="3" t="s">
        <v>706</v>
      </c>
      <c r="F92" s="3" t="s">
        <v>880</v>
      </c>
    </row>
    <row r="93" spans="1:6" x14ac:dyDescent="0.3">
      <c r="A93" s="3" t="s">
        <v>298</v>
      </c>
      <c r="B93" s="3" t="s">
        <v>21</v>
      </c>
      <c r="C93" s="3" t="str">
        <f t="shared" si="1"/>
        <v>450011435620</v>
      </c>
      <c r="D93" s="4">
        <v>46108</v>
      </c>
      <c r="E93" s="3" t="s">
        <v>706</v>
      </c>
      <c r="F93" s="3" t="s">
        <v>880</v>
      </c>
    </row>
    <row r="94" spans="1:6" x14ac:dyDescent="0.3">
      <c r="A94" s="3" t="s">
        <v>298</v>
      </c>
      <c r="B94" s="3" t="s">
        <v>22</v>
      </c>
      <c r="C94" s="3" t="str">
        <f t="shared" si="1"/>
        <v>450011435630</v>
      </c>
      <c r="D94" s="4">
        <v>46108</v>
      </c>
      <c r="E94" s="3" t="s">
        <v>706</v>
      </c>
      <c r="F94" s="3" t="s">
        <v>880</v>
      </c>
    </row>
    <row r="95" spans="1:6" x14ac:dyDescent="0.3">
      <c r="A95" s="3" t="s">
        <v>298</v>
      </c>
      <c r="B95" s="3" t="s">
        <v>26</v>
      </c>
      <c r="C95" s="3" t="str">
        <f t="shared" si="1"/>
        <v>450011435640</v>
      </c>
      <c r="D95" s="4">
        <v>46108</v>
      </c>
      <c r="E95" s="3" t="s">
        <v>706</v>
      </c>
      <c r="F95" s="3" t="s">
        <v>880</v>
      </c>
    </row>
    <row r="96" spans="1:6" x14ac:dyDescent="0.3">
      <c r="A96" s="3" t="s">
        <v>293</v>
      </c>
      <c r="B96" s="3" t="s">
        <v>34</v>
      </c>
      <c r="C96" s="3" t="str">
        <f t="shared" si="1"/>
        <v>450011551610</v>
      </c>
      <c r="D96" s="4">
        <v>46027</v>
      </c>
      <c r="E96" s="3" t="s">
        <v>705</v>
      </c>
      <c r="F96" s="3" t="s">
        <v>881</v>
      </c>
    </row>
    <row r="97" spans="1:6" x14ac:dyDescent="0.3">
      <c r="A97" s="3" t="s">
        <v>295</v>
      </c>
      <c r="B97" s="3" t="s">
        <v>21</v>
      </c>
      <c r="C97" s="3" t="str">
        <f t="shared" si="1"/>
        <v>450011608220</v>
      </c>
      <c r="D97" s="4">
        <v>46031</v>
      </c>
      <c r="E97" s="3" t="s">
        <v>705</v>
      </c>
      <c r="F97" s="3" t="s">
        <v>863</v>
      </c>
    </row>
    <row r="98" spans="1:6" x14ac:dyDescent="0.3">
      <c r="A98" s="3" t="s">
        <v>295</v>
      </c>
      <c r="B98" s="3" t="s">
        <v>22</v>
      </c>
      <c r="C98" s="3" t="str">
        <f t="shared" si="1"/>
        <v>450011608230</v>
      </c>
      <c r="D98" s="4">
        <v>46031</v>
      </c>
      <c r="E98" s="3" t="s">
        <v>705</v>
      </c>
      <c r="F98" s="3" t="s">
        <v>863</v>
      </c>
    </row>
    <row r="99" spans="1:6" x14ac:dyDescent="0.3">
      <c r="A99" s="3" t="s">
        <v>393</v>
      </c>
      <c r="B99" s="3" t="s">
        <v>34</v>
      </c>
      <c r="C99" s="3" t="str">
        <f t="shared" si="1"/>
        <v>450011638910</v>
      </c>
      <c r="D99" s="4">
        <v>46142</v>
      </c>
      <c r="E99" s="3" t="s">
        <v>706</v>
      </c>
      <c r="F99" s="3" t="s">
        <v>882</v>
      </c>
    </row>
    <row r="100" spans="1:6" x14ac:dyDescent="0.3">
      <c r="A100" s="3" t="s">
        <v>393</v>
      </c>
      <c r="B100" s="3" t="s">
        <v>21</v>
      </c>
      <c r="C100" s="3" t="str">
        <f t="shared" si="1"/>
        <v>450011638920</v>
      </c>
      <c r="D100" s="4">
        <v>46203</v>
      </c>
      <c r="E100" s="3" t="s">
        <v>706</v>
      </c>
      <c r="F100" s="3" t="s">
        <v>882</v>
      </c>
    </row>
    <row r="101" spans="1:6" x14ac:dyDescent="0.3">
      <c r="A101" s="3" t="s">
        <v>393</v>
      </c>
      <c r="B101" s="3" t="s">
        <v>22</v>
      </c>
      <c r="C101" s="3" t="str">
        <f t="shared" si="1"/>
        <v>450011638930</v>
      </c>
      <c r="D101" s="4">
        <v>46203</v>
      </c>
      <c r="E101" s="3" t="s">
        <v>706</v>
      </c>
      <c r="F101" s="3" t="s">
        <v>882</v>
      </c>
    </row>
    <row r="102" spans="1:6" x14ac:dyDescent="0.3">
      <c r="A102" s="3" t="s">
        <v>393</v>
      </c>
      <c r="B102" s="3" t="s">
        <v>26</v>
      </c>
      <c r="C102" s="3" t="str">
        <f t="shared" si="1"/>
        <v>450011638940</v>
      </c>
      <c r="D102" s="4">
        <v>46203</v>
      </c>
      <c r="E102" s="3" t="s">
        <v>706</v>
      </c>
      <c r="F102" s="3" t="s">
        <v>882</v>
      </c>
    </row>
    <row r="103" spans="1:6" x14ac:dyDescent="0.3">
      <c r="A103" s="3" t="s">
        <v>393</v>
      </c>
      <c r="B103" s="3" t="s">
        <v>23</v>
      </c>
      <c r="C103" s="3" t="str">
        <f t="shared" si="1"/>
        <v>450011638950</v>
      </c>
      <c r="D103" s="4">
        <v>46203</v>
      </c>
      <c r="E103" s="3" t="s">
        <v>706</v>
      </c>
      <c r="F103" s="3" t="s">
        <v>882</v>
      </c>
    </row>
    <row r="104" spans="1:6" x14ac:dyDescent="0.3">
      <c r="A104" s="3" t="s">
        <v>393</v>
      </c>
      <c r="B104" s="3" t="s">
        <v>24</v>
      </c>
      <c r="C104" s="3" t="str">
        <f t="shared" si="1"/>
        <v>450011638960</v>
      </c>
      <c r="D104" s="4">
        <v>46203</v>
      </c>
      <c r="E104" s="3" t="s">
        <v>706</v>
      </c>
      <c r="F104" s="3" t="s">
        <v>882</v>
      </c>
    </row>
    <row r="105" spans="1:6" x14ac:dyDescent="0.3">
      <c r="A105" s="3" t="s">
        <v>393</v>
      </c>
      <c r="B105" s="3" t="s">
        <v>25</v>
      </c>
      <c r="C105" s="3" t="str">
        <f t="shared" si="1"/>
        <v>450011638970</v>
      </c>
      <c r="D105" s="4">
        <v>46203</v>
      </c>
      <c r="E105" s="3" t="s">
        <v>706</v>
      </c>
      <c r="F105" s="3" t="s">
        <v>882</v>
      </c>
    </row>
    <row r="106" spans="1:6" x14ac:dyDescent="0.3">
      <c r="A106" s="3" t="s">
        <v>393</v>
      </c>
      <c r="B106" s="3" t="s">
        <v>343</v>
      </c>
      <c r="C106" s="3" t="str">
        <f t="shared" si="1"/>
        <v>450011638980</v>
      </c>
      <c r="D106" s="4">
        <v>46203</v>
      </c>
      <c r="E106" s="3" t="s">
        <v>706</v>
      </c>
      <c r="F106" s="3" t="s">
        <v>882</v>
      </c>
    </row>
    <row r="107" spans="1:6" x14ac:dyDescent="0.3">
      <c r="A107" s="3" t="s">
        <v>393</v>
      </c>
      <c r="B107" s="3" t="s">
        <v>344</v>
      </c>
      <c r="C107" s="3" t="str">
        <f t="shared" si="1"/>
        <v>450011638990</v>
      </c>
      <c r="D107" s="4">
        <v>46203</v>
      </c>
      <c r="E107" s="3" t="s">
        <v>706</v>
      </c>
      <c r="F107" s="3" t="s">
        <v>882</v>
      </c>
    </row>
    <row r="108" spans="1:6" x14ac:dyDescent="0.3">
      <c r="A108" s="3" t="s">
        <v>393</v>
      </c>
      <c r="B108" s="3" t="s">
        <v>345</v>
      </c>
      <c r="C108" s="3" t="str">
        <f t="shared" si="1"/>
        <v>4500116389100</v>
      </c>
      <c r="D108" s="4">
        <v>46238</v>
      </c>
      <c r="E108" s="3" t="s">
        <v>706</v>
      </c>
      <c r="F108" s="3" t="s">
        <v>882</v>
      </c>
    </row>
    <row r="109" spans="1:6" x14ac:dyDescent="0.3">
      <c r="A109" s="3" t="s">
        <v>393</v>
      </c>
      <c r="B109" s="3" t="s">
        <v>193</v>
      </c>
      <c r="C109" s="3" t="str">
        <f t="shared" si="1"/>
        <v>4500116389110</v>
      </c>
      <c r="D109" s="4">
        <v>46203</v>
      </c>
      <c r="E109" s="3" t="s">
        <v>706</v>
      </c>
      <c r="F109" s="3" t="s">
        <v>882</v>
      </c>
    </row>
    <row r="110" spans="1:6" x14ac:dyDescent="0.3">
      <c r="A110" s="3" t="s">
        <v>393</v>
      </c>
      <c r="B110" s="3" t="s">
        <v>400</v>
      </c>
      <c r="C110" s="3" t="str">
        <f t="shared" si="1"/>
        <v>4500116389120</v>
      </c>
      <c r="D110" s="4">
        <v>46203</v>
      </c>
      <c r="E110" s="3" t="s">
        <v>706</v>
      </c>
      <c r="F110" s="3" t="s">
        <v>882</v>
      </c>
    </row>
    <row r="111" spans="1:6" x14ac:dyDescent="0.3">
      <c r="A111" s="3" t="s">
        <v>393</v>
      </c>
      <c r="B111" s="3" t="s">
        <v>221</v>
      </c>
      <c r="C111" s="3" t="str">
        <f t="shared" si="1"/>
        <v>4500116389130</v>
      </c>
      <c r="D111" s="4">
        <v>46203</v>
      </c>
      <c r="E111" s="3" t="s">
        <v>706</v>
      </c>
      <c r="F111" s="3" t="s">
        <v>882</v>
      </c>
    </row>
    <row r="112" spans="1:6" x14ac:dyDescent="0.3">
      <c r="A112" s="3" t="s">
        <v>393</v>
      </c>
      <c r="B112" s="3" t="s">
        <v>401</v>
      </c>
      <c r="C112" s="3" t="str">
        <f t="shared" si="1"/>
        <v>4500116389140</v>
      </c>
      <c r="D112" s="4">
        <v>46203</v>
      </c>
      <c r="E112" s="3" t="s">
        <v>706</v>
      </c>
      <c r="F112" s="3" t="s">
        <v>882</v>
      </c>
    </row>
    <row r="113" spans="1:6" x14ac:dyDescent="0.3">
      <c r="A113" s="3" t="s">
        <v>393</v>
      </c>
      <c r="B113" s="3" t="s">
        <v>402</v>
      </c>
      <c r="C113" s="3" t="str">
        <f t="shared" si="1"/>
        <v>4500116389150</v>
      </c>
      <c r="D113" s="4">
        <v>46203</v>
      </c>
      <c r="E113" s="3" t="s">
        <v>706</v>
      </c>
      <c r="F113" s="3" t="s">
        <v>882</v>
      </c>
    </row>
    <row r="114" spans="1:6" x14ac:dyDescent="0.3">
      <c r="A114" s="3" t="s">
        <v>393</v>
      </c>
      <c r="B114" s="3" t="s">
        <v>403</v>
      </c>
      <c r="C114" s="3" t="str">
        <f t="shared" si="1"/>
        <v>4500116389160</v>
      </c>
      <c r="D114" s="4">
        <v>46203</v>
      </c>
      <c r="E114" s="3" t="s">
        <v>706</v>
      </c>
      <c r="F114" s="3" t="s">
        <v>882</v>
      </c>
    </row>
    <row r="115" spans="1:6" x14ac:dyDescent="0.3">
      <c r="A115" s="3" t="s">
        <v>393</v>
      </c>
      <c r="B115" s="3" t="s">
        <v>346</v>
      </c>
      <c r="C115" s="3" t="str">
        <f t="shared" si="1"/>
        <v>4500116389170</v>
      </c>
      <c r="D115" s="4">
        <v>46203</v>
      </c>
      <c r="E115" s="3" t="s">
        <v>706</v>
      </c>
      <c r="F115" s="3" t="s">
        <v>882</v>
      </c>
    </row>
    <row r="116" spans="1:6" x14ac:dyDescent="0.3">
      <c r="A116" s="3" t="s">
        <v>393</v>
      </c>
      <c r="B116" s="3" t="s">
        <v>347</v>
      </c>
      <c r="C116" s="3" t="str">
        <f t="shared" si="1"/>
        <v>4500116389180</v>
      </c>
      <c r="D116" s="4">
        <v>46203</v>
      </c>
      <c r="E116" s="3" t="s">
        <v>706</v>
      </c>
      <c r="F116" s="3" t="s">
        <v>882</v>
      </c>
    </row>
    <row r="117" spans="1:6" x14ac:dyDescent="0.3">
      <c r="A117" s="3" t="s">
        <v>393</v>
      </c>
      <c r="B117" s="3" t="s">
        <v>404</v>
      </c>
      <c r="C117" s="3" t="str">
        <f t="shared" si="1"/>
        <v>4500116389190</v>
      </c>
      <c r="D117" s="4">
        <v>46203</v>
      </c>
      <c r="E117" s="3" t="s">
        <v>706</v>
      </c>
      <c r="F117" s="3" t="s">
        <v>882</v>
      </c>
    </row>
    <row r="118" spans="1:6" x14ac:dyDescent="0.3">
      <c r="A118" s="3" t="s">
        <v>393</v>
      </c>
      <c r="B118" s="3" t="s">
        <v>405</v>
      </c>
      <c r="C118" s="3" t="str">
        <f t="shared" si="1"/>
        <v>4500116389200</v>
      </c>
      <c r="D118" s="4">
        <v>46203</v>
      </c>
      <c r="E118" s="3" t="s">
        <v>706</v>
      </c>
      <c r="F118" s="3" t="s">
        <v>882</v>
      </c>
    </row>
    <row r="119" spans="1:6" x14ac:dyDescent="0.3">
      <c r="A119" s="3" t="s">
        <v>393</v>
      </c>
      <c r="B119" s="3" t="s">
        <v>348</v>
      </c>
      <c r="C119" s="3" t="str">
        <f t="shared" si="1"/>
        <v>4500116389210</v>
      </c>
      <c r="D119" s="4">
        <v>46203</v>
      </c>
      <c r="E119" s="3" t="s">
        <v>706</v>
      </c>
      <c r="F119" s="3" t="s">
        <v>882</v>
      </c>
    </row>
    <row r="120" spans="1:6" x14ac:dyDescent="0.3">
      <c r="A120" s="3" t="s">
        <v>393</v>
      </c>
      <c r="B120" s="3" t="s">
        <v>441</v>
      </c>
      <c r="C120" s="3" t="str">
        <f t="shared" si="1"/>
        <v>4500116389220</v>
      </c>
      <c r="D120" s="4">
        <v>46203</v>
      </c>
      <c r="E120" s="3" t="s">
        <v>706</v>
      </c>
      <c r="F120" s="3" t="s">
        <v>882</v>
      </c>
    </row>
    <row r="121" spans="1:6" x14ac:dyDescent="0.3">
      <c r="A121" s="3" t="s">
        <v>393</v>
      </c>
      <c r="B121" s="3" t="s">
        <v>349</v>
      </c>
      <c r="C121" s="3" t="str">
        <f t="shared" si="1"/>
        <v>4500116389230</v>
      </c>
      <c r="D121" s="4">
        <v>46203</v>
      </c>
      <c r="E121" s="3" t="s">
        <v>706</v>
      </c>
      <c r="F121" s="3" t="s">
        <v>882</v>
      </c>
    </row>
    <row r="122" spans="1:6" x14ac:dyDescent="0.3">
      <c r="A122" s="3" t="s">
        <v>393</v>
      </c>
      <c r="B122" s="3" t="s">
        <v>350</v>
      </c>
      <c r="C122" s="3" t="str">
        <f t="shared" si="1"/>
        <v>4500116389240</v>
      </c>
      <c r="D122" s="4">
        <v>46203</v>
      </c>
      <c r="E122" s="3" t="s">
        <v>706</v>
      </c>
      <c r="F122" s="3" t="s">
        <v>882</v>
      </c>
    </row>
    <row r="123" spans="1:6" x14ac:dyDescent="0.3">
      <c r="A123" s="3" t="s">
        <v>30</v>
      </c>
      <c r="B123" s="3" t="s">
        <v>34</v>
      </c>
      <c r="C123" s="3" t="str">
        <f t="shared" si="1"/>
        <v>450011645110</v>
      </c>
      <c r="D123" s="4">
        <v>46042</v>
      </c>
      <c r="E123" s="3" t="s">
        <v>705</v>
      </c>
      <c r="F123" s="3" t="s">
        <v>878</v>
      </c>
    </row>
    <row r="124" spans="1:6" x14ac:dyDescent="0.3">
      <c r="A124" s="3" t="s">
        <v>30</v>
      </c>
      <c r="B124" s="3" t="s">
        <v>21</v>
      </c>
      <c r="C124" s="3" t="str">
        <f t="shared" si="1"/>
        <v>450011645120</v>
      </c>
      <c r="D124" s="4">
        <v>46042</v>
      </c>
      <c r="E124" s="3" t="s">
        <v>705</v>
      </c>
      <c r="F124" s="3" t="s">
        <v>878</v>
      </c>
    </row>
    <row r="125" spans="1:6" x14ac:dyDescent="0.3">
      <c r="A125" s="3" t="s">
        <v>30</v>
      </c>
      <c r="B125" s="3" t="s">
        <v>22</v>
      </c>
      <c r="C125" s="3" t="str">
        <f t="shared" si="1"/>
        <v>450011645130</v>
      </c>
      <c r="D125" s="4">
        <v>46042</v>
      </c>
      <c r="E125" s="3" t="s">
        <v>705</v>
      </c>
      <c r="F125" s="3" t="s">
        <v>878</v>
      </c>
    </row>
    <row r="126" spans="1:6" x14ac:dyDescent="0.3">
      <c r="A126" s="3" t="s">
        <v>30</v>
      </c>
      <c r="B126" s="3" t="s">
        <v>26</v>
      </c>
      <c r="C126" s="3" t="str">
        <f t="shared" si="1"/>
        <v>450011645140</v>
      </c>
      <c r="D126" s="4">
        <v>46042</v>
      </c>
      <c r="E126" s="3" t="s">
        <v>705</v>
      </c>
      <c r="F126" s="3" t="s">
        <v>878</v>
      </c>
    </row>
    <row r="127" spans="1:6" x14ac:dyDescent="0.3">
      <c r="A127" s="3" t="s">
        <v>109</v>
      </c>
      <c r="B127" s="3" t="s">
        <v>34</v>
      </c>
      <c r="C127" s="3" t="str">
        <f t="shared" si="1"/>
        <v>450011680010</v>
      </c>
      <c r="D127" s="4">
        <v>46065</v>
      </c>
      <c r="E127" s="3" t="s">
        <v>710</v>
      </c>
      <c r="F127" s="3" t="s">
        <v>850</v>
      </c>
    </row>
    <row r="128" spans="1:6" x14ac:dyDescent="0.3">
      <c r="A128" s="3" t="s">
        <v>164</v>
      </c>
      <c r="B128" s="3" t="s">
        <v>34</v>
      </c>
      <c r="C128" s="3" t="str">
        <f t="shared" si="1"/>
        <v>450011780310</v>
      </c>
      <c r="D128" s="4">
        <v>46092</v>
      </c>
      <c r="E128" s="3" t="s">
        <v>706</v>
      </c>
      <c r="F128" s="3" t="s">
        <v>859</v>
      </c>
    </row>
    <row r="129" spans="1:6" x14ac:dyDescent="0.3">
      <c r="A129" s="3" t="s">
        <v>164</v>
      </c>
      <c r="B129" s="3" t="s">
        <v>21</v>
      </c>
      <c r="C129" s="3" t="str">
        <f t="shared" si="1"/>
        <v>450011780320</v>
      </c>
      <c r="D129" s="4">
        <v>46092</v>
      </c>
      <c r="E129" s="3" t="s">
        <v>706</v>
      </c>
      <c r="F129" s="3" t="s">
        <v>859</v>
      </c>
    </row>
    <row r="130" spans="1:6" x14ac:dyDescent="0.3">
      <c r="A130" s="3" t="s">
        <v>33</v>
      </c>
      <c r="B130" s="3" t="s">
        <v>34</v>
      </c>
      <c r="C130" s="3" t="str">
        <f t="shared" si="1"/>
        <v>450011789910</v>
      </c>
      <c r="D130" s="4">
        <v>46059</v>
      </c>
      <c r="E130" s="3" t="s">
        <v>708</v>
      </c>
      <c r="F130" s="3" t="s">
        <v>883</v>
      </c>
    </row>
    <row r="131" spans="1:6" x14ac:dyDescent="0.3">
      <c r="A131" s="3" t="s">
        <v>156</v>
      </c>
      <c r="B131" s="3" t="s">
        <v>21</v>
      </c>
      <c r="C131" s="3" t="str">
        <f t="shared" ref="C131:C194" si="2">_xlfn.CONCAT(A131:B131)</f>
        <v>450011860420</v>
      </c>
      <c r="D131" s="4">
        <v>46173</v>
      </c>
      <c r="E131" s="3" t="s">
        <v>709</v>
      </c>
      <c r="F131" s="3" t="s">
        <v>884</v>
      </c>
    </row>
    <row r="132" spans="1:6" x14ac:dyDescent="0.3">
      <c r="A132" s="3" t="s">
        <v>113</v>
      </c>
      <c r="B132" s="3" t="s">
        <v>34</v>
      </c>
      <c r="C132" s="3" t="str">
        <f t="shared" si="2"/>
        <v>450011865410</v>
      </c>
      <c r="D132" s="4">
        <v>46063</v>
      </c>
      <c r="E132" s="3" t="s">
        <v>705</v>
      </c>
      <c r="F132" s="3" t="s">
        <v>885</v>
      </c>
    </row>
    <row r="133" spans="1:6" x14ac:dyDescent="0.3">
      <c r="A133" s="3" t="s">
        <v>186</v>
      </c>
      <c r="B133" s="3" t="s">
        <v>34</v>
      </c>
      <c r="C133" s="3" t="str">
        <f t="shared" si="2"/>
        <v>450011868210</v>
      </c>
      <c r="D133" s="4">
        <v>46108</v>
      </c>
      <c r="E133" s="3" t="s">
        <v>704</v>
      </c>
      <c r="F133" s="3" t="s">
        <v>886</v>
      </c>
    </row>
    <row r="134" spans="1:6" x14ac:dyDescent="0.3">
      <c r="A134" s="3" t="s">
        <v>160</v>
      </c>
      <c r="B134" s="3" t="s">
        <v>34</v>
      </c>
      <c r="C134" s="3" t="str">
        <f t="shared" si="2"/>
        <v>450011888510</v>
      </c>
      <c r="D134" s="4">
        <v>46096</v>
      </c>
      <c r="E134" s="3" t="s">
        <v>704</v>
      </c>
      <c r="F134" s="3" t="s">
        <v>887</v>
      </c>
    </row>
    <row r="135" spans="1:6" x14ac:dyDescent="0.3">
      <c r="A135" s="3" t="s">
        <v>117</v>
      </c>
      <c r="B135" s="3" t="s">
        <v>34</v>
      </c>
      <c r="C135" s="3" t="str">
        <f t="shared" si="2"/>
        <v>450011888610</v>
      </c>
      <c r="D135" s="4">
        <v>46063</v>
      </c>
      <c r="E135" s="3" t="s">
        <v>705</v>
      </c>
      <c r="F135" s="3" t="s">
        <v>888</v>
      </c>
    </row>
    <row r="136" spans="1:6" x14ac:dyDescent="0.3">
      <c r="A136" s="3" t="s">
        <v>147</v>
      </c>
      <c r="B136" s="3" t="s">
        <v>34</v>
      </c>
      <c r="C136" s="3" t="str">
        <f t="shared" si="2"/>
        <v>450011890610</v>
      </c>
      <c r="D136" s="4">
        <v>46096</v>
      </c>
      <c r="E136" s="3" t="s">
        <v>722</v>
      </c>
      <c r="F136" s="3" t="s">
        <v>889</v>
      </c>
    </row>
    <row r="137" spans="1:6" x14ac:dyDescent="0.3">
      <c r="A137" s="3" t="s">
        <v>127</v>
      </c>
      <c r="B137" s="3" t="s">
        <v>34</v>
      </c>
      <c r="C137" s="3" t="str">
        <f t="shared" si="2"/>
        <v>450011902910</v>
      </c>
      <c r="D137" s="4">
        <v>46058</v>
      </c>
      <c r="E137" s="3" t="s">
        <v>706</v>
      </c>
      <c r="F137" s="3" t="s">
        <v>890</v>
      </c>
    </row>
    <row r="138" spans="1:6" x14ac:dyDescent="0.3">
      <c r="A138" s="3" t="s">
        <v>128</v>
      </c>
      <c r="B138" s="3" t="s">
        <v>34</v>
      </c>
      <c r="C138" s="3" t="str">
        <f t="shared" si="2"/>
        <v>450011903210</v>
      </c>
      <c r="D138" s="4">
        <v>46048</v>
      </c>
      <c r="E138" s="3" t="s">
        <v>706</v>
      </c>
      <c r="F138" s="3" t="s">
        <v>890</v>
      </c>
    </row>
    <row r="139" spans="1:6" x14ac:dyDescent="0.3">
      <c r="A139" s="3" t="s">
        <v>119</v>
      </c>
      <c r="B139" s="3" t="s">
        <v>34</v>
      </c>
      <c r="C139" s="3" t="str">
        <f t="shared" si="2"/>
        <v>450011903410</v>
      </c>
      <c r="D139" s="4">
        <v>46065</v>
      </c>
      <c r="E139" s="3" t="s">
        <v>710</v>
      </c>
      <c r="F139" s="3" t="s">
        <v>850</v>
      </c>
    </row>
    <row r="140" spans="1:6" x14ac:dyDescent="0.3">
      <c r="A140" s="3" t="s">
        <v>122</v>
      </c>
      <c r="B140" s="3" t="s">
        <v>34</v>
      </c>
      <c r="C140" s="3" t="str">
        <f t="shared" si="2"/>
        <v>450011904510</v>
      </c>
      <c r="D140" s="4">
        <v>46065</v>
      </c>
      <c r="E140" s="3" t="s">
        <v>710</v>
      </c>
      <c r="F140" s="3" t="s">
        <v>842</v>
      </c>
    </row>
    <row r="141" spans="1:6" x14ac:dyDescent="0.3">
      <c r="A141" s="3" t="s">
        <v>180</v>
      </c>
      <c r="B141" s="3" t="s">
        <v>34</v>
      </c>
      <c r="C141" s="3" t="str">
        <f t="shared" si="2"/>
        <v>450011911710</v>
      </c>
      <c r="D141" s="4">
        <v>46245</v>
      </c>
      <c r="E141" s="3" t="s">
        <v>710</v>
      </c>
      <c r="F141" s="3" t="s">
        <v>850</v>
      </c>
    </row>
    <row r="142" spans="1:6" x14ac:dyDescent="0.3">
      <c r="A142" s="3" t="s">
        <v>131</v>
      </c>
      <c r="B142" s="3" t="s">
        <v>34</v>
      </c>
      <c r="C142" s="3" t="str">
        <f t="shared" si="2"/>
        <v>450011915910</v>
      </c>
      <c r="D142" s="4">
        <v>46063</v>
      </c>
      <c r="E142" s="3" t="s">
        <v>704</v>
      </c>
      <c r="F142" s="3" t="s">
        <v>879</v>
      </c>
    </row>
    <row r="143" spans="1:6" x14ac:dyDescent="0.3">
      <c r="A143" s="3" t="s">
        <v>124</v>
      </c>
      <c r="B143" s="3" t="s">
        <v>34</v>
      </c>
      <c r="C143" s="3" t="str">
        <f t="shared" si="2"/>
        <v>450011917410</v>
      </c>
      <c r="D143" s="4">
        <v>46065</v>
      </c>
      <c r="E143" s="3" t="s">
        <v>710</v>
      </c>
      <c r="F143" s="3" t="s">
        <v>842</v>
      </c>
    </row>
    <row r="144" spans="1:6" x14ac:dyDescent="0.3">
      <c r="A144" s="3" t="s">
        <v>133</v>
      </c>
      <c r="B144" s="3" t="s">
        <v>34</v>
      </c>
      <c r="C144" s="3" t="str">
        <f t="shared" si="2"/>
        <v>450011926310</v>
      </c>
      <c r="D144" s="4">
        <v>46065</v>
      </c>
      <c r="E144" s="3" t="s">
        <v>710</v>
      </c>
      <c r="F144" s="3" t="s">
        <v>842</v>
      </c>
    </row>
    <row r="145" spans="1:6" x14ac:dyDescent="0.3">
      <c r="A145" s="3" t="s">
        <v>135</v>
      </c>
      <c r="B145" s="3" t="s">
        <v>34</v>
      </c>
      <c r="C145" s="3" t="str">
        <f t="shared" si="2"/>
        <v>450011941310</v>
      </c>
      <c r="D145" s="4">
        <v>46065</v>
      </c>
      <c r="E145" s="3" t="s">
        <v>710</v>
      </c>
      <c r="F145" s="3" t="s">
        <v>842</v>
      </c>
    </row>
    <row r="146" spans="1:6" x14ac:dyDescent="0.3">
      <c r="A146" s="3" t="s">
        <v>140</v>
      </c>
      <c r="B146" s="3" t="s">
        <v>34</v>
      </c>
      <c r="C146" s="3" t="str">
        <f t="shared" si="2"/>
        <v>450011995310</v>
      </c>
      <c r="D146" s="4">
        <v>46096</v>
      </c>
      <c r="E146" s="3" t="s">
        <v>712</v>
      </c>
      <c r="F146" s="3" t="s">
        <v>891</v>
      </c>
    </row>
    <row r="147" spans="1:6" x14ac:dyDescent="0.3">
      <c r="A147" s="3" t="s">
        <v>152</v>
      </c>
      <c r="B147" s="3" t="s">
        <v>34</v>
      </c>
      <c r="C147" s="3" t="str">
        <f t="shared" si="2"/>
        <v>450012003810</v>
      </c>
      <c r="D147" s="4">
        <v>46203</v>
      </c>
      <c r="E147" s="3" t="s">
        <v>710</v>
      </c>
      <c r="F147" s="3" t="s">
        <v>842</v>
      </c>
    </row>
    <row r="148" spans="1:6" x14ac:dyDescent="0.3">
      <c r="A148" s="3" t="s">
        <v>142</v>
      </c>
      <c r="B148" s="3" t="s">
        <v>34</v>
      </c>
      <c r="C148" s="3" t="str">
        <f t="shared" si="2"/>
        <v>450012018610</v>
      </c>
      <c r="D148" s="4">
        <v>46065</v>
      </c>
      <c r="E148" s="3" t="s">
        <v>710</v>
      </c>
      <c r="F148" s="3" t="s">
        <v>842</v>
      </c>
    </row>
    <row r="149" spans="1:6" x14ac:dyDescent="0.3">
      <c r="A149" s="3" t="s">
        <v>142</v>
      </c>
      <c r="B149" s="3" t="s">
        <v>21</v>
      </c>
      <c r="C149" s="3" t="str">
        <f t="shared" si="2"/>
        <v>450012018620</v>
      </c>
      <c r="D149" s="4">
        <v>46065</v>
      </c>
      <c r="E149" s="3" t="s">
        <v>710</v>
      </c>
      <c r="F149" s="3" t="s">
        <v>842</v>
      </c>
    </row>
    <row r="150" spans="1:6" x14ac:dyDescent="0.3">
      <c r="A150" s="3" t="s">
        <v>137</v>
      </c>
      <c r="B150" s="3" t="s">
        <v>34</v>
      </c>
      <c r="C150" s="3" t="str">
        <f t="shared" si="2"/>
        <v>450012024510</v>
      </c>
      <c r="D150" s="4">
        <v>46065</v>
      </c>
      <c r="E150" s="3" t="s">
        <v>710</v>
      </c>
      <c r="F150" s="3" t="s">
        <v>850</v>
      </c>
    </row>
    <row r="151" spans="1:6" x14ac:dyDescent="0.3">
      <c r="A151" s="3" t="s">
        <v>144</v>
      </c>
      <c r="B151" s="3" t="s">
        <v>34</v>
      </c>
      <c r="C151" s="3" t="str">
        <f t="shared" si="2"/>
        <v>450012035810</v>
      </c>
      <c r="D151" s="4">
        <v>46065</v>
      </c>
      <c r="E151" s="3" t="s">
        <v>710</v>
      </c>
      <c r="F151" s="3" t="s">
        <v>842</v>
      </c>
    </row>
    <row r="152" spans="1:6" x14ac:dyDescent="0.3">
      <c r="A152" s="3" t="s">
        <v>149</v>
      </c>
      <c r="B152" s="3" t="s">
        <v>34</v>
      </c>
      <c r="C152" s="3" t="str">
        <f t="shared" si="2"/>
        <v>450012063010</v>
      </c>
      <c r="D152" s="4">
        <v>46065</v>
      </c>
      <c r="E152" s="3" t="s">
        <v>710</v>
      </c>
      <c r="F152" s="3" t="s">
        <v>842</v>
      </c>
    </row>
    <row r="153" spans="1:6" x14ac:dyDescent="0.3">
      <c r="A153" s="3" t="s">
        <v>639</v>
      </c>
      <c r="B153" s="3" t="s">
        <v>34</v>
      </c>
      <c r="C153" s="3" t="str">
        <f t="shared" si="2"/>
        <v>450012086910</v>
      </c>
      <c r="D153" s="4">
        <v>46072</v>
      </c>
      <c r="E153" s="3" t="s">
        <v>705</v>
      </c>
      <c r="F153" s="3" t="s">
        <v>892</v>
      </c>
    </row>
    <row r="154" spans="1:6" x14ac:dyDescent="0.3">
      <c r="A154" s="3" t="s">
        <v>58</v>
      </c>
      <c r="B154" s="3" t="s">
        <v>34</v>
      </c>
      <c r="C154" s="3" t="str">
        <f t="shared" si="2"/>
        <v>450012122710</v>
      </c>
      <c r="D154" s="4">
        <v>46264</v>
      </c>
      <c r="E154" s="3" t="s">
        <v>703</v>
      </c>
      <c r="F154" s="3" t="s">
        <v>848</v>
      </c>
    </row>
    <row r="155" spans="1:6" x14ac:dyDescent="0.3">
      <c r="A155" s="3" t="s">
        <v>288</v>
      </c>
      <c r="B155" s="3" t="s">
        <v>34</v>
      </c>
      <c r="C155" s="3" t="str">
        <f t="shared" si="2"/>
        <v>450012126010</v>
      </c>
      <c r="D155" s="4">
        <v>46097</v>
      </c>
      <c r="E155" s="3" t="s">
        <v>705</v>
      </c>
      <c r="F155" s="3" t="s">
        <v>893</v>
      </c>
    </row>
    <row r="156" spans="1:6" x14ac:dyDescent="0.3">
      <c r="A156" s="3" t="s">
        <v>285</v>
      </c>
      <c r="B156" s="3" t="s">
        <v>21</v>
      </c>
      <c r="C156" s="3" t="str">
        <f t="shared" si="2"/>
        <v>450012149820</v>
      </c>
      <c r="D156" s="4">
        <v>46099</v>
      </c>
      <c r="E156" s="3" t="s">
        <v>705</v>
      </c>
      <c r="F156" s="3" t="s">
        <v>894</v>
      </c>
    </row>
    <row r="157" spans="1:6" x14ac:dyDescent="0.3">
      <c r="A157" s="3" t="s">
        <v>85</v>
      </c>
      <c r="B157" s="3" t="s">
        <v>34</v>
      </c>
      <c r="C157" s="3" t="str">
        <f t="shared" si="2"/>
        <v>450012176010</v>
      </c>
      <c r="D157" s="4">
        <v>46142</v>
      </c>
      <c r="E157" s="3" t="s">
        <v>706</v>
      </c>
      <c r="F157" s="3" t="s">
        <v>874</v>
      </c>
    </row>
    <row r="158" spans="1:6" x14ac:dyDescent="0.3">
      <c r="A158" s="3" t="s">
        <v>85</v>
      </c>
      <c r="B158" s="3" t="s">
        <v>22</v>
      </c>
      <c r="C158" s="3" t="str">
        <f t="shared" si="2"/>
        <v>450012176030</v>
      </c>
      <c r="D158" s="4">
        <v>46142</v>
      </c>
      <c r="E158" s="3" t="s">
        <v>706</v>
      </c>
      <c r="F158" s="3" t="s">
        <v>874</v>
      </c>
    </row>
    <row r="159" spans="1:6" x14ac:dyDescent="0.3">
      <c r="A159" s="3" t="s">
        <v>85</v>
      </c>
      <c r="B159" s="3" t="s">
        <v>26</v>
      </c>
      <c r="C159" s="3" t="str">
        <f t="shared" si="2"/>
        <v>450012176040</v>
      </c>
      <c r="D159" s="4">
        <v>46142</v>
      </c>
      <c r="E159" s="3" t="s">
        <v>706</v>
      </c>
      <c r="F159" s="3" t="s">
        <v>874</v>
      </c>
    </row>
    <row r="160" spans="1:6" x14ac:dyDescent="0.3">
      <c r="A160" s="3" t="s">
        <v>85</v>
      </c>
      <c r="B160" s="3" t="s">
        <v>23</v>
      </c>
      <c r="C160" s="3" t="str">
        <f t="shared" si="2"/>
        <v>450012176050</v>
      </c>
      <c r="D160" s="4">
        <v>46142</v>
      </c>
      <c r="E160" s="3" t="s">
        <v>706</v>
      </c>
      <c r="F160" s="3" t="s">
        <v>874</v>
      </c>
    </row>
    <row r="161" spans="1:6" x14ac:dyDescent="0.3">
      <c r="A161" s="3" t="s">
        <v>85</v>
      </c>
      <c r="B161" s="3" t="s">
        <v>24</v>
      </c>
      <c r="C161" s="3" t="str">
        <f t="shared" si="2"/>
        <v>450012176060</v>
      </c>
      <c r="D161" s="4">
        <v>46142</v>
      </c>
      <c r="E161" s="3" t="s">
        <v>706</v>
      </c>
      <c r="F161" s="3" t="s">
        <v>874</v>
      </c>
    </row>
    <row r="162" spans="1:6" x14ac:dyDescent="0.3">
      <c r="A162" s="3" t="s">
        <v>85</v>
      </c>
      <c r="B162" s="3" t="s">
        <v>343</v>
      </c>
      <c r="C162" s="3" t="str">
        <f t="shared" si="2"/>
        <v>450012176080</v>
      </c>
      <c r="D162" s="4">
        <v>46142</v>
      </c>
      <c r="E162" s="3" t="s">
        <v>706</v>
      </c>
      <c r="F162" s="3" t="s">
        <v>874</v>
      </c>
    </row>
    <row r="163" spans="1:6" x14ac:dyDescent="0.3">
      <c r="A163" s="3" t="s">
        <v>369</v>
      </c>
      <c r="B163" s="3" t="s">
        <v>34</v>
      </c>
      <c r="C163" s="3" t="str">
        <f t="shared" si="2"/>
        <v>450012187310</v>
      </c>
      <c r="D163" s="4">
        <v>46095</v>
      </c>
      <c r="E163" s="3" t="s">
        <v>705</v>
      </c>
      <c r="F163" s="3" t="s">
        <v>895</v>
      </c>
    </row>
    <row r="164" spans="1:6" x14ac:dyDescent="0.3">
      <c r="A164" s="3" t="s">
        <v>177</v>
      </c>
      <c r="B164" s="3" t="s">
        <v>34</v>
      </c>
      <c r="C164" s="3" t="str">
        <f t="shared" si="2"/>
        <v>450012199110</v>
      </c>
      <c r="D164" s="4">
        <v>46108</v>
      </c>
      <c r="E164" s="3" t="s">
        <v>706</v>
      </c>
      <c r="F164" s="3" t="s">
        <v>896</v>
      </c>
    </row>
    <row r="165" spans="1:6" x14ac:dyDescent="0.3">
      <c r="A165" s="3" t="s">
        <v>177</v>
      </c>
      <c r="B165" s="3" t="s">
        <v>21</v>
      </c>
      <c r="C165" s="3" t="str">
        <f t="shared" si="2"/>
        <v>450012199120</v>
      </c>
      <c r="D165" s="4">
        <v>46108</v>
      </c>
      <c r="E165" s="3" t="s">
        <v>706</v>
      </c>
      <c r="F165" s="3" t="s">
        <v>896</v>
      </c>
    </row>
    <row r="166" spans="1:6" x14ac:dyDescent="0.3">
      <c r="A166" s="3" t="s">
        <v>177</v>
      </c>
      <c r="B166" s="3" t="s">
        <v>22</v>
      </c>
      <c r="C166" s="3" t="str">
        <f t="shared" si="2"/>
        <v>450012199130</v>
      </c>
      <c r="D166" s="4">
        <v>46108</v>
      </c>
      <c r="E166" s="3" t="s">
        <v>706</v>
      </c>
      <c r="F166" s="3" t="s">
        <v>896</v>
      </c>
    </row>
    <row r="167" spans="1:6" x14ac:dyDescent="0.3">
      <c r="A167" s="3" t="s">
        <v>177</v>
      </c>
      <c r="B167" s="3" t="s">
        <v>26</v>
      </c>
      <c r="C167" s="3" t="str">
        <f t="shared" si="2"/>
        <v>450012199140</v>
      </c>
      <c r="D167" s="4">
        <v>46108</v>
      </c>
      <c r="E167" s="3" t="s">
        <v>706</v>
      </c>
      <c r="F167" s="3" t="s">
        <v>896</v>
      </c>
    </row>
    <row r="168" spans="1:6" x14ac:dyDescent="0.3">
      <c r="A168" s="3" t="s">
        <v>177</v>
      </c>
      <c r="B168" s="3" t="s">
        <v>23</v>
      </c>
      <c r="C168" s="3" t="str">
        <f t="shared" si="2"/>
        <v>450012199150</v>
      </c>
      <c r="D168" s="4">
        <v>46108</v>
      </c>
      <c r="E168" s="3" t="s">
        <v>706</v>
      </c>
      <c r="F168" s="3" t="s">
        <v>896</v>
      </c>
    </row>
    <row r="169" spans="1:6" x14ac:dyDescent="0.3">
      <c r="A169" s="3" t="s">
        <v>177</v>
      </c>
      <c r="B169" s="3" t="s">
        <v>24</v>
      </c>
      <c r="C169" s="3" t="str">
        <f t="shared" si="2"/>
        <v>450012199160</v>
      </c>
      <c r="D169" s="4">
        <v>46108</v>
      </c>
      <c r="E169" s="3" t="s">
        <v>706</v>
      </c>
      <c r="F169" s="3" t="s">
        <v>896</v>
      </c>
    </row>
    <row r="170" spans="1:6" x14ac:dyDescent="0.3">
      <c r="A170" s="3" t="s">
        <v>166</v>
      </c>
      <c r="B170" s="3" t="s">
        <v>34</v>
      </c>
      <c r="C170" s="3" t="str">
        <f t="shared" si="2"/>
        <v>450012209210</v>
      </c>
      <c r="D170" s="4">
        <v>46124</v>
      </c>
      <c r="E170" s="3" t="s">
        <v>710</v>
      </c>
      <c r="F170" s="3" t="s">
        <v>850</v>
      </c>
    </row>
    <row r="171" spans="1:6" x14ac:dyDescent="0.3">
      <c r="A171" s="3" t="s">
        <v>170</v>
      </c>
      <c r="B171" s="3" t="s">
        <v>34</v>
      </c>
      <c r="C171" s="3" t="str">
        <f t="shared" si="2"/>
        <v>450012221110</v>
      </c>
      <c r="D171" s="4">
        <v>46094</v>
      </c>
      <c r="E171" s="3" t="s">
        <v>708</v>
      </c>
      <c r="F171" s="3" t="s">
        <v>852</v>
      </c>
    </row>
    <row r="172" spans="1:6" x14ac:dyDescent="0.3">
      <c r="A172" s="3" t="s">
        <v>192</v>
      </c>
      <c r="B172" s="3" t="s">
        <v>34</v>
      </c>
      <c r="C172" s="3" t="str">
        <f t="shared" si="2"/>
        <v>450012273510</v>
      </c>
      <c r="D172" s="4">
        <v>46108</v>
      </c>
      <c r="E172" s="3" t="s">
        <v>706</v>
      </c>
      <c r="F172" s="3" t="s">
        <v>859</v>
      </c>
    </row>
    <row r="173" spans="1:6" x14ac:dyDescent="0.3">
      <c r="A173" s="3" t="s">
        <v>192</v>
      </c>
      <c r="B173" s="3" t="s">
        <v>21</v>
      </c>
      <c r="C173" s="3" t="str">
        <f t="shared" si="2"/>
        <v>450012273520</v>
      </c>
      <c r="D173" s="4">
        <v>46127</v>
      </c>
      <c r="E173" s="3" t="s">
        <v>706</v>
      </c>
      <c r="F173" s="3" t="s">
        <v>859</v>
      </c>
    </row>
    <row r="174" spans="1:6" x14ac:dyDescent="0.3">
      <c r="A174" s="3" t="s">
        <v>192</v>
      </c>
      <c r="B174" s="3" t="s">
        <v>22</v>
      </c>
      <c r="C174" s="3" t="str">
        <f t="shared" si="2"/>
        <v>450012273530</v>
      </c>
      <c r="D174" s="4">
        <v>46127</v>
      </c>
      <c r="E174" s="3" t="s">
        <v>706</v>
      </c>
      <c r="F174" s="3" t="s">
        <v>859</v>
      </c>
    </row>
    <row r="175" spans="1:6" x14ac:dyDescent="0.3">
      <c r="A175" s="3" t="s">
        <v>192</v>
      </c>
      <c r="B175" s="3" t="s">
        <v>26</v>
      </c>
      <c r="C175" s="3" t="str">
        <f t="shared" si="2"/>
        <v>450012273540</v>
      </c>
      <c r="D175" s="4">
        <v>46108</v>
      </c>
      <c r="E175" s="3" t="s">
        <v>706</v>
      </c>
      <c r="F175" s="3" t="s">
        <v>859</v>
      </c>
    </row>
    <row r="176" spans="1:6" x14ac:dyDescent="0.3">
      <c r="A176" s="3" t="s">
        <v>192</v>
      </c>
      <c r="B176" s="3" t="s">
        <v>23</v>
      </c>
      <c r="C176" s="3" t="str">
        <f t="shared" si="2"/>
        <v>450012273550</v>
      </c>
      <c r="D176" s="4">
        <v>46127</v>
      </c>
      <c r="E176" s="3" t="s">
        <v>706</v>
      </c>
      <c r="F176" s="3" t="s">
        <v>859</v>
      </c>
    </row>
    <row r="177" spans="1:6" x14ac:dyDescent="0.3">
      <c r="A177" s="3" t="s">
        <v>192</v>
      </c>
      <c r="B177" s="3" t="s">
        <v>24</v>
      </c>
      <c r="C177" s="3" t="str">
        <f t="shared" si="2"/>
        <v>450012273560</v>
      </c>
      <c r="D177" s="4">
        <v>46108</v>
      </c>
      <c r="E177" s="3" t="s">
        <v>706</v>
      </c>
      <c r="F177" s="3" t="s">
        <v>859</v>
      </c>
    </row>
    <row r="178" spans="1:6" x14ac:dyDescent="0.3">
      <c r="A178" s="3" t="s">
        <v>192</v>
      </c>
      <c r="B178" s="3" t="s">
        <v>25</v>
      </c>
      <c r="C178" s="3" t="str">
        <f t="shared" si="2"/>
        <v>450012273570</v>
      </c>
      <c r="D178" s="4">
        <v>46108</v>
      </c>
      <c r="E178" s="3" t="s">
        <v>706</v>
      </c>
      <c r="F178" s="3" t="s">
        <v>859</v>
      </c>
    </row>
    <row r="179" spans="1:6" x14ac:dyDescent="0.3">
      <c r="A179" s="3" t="s">
        <v>192</v>
      </c>
      <c r="B179" s="3" t="s">
        <v>343</v>
      </c>
      <c r="C179" s="3" t="str">
        <f t="shared" si="2"/>
        <v>450012273580</v>
      </c>
      <c r="D179" s="4">
        <v>46108</v>
      </c>
      <c r="E179" s="3" t="s">
        <v>706</v>
      </c>
      <c r="F179" s="3" t="s">
        <v>859</v>
      </c>
    </row>
    <row r="180" spans="1:6" x14ac:dyDescent="0.3">
      <c r="A180" s="3" t="s">
        <v>192</v>
      </c>
      <c r="B180" s="3" t="s">
        <v>344</v>
      </c>
      <c r="C180" s="3" t="str">
        <f t="shared" si="2"/>
        <v>450012273590</v>
      </c>
      <c r="D180" s="4">
        <v>46108</v>
      </c>
      <c r="E180" s="3" t="s">
        <v>706</v>
      </c>
      <c r="F180" s="3" t="s">
        <v>859</v>
      </c>
    </row>
    <row r="181" spans="1:6" x14ac:dyDescent="0.3">
      <c r="A181" s="3" t="s">
        <v>192</v>
      </c>
      <c r="B181" s="3" t="s">
        <v>345</v>
      </c>
      <c r="C181" s="3" t="str">
        <f t="shared" si="2"/>
        <v>4500122735100</v>
      </c>
      <c r="D181" s="4">
        <v>46127</v>
      </c>
      <c r="E181" s="3" t="s">
        <v>706</v>
      </c>
      <c r="F181" s="3" t="s">
        <v>859</v>
      </c>
    </row>
    <row r="182" spans="1:6" x14ac:dyDescent="0.3">
      <c r="A182" s="3" t="s">
        <v>192</v>
      </c>
      <c r="B182" s="3" t="s">
        <v>193</v>
      </c>
      <c r="C182" s="3" t="str">
        <f t="shared" si="2"/>
        <v>4500122735110</v>
      </c>
      <c r="D182" s="4">
        <v>46108</v>
      </c>
      <c r="E182" s="3" t="s">
        <v>706</v>
      </c>
      <c r="F182" s="3" t="s">
        <v>859</v>
      </c>
    </row>
    <row r="183" spans="1:6" x14ac:dyDescent="0.3">
      <c r="A183" s="3" t="s">
        <v>192</v>
      </c>
      <c r="B183" s="3" t="s">
        <v>400</v>
      </c>
      <c r="C183" s="3" t="str">
        <f t="shared" si="2"/>
        <v>4500122735120</v>
      </c>
      <c r="D183" s="4">
        <v>46127</v>
      </c>
      <c r="E183" s="3" t="s">
        <v>706</v>
      </c>
      <c r="F183" s="3" t="s">
        <v>859</v>
      </c>
    </row>
    <row r="184" spans="1:6" x14ac:dyDescent="0.3">
      <c r="A184" s="3" t="s">
        <v>192</v>
      </c>
      <c r="B184" s="3" t="s">
        <v>221</v>
      </c>
      <c r="C184" s="3" t="str">
        <f t="shared" si="2"/>
        <v>4500122735130</v>
      </c>
      <c r="D184" s="4">
        <v>46147</v>
      </c>
      <c r="E184" s="3" t="s">
        <v>706</v>
      </c>
      <c r="F184" s="3" t="s">
        <v>859</v>
      </c>
    </row>
    <row r="185" spans="1:6" x14ac:dyDescent="0.3">
      <c r="A185" s="3" t="s">
        <v>192</v>
      </c>
      <c r="B185" s="3" t="s">
        <v>401</v>
      </c>
      <c r="C185" s="3" t="str">
        <f t="shared" si="2"/>
        <v>4500122735140</v>
      </c>
      <c r="D185" s="4">
        <v>46131</v>
      </c>
      <c r="E185" s="3" t="s">
        <v>706</v>
      </c>
      <c r="F185" s="3" t="s">
        <v>859</v>
      </c>
    </row>
    <row r="186" spans="1:6" x14ac:dyDescent="0.3">
      <c r="A186" s="3" t="s">
        <v>192</v>
      </c>
      <c r="B186" s="3" t="s">
        <v>402</v>
      </c>
      <c r="C186" s="3" t="str">
        <f t="shared" si="2"/>
        <v>4500122735150</v>
      </c>
      <c r="D186" s="4">
        <v>46127</v>
      </c>
      <c r="E186" s="3" t="s">
        <v>706</v>
      </c>
      <c r="F186" s="3" t="s">
        <v>859</v>
      </c>
    </row>
    <row r="187" spans="1:6" x14ac:dyDescent="0.3">
      <c r="A187" s="3" t="s">
        <v>192</v>
      </c>
      <c r="B187" s="3" t="s">
        <v>403</v>
      </c>
      <c r="C187" s="3" t="str">
        <f t="shared" si="2"/>
        <v>4500122735160</v>
      </c>
      <c r="D187" s="4">
        <v>46108</v>
      </c>
      <c r="E187" s="3" t="s">
        <v>706</v>
      </c>
      <c r="F187" s="3" t="s">
        <v>859</v>
      </c>
    </row>
    <row r="188" spans="1:6" x14ac:dyDescent="0.3">
      <c r="A188" s="3" t="s">
        <v>192</v>
      </c>
      <c r="B188" s="3" t="s">
        <v>346</v>
      </c>
      <c r="C188" s="3" t="str">
        <f t="shared" si="2"/>
        <v>4500122735170</v>
      </c>
      <c r="D188" s="4">
        <v>46108</v>
      </c>
      <c r="E188" s="3" t="s">
        <v>706</v>
      </c>
      <c r="F188" s="3" t="s">
        <v>859</v>
      </c>
    </row>
    <row r="189" spans="1:6" x14ac:dyDescent="0.3">
      <c r="A189" s="3" t="s">
        <v>192</v>
      </c>
      <c r="B189" s="3" t="s">
        <v>347</v>
      </c>
      <c r="C189" s="3" t="str">
        <f t="shared" si="2"/>
        <v>4500122735180</v>
      </c>
      <c r="D189" s="4">
        <v>46108</v>
      </c>
      <c r="E189" s="3" t="s">
        <v>706</v>
      </c>
      <c r="F189" s="3" t="s">
        <v>859</v>
      </c>
    </row>
    <row r="190" spans="1:6" x14ac:dyDescent="0.3">
      <c r="A190" s="3" t="s">
        <v>192</v>
      </c>
      <c r="B190" s="3" t="s">
        <v>404</v>
      </c>
      <c r="C190" s="3" t="str">
        <f t="shared" si="2"/>
        <v>4500122735190</v>
      </c>
      <c r="D190" s="4">
        <v>46131</v>
      </c>
      <c r="E190" s="3" t="s">
        <v>706</v>
      </c>
      <c r="F190" s="3" t="s">
        <v>859</v>
      </c>
    </row>
    <row r="191" spans="1:6" x14ac:dyDescent="0.3">
      <c r="A191" s="3" t="s">
        <v>291</v>
      </c>
      <c r="B191" s="3" t="s">
        <v>34</v>
      </c>
      <c r="C191" s="3" t="str">
        <f t="shared" si="2"/>
        <v>450012336910</v>
      </c>
      <c r="D191" s="4">
        <v>46121</v>
      </c>
      <c r="E191" s="3" t="s">
        <v>705</v>
      </c>
      <c r="F191" s="3" t="s">
        <v>881</v>
      </c>
    </row>
    <row r="192" spans="1:6" x14ac:dyDescent="0.3">
      <c r="A192" s="3" t="s">
        <v>182</v>
      </c>
      <c r="B192" s="3" t="s">
        <v>34</v>
      </c>
      <c r="C192" s="3" t="str">
        <f t="shared" si="2"/>
        <v>450012338910</v>
      </c>
      <c r="D192" s="4">
        <v>46184</v>
      </c>
      <c r="E192" s="3" t="s">
        <v>710</v>
      </c>
      <c r="F192" s="3" t="s">
        <v>850</v>
      </c>
    </row>
    <row r="193" spans="1:6" x14ac:dyDescent="0.3">
      <c r="A193" s="3" t="s">
        <v>413</v>
      </c>
      <c r="B193" s="3" t="s">
        <v>34</v>
      </c>
      <c r="C193" s="3" t="str">
        <f t="shared" si="2"/>
        <v>450012404110</v>
      </c>
      <c r="D193" s="4">
        <v>46287</v>
      </c>
      <c r="E193" s="3" t="s">
        <v>706</v>
      </c>
      <c r="F193" s="3" t="s">
        <v>859</v>
      </c>
    </row>
    <row r="194" spans="1:6" x14ac:dyDescent="0.3">
      <c r="A194" s="3" t="s">
        <v>413</v>
      </c>
      <c r="B194" s="3" t="s">
        <v>21</v>
      </c>
      <c r="C194" s="3" t="str">
        <f t="shared" si="2"/>
        <v>450012404120</v>
      </c>
      <c r="D194" s="4">
        <v>46122</v>
      </c>
      <c r="E194" s="3" t="s">
        <v>706</v>
      </c>
      <c r="F194" s="3" t="s">
        <v>859</v>
      </c>
    </row>
    <row r="195" spans="1:6" x14ac:dyDescent="0.3">
      <c r="A195" s="3" t="s">
        <v>413</v>
      </c>
      <c r="B195" s="3" t="s">
        <v>22</v>
      </c>
      <c r="C195" s="3" t="str">
        <f t="shared" ref="C195:C258" si="3">_xlfn.CONCAT(A195:B195)</f>
        <v>450012404130</v>
      </c>
      <c r="D195" s="4">
        <v>46122</v>
      </c>
      <c r="E195" s="3" t="s">
        <v>706</v>
      </c>
      <c r="F195" s="3" t="s">
        <v>859</v>
      </c>
    </row>
    <row r="196" spans="1:6" x14ac:dyDescent="0.3">
      <c r="A196" s="3" t="s">
        <v>413</v>
      </c>
      <c r="B196" s="3" t="s">
        <v>26</v>
      </c>
      <c r="C196" s="3" t="str">
        <f t="shared" si="3"/>
        <v>450012404140</v>
      </c>
      <c r="D196" s="4">
        <v>46122</v>
      </c>
      <c r="E196" s="3" t="s">
        <v>706</v>
      </c>
      <c r="F196" s="3" t="s">
        <v>859</v>
      </c>
    </row>
    <row r="197" spans="1:6" x14ac:dyDescent="0.3">
      <c r="A197" s="3" t="s">
        <v>413</v>
      </c>
      <c r="B197" s="3" t="s">
        <v>23</v>
      </c>
      <c r="C197" s="3" t="str">
        <f t="shared" si="3"/>
        <v>450012404150</v>
      </c>
      <c r="D197" s="4">
        <v>46122</v>
      </c>
      <c r="E197" s="3" t="s">
        <v>706</v>
      </c>
      <c r="F197" s="3" t="s">
        <v>859</v>
      </c>
    </row>
    <row r="198" spans="1:6" x14ac:dyDescent="0.3">
      <c r="A198" s="3" t="s">
        <v>413</v>
      </c>
      <c r="B198" s="3" t="s">
        <v>24</v>
      </c>
      <c r="C198" s="3" t="str">
        <f t="shared" si="3"/>
        <v>450012404160</v>
      </c>
      <c r="D198" s="4">
        <v>46122</v>
      </c>
      <c r="E198" s="3" t="s">
        <v>706</v>
      </c>
      <c r="F198" s="3" t="s">
        <v>859</v>
      </c>
    </row>
    <row r="199" spans="1:6" x14ac:dyDescent="0.3">
      <c r="A199" s="3" t="s">
        <v>413</v>
      </c>
      <c r="B199" s="3" t="s">
        <v>25</v>
      </c>
      <c r="C199" s="3" t="str">
        <f t="shared" si="3"/>
        <v>450012404170</v>
      </c>
      <c r="D199" s="4">
        <v>46122</v>
      </c>
      <c r="E199" s="3" t="s">
        <v>706</v>
      </c>
      <c r="F199" s="3" t="s">
        <v>859</v>
      </c>
    </row>
    <row r="200" spans="1:6" x14ac:dyDescent="0.3">
      <c r="A200" s="3" t="s">
        <v>413</v>
      </c>
      <c r="B200" s="3" t="s">
        <v>343</v>
      </c>
      <c r="C200" s="3" t="str">
        <f t="shared" si="3"/>
        <v>450012404180</v>
      </c>
      <c r="D200" s="4">
        <v>46122</v>
      </c>
      <c r="E200" s="3" t="s">
        <v>706</v>
      </c>
      <c r="F200" s="3" t="s">
        <v>859</v>
      </c>
    </row>
    <row r="201" spans="1:6" x14ac:dyDescent="0.3">
      <c r="A201" s="3" t="s">
        <v>413</v>
      </c>
      <c r="B201" s="3" t="s">
        <v>344</v>
      </c>
      <c r="C201" s="3" t="str">
        <f t="shared" si="3"/>
        <v>450012404190</v>
      </c>
      <c r="D201" s="4">
        <v>46122</v>
      </c>
      <c r="E201" s="3" t="s">
        <v>706</v>
      </c>
      <c r="F201" s="3" t="s">
        <v>859</v>
      </c>
    </row>
    <row r="202" spans="1:6" x14ac:dyDescent="0.3">
      <c r="A202" s="3" t="s">
        <v>413</v>
      </c>
      <c r="B202" s="3" t="s">
        <v>345</v>
      </c>
      <c r="C202" s="3" t="str">
        <f t="shared" si="3"/>
        <v>4500124041100</v>
      </c>
      <c r="D202" s="4">
        <v>46240</v>
      </c>
      <c r="E202" s="3" t="s">
        <v>706</v>
      </c>
      <c r="F202" s="3" t="s">
        <v>859</v>
      </c>
    </row>
    <row r="203" spans="1:6" x14ac:dyDescent="0.3">
      <c r="A203" s="3" t="s">
        <v>413</v>
      </c>
      <c r="B203" s="3" t="s">
        <v>193</v>
      </c>
      <c r="C203" s="3" t="str">
        <f t="shared" si="3"/>
        <v>4500124041110</v>
      </c>
      <c r="D203" s="4">
        <v>46122</v>
      </c>
      <c r="E203" s="3" t="s">
        <v>706</v>
      </c>
      <c r="F203" s="3" t="s">
        <v>859</v>
      </c>
    </row>
    <row r="204" spans="1:6" x14ac:dyDescent="0.3">
      <c r="A204" s="3" t="s">
        <v>413</v>
      </c>
      <c r="B204" s="3" t="s">
        <v>400</v>
      </c>
      <c r="C204" s="3" t="str">
        <f t="shared" si="3"/>
        <v>4500124041120</v>
      </c>
      <c r="D204" s="4">
        <v>46122</v>
      </c>
      <c r="E204" s="3" t="s">
        <v>706</v>
      </c>
      <c r="F204" s="3" t="s">
        <v>859</v>
      </c>
    </row>
    <row r="205" spans="1:6" x14ac:dyDescent="0.3">
      <c r="A205" s="3" t="s">
        <v>273</v>
      </c>
      <c r="B205" s="3" t="s">
        <v>34</v>
      </c>
      <c r="C205" s="3" t="str">
        <f t="shared" si="3"/>
        <v>450012417110</v>
      </c>
      <c r="D205" s="4">
        <v>46203</v>
      </c>
      <c r="E205" s="3" t="s">
        <v>722</v>
      </c>
      <c r="F205" s="3" t="s">
        <v>889</v>
      </c>
    </row>
    <row r="206" spans="1:6" x14ac:dyDescent="0.3">
      <c r="A206" s="3" t="s">
        <v>257</v>
      </c>
      <c r="B206" s="3" t="s">
        <v>34</v>
      </c>
      <c r="C206" s="3" t="str">
        <f t="shared" si="3"/>
        <v>450012417910</v>
      </c>
      <c r="D206" s="4">
        <v>46145</v>
      </c>
      <c r="E206" s="3" t="s">
        <v>706</v>
      </c>
      <c r="F206" s="3" t="s">
        <v>859</v>
      </c>
    </row>
    <row r="207" spans="1:6" x14ac:dyDescent="0.3">
      <c r="A207" s="3" t="s">
        <v>257</v>
      </c>
      <c r="B207" s="3" t="s">
        <v>21</v>
      </c>
      <c r="C207" s="3" t="str">
        <f t="shared" si="3"/>
        <v>450012417920</v>
      </c>
      <c r="D207" s="4">
        <v>46145</v>
      </c>
      <c r="E207" s="3" t="s">
        <v>706</v>
      </c>
      <c r="F207" s="3" t="s">
        <v>859</v>
      </c>
    </row>
    <row r="208" spans="1:6" x14ac:dyDescent="0.3">
      <c r="A208" s="3" t="s">
        <v>257</v>
      </c>
      <c r="B208" s="3" t="s">
        <v>22</v>
      </c>
      <c r="C208" s="3" t="str">
        <f t="shared" si="3"/>
        <v>450012417930</v>
      </c>
      <c r="D208" s="4">
        <v>46145</v>
      </c>
      <c r="E208" s="3" t="s">
        <v>706</v>
      </c>
      <c r="F208" s="3" t="s">
        <v>859</v>
      </c>
    </row>
    <row r="209" spans="1:6" x14ac:dyDescent="0.3">
      <c r="A209" s="3" t="s">
        <v>257</v>
      </c>
      <c r="B209" s="3" t="s">
        <v>26</v>
      </c>
      <c r="C209" s="3" t="str">
        <f t="shared" si="3"/>
        <v>450012417940</v>
      </c>
      <c r="D209" s="4">
        <v>46145</v>
      </c>
      <c r="E209" s="3" t="s">
        <v>706</v>
      </c>
      <c r="F209" s="3" t="s">
        <v>859</v>
      </c>
    </row>
    <row r="210" spans="1:6" x14ac:dyDescent="0.3">
      <c r="A210" s="3" t="s">
        <v>257</v>
      </c>
      <c r="B210" s="3" t="s">
        <v>23</v>
      </c>
      <c r="C210" s="3" t="str">
        <f t="shared" si="3"/>
        <v>450012417950</v>
      </c>
      <c r="D210" s="4">
        <v>46145</v>
      </c>
      <c r="E210" s="3" t="s">
        <v>706</v>
      </c>
      <c r="F210" s="3" t="s">
        <v>859</v>
      </c>
    </row>
    <row r="211" spans="1:6" x14ac:dyDescent="0.3">
      <c r="A211" s="3" t="s">
        <v>257</v>
      </c>
      <c r="B211" s="3" t="s">
        <v>24</v>
      </c>
      <c r="C211" s="3" t="str">
        <f t="shared" si="3"/>
        <v>450012417960</v>
      </c>
      <c r="D211" s="4">
        <v>46145</v>
      </c>
      <c r="E211" s="3" t="s">
        <v>706</v>
      </c>
      <c r="F211" s="3" t="s">
        <v>859</v>
      </c>
    </row>
    <row r="212" spans="1:6" x14ac:dyDescent="0.3">
      <c r="A212" s="3" t="s">
        <v>257</v>
      </c>
      <c r="B212" s="3" t="s">
        <v>25</v>
      </c>
      <c r="C212" s="3" t="str">
        <f t="shared" si="3"/>
        <v>450012417970</v>
      </c>
      <c r="D212" s="4">
        <v>46145</v>
      </c>
      <c r="E212" s="3" t="s">
        <v>706</v>
      </c>
      <c r="F212" s="3" t="s">
        <v>859</v>
      </c>
    </row>
    <row r="213" spans="1:6" x14ac:dyDescent="0.3">
      <c r="A213" s="3" t="s">
        <v>257</v>
      </c>
      <c r="B213" s="3" t="s">
        <v>343</v>
      </c>
      <c r="C213" s="3" t="str">
        <f t="shared" si="3"/>
        <v>450012417980</v>
      </c>
      <c r="D213" s="4">
        <v>46145</v>
      </c>
      <c r="E213" s="3" t="s">
        <v>706</v>
      </c>
      <c r="F213" s="3" t="s">
        <v>859</v>
      </c>
    </row>
    <row r="214" spans="1:6" x14ac:dyDescent="0.3">
      <c r="A214" s="3" t="s">
        <v>257</v>
      </c>
      <c r="B214" s="3" t="s">
        <v>344</v>
      </c>
      <c r="C214" s="3" t="str">
        <f t="shared" si="3"/>
        <v>450012417990</v>
      </c>
      <c r="D214" s="4">
        <v>46145</v>
      </c>
      <c r="E214" s="3" t="s">
        <v>706</v>
      </c>
      <c r="F214" s="3" t="s">
        <v>859</v>
      </c>
    </row>
    <row r="215" spans="1:6" x14ac:dyDescent="0.3">
      <c r="A215" s="3" t="s">
        <v>212</v>
      </c>
      <c r="B215" s="3" t="s">
        <v>34</v>
      </c>
      <c r="C215" s="3" t="str">
        <f t="shared" si="3"/>
        <v>450012420610</v>
      </c>
      <c r="D215" s="4">
        <v>46308</v>
      </c>
      <c r="E215" s="3" t="s">
        <v>710</v>
      </c>
      <c r="F215" s="3" t="s">
        <v>897</v>
      </c>
    </row>
    <row r="216" spans="1:6" x14ac:dyDescent="0.3">
      <c r="A216" s="3" t="s">
        <v>255</v>
      </c>
      <c r="B216" s="3" t="s">
        <v>34</v>
      </c>
      <c r="C216" s="3" t="str">
        <f t="shared" si="3"/>
        <v>450012443310</v>
      </c>
      <c r="D216" s="4">
        <v>46149</v>
      </c>
      <c r="E216" s="3" t="s">
        <v>705</v>
      </c>
      <c r="F216" s="3" t="s">
        <v>898</v>
      </c>
    </row>
    <row r="217" spans="1:6" x14ac:dyDescent="0.3">
      <c r="A217" s="3" t="s">
        <v>255</v>
      </c>
      <c r="B217" s="3" t="s">
        <v>21</v>
      </c>
      <c r="C217" s="3" t="str">
        <f t="shared" si="3"/>
        <v>450012443320</v>
      </c>
      <c r="D217" s="4">
        <v>46149</v>
      </c>
      <c r="E217" s="3" t="s">
        <v>705</v>
      </c>
      <c r="F217" s="3" t="s">
        <v>898</v>
      </c>
    </row>
    <row r="218" spans="1:6" x14ac:dyDescent="0.3">
      <c r="A218" s="3" t="s">
        <v>195</v>
      </c>
      <c r="B218" s="3" t="s">
        <v>22</v>
      </c>
      <c r="C218" s="3" t="str">
        <f t="shared" si="3"/>
        <v>450012444930</v>
      </c>
      <c r="D218" s="4">
        <v>46127</v>
      </c>
      <c r="E218" s="3" t="s">
        <v>705</v>
      </c>
      <c r="F218" s="3" t="s">
        <v>887</v>
      </c>
    </row>
    <row r="219" spans="1:6" x14ac:dyDescent="0.3">
      <c r="A219" s="3" t="s">
        <v>219</v>
      </c>
      <c r="B219" s="3" t="s">
        <v>34</v>
      </c>
      <c r="C219" s="3" t="str">
        <f t="shared" si="3"/>
        <v>450012446410</v>
      </c>
      <c r="D219" s="4">
        <v>46129</v>
      </c>
      <c r="E219" s="3" t="s">
        <v>706</v>
      </c>
      <c r="F219" s="3" t="s">
        <v>859</v>
      </c>
    </row>
    <row r="220" spans="1:6" x14ac:dyDescent="0.3">
      <c r="A220" s="3" t="s">
        <v>559</v>
      </c>
      <c r="B220" s="3" t="s">
        <v>21</v>
      </c>
      <c r="C220" s="3" t="str">
        <f t="shared" si="3"/>
        <v>450012451920</v>
      </c>
      <c r="D220" s="4">
        <v>46290</v>
      </c>
      <c r="E220" s="3" t="s">
        <v>724</v>
      </c>
      <c r="F220" s="3" t="s">
        <v>869</v>
      </c>
    </row>
    <row r="221" spans="1:6" x14ac:dyDescent="0.3">
      <c r="A221" s="3" t="s">
        <v>559</v>
      </c>
      <c r="B221" s="3" t="s">
        <v>22</v>
      </c>
      <c r="C221" s="3" t="str">
        <f t="shared" si="3"/>
        <v>450012451930</v>
      </c>
      <c r="D221" s="4">
        <v>46290</v>
      </c>
      <c r="E221" s="3" t="s">
        <v>724</v>
      </c>
      <c r="F221" s="3" t="s">
        <v>869</v>
      </c>
    </row>
    <row r="222" spans="1:6" x14ac:dyDescent="0.3">
      <c r="A222" s="3" t="s">
        <v>559</v>
      </c>
      <c r="B222" s="3" t="s">
        <v>24</v>
      </c>
      <c r="C222" s="3" t="str">
        <f t="shared" si="3"/>
        <v>450012451960</v>
      </c>
      <c r="D222" s="4">
        <v>46290</v>
      </c>
      <c r="E222" s="3" t="s">
        <v>724</v>
      </c>
      <c r="F222" s="3" t="s">
        <v>869</v>
      </c>
    </row>
    <row r="223" spans="1:6" x14ac:dyDescent="0.3">
      <c r="A223" s="3" t="s">
        <v>559</v>
      </c>
      <c r="B223" s="3" t="s">
        <v>25</v>
      </c>
      <c r="C223" s="3" t="str">
        <f t="shared" si="3"/>
        <v>450012451970</v>
      </c>
      <c r="D223" s="4">
        <v>46290</v>
      </c>
      <c r="E223" s="3" t="s">
        <v>724</v>
      </c>
      <c r="F223" s="3" t="s">
        <v>869</v>
      </c>
    </row>
    <row r="224" spans="1:6" x14ac:dyDescent="0.3">
      <c r="A224" s="3" t="s">
        <v>559</v>
      </c>
      <c r="B224" s="3" t="s">
        <v>343</v>
      </c>
      <c r="C224" s="3" t="str">
        <f t="shared" si="3"/>
        <v>450012451980</v>
      </c>
      <c r="D224" s="4">
        <v>46290</v>
      </c>
      <c r="E224" s="3" t="s">
        <v>724</v>
      </c>
      <c r="F224" s="3" t="s">
        <v>869</v>
      </c>
    </row>
    <row r="225" spans="1:6" x14ac:dyDescent="0.3">
      <c r="A225" s="3" t="s">
        <v>559</v>
      </c>
      <c r="B225" s="3" t="s">
        <v>344</v>
      </c>
      <c r="C225" s="3" t="str">
        <f t="shared" si="3"/>
        <v>450012451990</v>
      </c>
      <c r="D225" s="4">
        <v>46290</v>
      </c>
      <c r="E225" s="3" t="s">
        <v>724</v>
      </c>
      <c r="F225" s="3" t="s">
        <v>869</v>
      </c>
    </row>
    <row r="226" spans="1:6" x14ac:dyDescent="0.3">
      <c r="A226" s="3" t="s">
        <v>559</v>
      </c>
      <c r="B226" s="3" t="s">
        <v>345</v>
      </c>
      <c r="C226" s="3" t="str">
        <f t="shared" si="3"/>
        <v>4500124519100</v>
      </c>
      <c r="D226" s="4">
        <v>46290</v>
      </c>
      <c r="E226" s="3" t="s">
        <v>724</v>
      </c>
      <c r="F226" s="3" t="s">
        <v>869</v>
      </c>
    </row>
    <row r="227" spans="1:6" x14ac:dyDescent="0.3">
      <c r="A227" s="3" t="s">
        <v>559</v>
      </c>
      <c r="B227" s="3" t="s">
        <v>400</v>
      </c>
      <c r="C227" s="3" t="str">
        <f t="shared" si="3"/>
        <v>4500124519120</v>
      </c>
      <c r="D227" s="4">
        <v>46290</v>
      </c>
      <c r="E227" s="3" t="s">
        <v>724</v>
      </c>
      <c r="F227" s="3" t="s">
        <v>869</v>
      </c>
    </row>
    <row r="228" spans="1:6" x14ac:dyDescent="0.3">
      <c r="A228" s="3" t="s">
        <v>559</v>
      </c>
      <c r="B228" s="3" t="s">
        <v>221</v>
      </c>
      <c r="C228" s="3" t="str">
        <f t="shared" si="3"/>
        <v>4500124519130</v>
      </c>
      <c r="D228" s="4">
        <v>46290</v>
      </c>
      <c r="E228" s="3" t="s">
        <v>724</v>
      </c>
      <c r="F228" s="3" t="s">
        <v>869</v>
      </c>
    </row>
    <row r="229" spans="1:6" x14ac:dyDescent="0.3">
      <c r="A229" s="3" t="s">
        <v>559</v>
      </c>
      <c r="B229" s="3" t="s">
        <v>401</v>
      </c>
      <c r="C229" s="3" t="str">
        <f t="shared" si="3"/>
        <v>4500124519140</v>
      </c>
      <c r="D229" s="4">
        <v>46290</v>
      </c>
      <c r="E229" s="3" t="s">
        <v>724</v>
      </c>
      <c r="F229" s="3" t="s">
        <v>869</v>
      </c>
    </row>
    <row r="230" spans="1:6" x14ac:dyDescent="0.3">
      <c r="A230" s="3" t="s">
        <v>559</v>
      </c>
      <c r="B230" s="3" t="s">
        <v>402</v>
      </c>
      <c r="C230" s="3" t="str">
        <f t="shared" si="3"/>
        <v>4500124519150</v>
      </c>
      <c r="D230" s="4">
        <v>46290</v>
      </c>
      <c r="E230" s="3" t="s">
        <v>724</v>
      </c>
      <c r="F230" s="3" t="s">
        <v>869</v>
      </c>
    </row>
    <row r="231" spans="1:6" x14ac:dyDescent="0.3">
      <c r="A231" s="3" t="s">
        <v>559</v>
      </c>
      <c r="B231" s="3" t="s">
        <v>346</v>
      </c>
      <c r="C231" s="3" t="str">
        <f t="shared" si="3"/>
        <v>4500124519170</v>
      </c>
      <c r="D231" s="4">
        <v>46290</v>
      </c>
      <c r="E231" s="3" t="s">
        <v>724</v>
      </c>
      <c r="F231" s="3" t="s">
        <v>869</v>
      </c>
    </row>
    <row r="232" spans="1:6" x14ac:dyDescent="0.3">
      <c r="A232" s="3" t="s">
        <v>559</v>
      </c>
      <c r="B232" s="3" t="s">
        <v>347</v>
      </c>
      <c r="C232" s="3" t="str">
        <f t="shared" si="3"/>
        <v>4500124519180</v>
      </c>
      <c r="D232" s="4">
        <v>46290</v>
      </c>
      <c r="E232" s="3" t="s">
        <v>724</v>
      </c>
      <c r="F232" s="3" t="s">
        <v>869</v>
      </c>
    </row>
    <row r="233" spans="1:6" x14ac:dyDescent="0.3">
      <c r="A233" s="3" t="s">
        <v>198</v>
      </c>
      <c r="B233" s="3" t="s">
        <v>34</v>
      </c>
      <c r="C233" s="3" t="str">
        <f t="shared" si="3"/>
        <v>450012461310</v>
      </c>
      <c r="D233" s="4">
        <v>46184</v>
      </c>
      <c r="E233" s="3" t="s">
        <v>710</v>
      </c>
      <c r="F233" s="3" t="s">
        <v>850</v>
      </c>
    </row>
    <row r="234" spans="1:6" x14ac:dyDescent="0.3">
      <c r="A234" s="3" t="s">
        <v>217</v>
      </c>
      <c r="B234" s="3" t="s">
        <v>34</v>
      </c>
      <c r="C234" s="3" t="str">
        <f t="shared" si="3"/>
        <v>450012471010</v>
      </c>
      <c r="D234" s="4">
        <v>46136</v>
      </c>
      <c r="E234" s="3" t="s">
        <v>711</v>
      </c>
      <c r="F234" s="3" t="s">
        <v>899</v>
      </c>
    </row>
    <row r="235" spans="1:6" x14ac:dyDescent="0.3">
      <c r="A235" s="3" t="s">
        <v>217</v>
      </c>
      <c r="B235" s="3" t="s">
        <v>21</v>
      </c>
      <c r="C235" s="3" t="str">
        <f t="shared" si="3"/>
        <v>450012471020</v>
      </c>
      <c r="D235" s="4">
        <v>46136</v>
      </c>
      <c r="E235" s="3" t="s">
        <v>711</v>
      </c>
      <c r="F235" s="3" t="s">
        <v>899</v>
      </c>
    </row>
    <row r="236" spans="1:6" x14ac:dyDescent="0.3">
      <c r="A236" s="3" t="s">
        <v>217</v>
      </c>
      <c r="B236" s="3" t="s">
        <v>22</v>
      </c>
      <c r="C236" s="3" t="str">
        <f t="shared" si="3"/>
        <v>450012471030</v>
      </c>
      <c r="D236" s="4">
        <v>46136</v>
      </c>
      <c r="E236" s="3" t="s">
        <v>711</v>
      </c>
      <c r="F236" s="3" t="s">
        <v>899</v>
      </c>
    </row>
    <row r="237" spans="1:6" x14ac:dyDescent="0.3">
      <c r="A237" s="3" t="s">
        <v>217</v>
      </c>
      <c r="B237" s="3" t="s">
        <v>26</v>
      </c>
      <c r="C237" s="3" t="str">
        <f t="shared" si="3"/>
        <v>450012471040</v>
      </c>
      <c r="D237" s="4">
        <v>46136</v>
      </c>
      <c r="E237" s="3" t="s">
        <v>711</v>
      </c>
      <c r="F237" s="3" t="s">
        <v>899</v>
      </c>
    </row>
    <row r="238" spans="1:6" x14ac:dyDescent="0.3">
      <c r="A238" s="3" t="s">
        <v>204</v>
      </c>
      <c r="B238" s="3" t="s">
        <v>34</v>
      </c>
      <c r="C238" s="3" t="str">
        <f t="shared" si="3"/>
        <v>450012480110</v>
      </c>
      <c r="D238" s="4">
        <v>46136</v>
      </c>
      <c r="E238" s="3" t="s">
        <v>706</v>
      </c>
      <c r="F238" s="3" t="s">
        <v>890</v>
      </c>
    </row>
    <row r="239" spans="1:6" x14ac:dyDescent="0.3">
      <c r="A239" s="3" t="s">
        <v>204</v>
      </c>
      <c r="B239" s="3" t="s">
        <v>21</v>
      </c>
      <c r="C239" s="3" t="str">
        <f t="shared" si="3"/>
        <v>450012480120</v>
      </c>
      <c r="D239" s="4">
        <v>46136</v>
      </c>
      <c r="E239" s="3" t="s">
        <v>706</v>
      </c>
      <c r="F239" s="3" t="s">
        <v>890</v>
      </c>
    </row>
    <row r="240" spans="1:6" x14ac:dyDescent="0.3">
      <c r="A240" s="3" t="s">
        <v>206</v>
      </c>
      <c r="B240" s="3" t="s">
        <v>34</v>
      </c>
      <c r="C240" s="3" t="str">
        <f t="shared" si="3"/>
        <v>450012528210</v>
      </c>
      <c r="D240" s="4">
        <v>46184</v>
      </c>
      <c r="E240" s="3" t="s">
        <v>710</v>
      </c>
      <c r="F240" s="3" t="s">
        <v>850</v>
      </c>
    </row>
    <row r="241" spans="1:6" x14ac:dyDescent="0.3">
      <c r="A241" s="3" t="s">
        <v>214</v>
      </c>
      <c r="B241" s="3" t="s">
        <v>34</v>
      </c>
      <c r="C241" s="3" t="str">
        <f t="shared" si="3"/>
        <v>450012592610</v>
      </c>
      <c r="D241" s="4">
        <v>46203</v>
      </c>
      <c r="E241" s="3" t="s">
        <v>710</v>
      </c>
      <c r="F241" s="3" t="s">
        <v>842</v>
      </c>
    </row>
    <row r="242" spans="1:6" x14ac:dyDescent="0.3">
      <c r="A242" s="3" t="s">
        <v>214</v>
      </c>
      <c r="B242" s="3" t="s">
        <v>21</v>
      </c>
      <c r="C242" s="3" t="str">
        <f t="shared" si="3"/>
        <v>450012592620</v>
      </c>
      <c r="D242" s="4">
        <v>46203</v>
      </c>
      <c r="E242" s="3" t="s">
        <v>710</v>
      </c>
      <c r="F242" s="3" t="s">
        <v>842</v>
      </c>
    </row>
    <row r="243" spans="1:6" x14ac:dyDescent="0.3">
      <c r="A243" s="3" t="s">
        <v>214</v>
      </c>
      <c r="B243" s="3" t="s">
        <v>22</v>
      </c>
      <c r="C243" s="3" t="str">
        <f t="shared" si="3"/>
        <v>450012592630</v>
      </c>
      <c r="D243" s="4">
        <v>46203</v>
      </c>
      <c r="E243" s="3" t="s">
        <v>710</v>
      </c>
      <c r="F243" s="3" t="s">
        <v>842</v>
      </c>
    </row>
    <row r="244" spans="1:6" x14ac:dyDescent="0.3">
      <c r="A244" s="3" t="s">
        <v>229</v>
      </c>
      <c r="B244" s="3" t="s">
        <v>34</v>
      </c>
      <c r="C244" s="3" t="str">
        <f t="shared" si="3"/>
        <v>450012623010</v>
      </c>
      <c r="D244" s="4">
        <v>46153</v>
      </c>
      <c r="E244" s="3" t="s">
        <v>713</v>
      </c>
      <c r="F244" s="3" t="s">
        <v>900</v>
      </c>
    </row>
    <row r="245" spans="1:6" x14ac:dyDescent="0.3">
      <c r="A245" s="3" t="s">
        <v>226</v>
      </c>
      <c r="B245" s="3" t="s">
        <v>34</v>
      </c>
      <c r="C245" s="3" t="str">
        <f t="shared" si="3"/>
        <v>450012650810</v>
      </c>
      <c r="D245" s="4">
        <v>46203</v>
      </c>
      <c r="E245" s="3" t="s">
        <v>710</v>
      </c>
      <c r="F245" s="3" t="s">
        <v>842</v>
      </c>
    </row>
    <row r="246" spans="1:6" x14ac:dyDescent="0.3">
      <c r="A246" s="3" t="s">
        <v>226</v>
      </c>
      <c r="B246" s="3" t="s">
        <v>21</v>
      </c>
      <c r="C246" s="3" t="str">
        <f t="shared" si="3"/>
        <v>450012650820</v>
      </c>
      <c r="D246" s="4">
        <v>46203</v>
      </c>
      <c r="E246" s="3" t="s">
        <v>710</v>
      </c>
      <c r="F246" s="3" t="s">
        <v>842</v>
      </c>
    </row>
    <row r="247" spans="1:6" x14ac:dyDescent="0.3">
      <c r="A247" s="3" t="s">
        <v>280</v>
      </c>
      <c r="B247" s="3" t="s">
        <v>34</v>
      </c>
      <c r="C247" s="3" t="str">
        <f t="shared" si="3"/>
        <v>450012665410</v>
      </c>
      <c r="D247" s="4">
        <v>46202</v>
      </c>
      <c r="E247" s="3" t="s">
        <v>706</v>
      </c>
      <c r="F247" s="3" t="s">
        <v>901</v>
      </c>
    </row>
    <row r="248" spans="1:6" x14ac:dyDescent="0.3">
      <c r="A248" s="3" t="s">
        <v>232</v>
      </c>
      <c r="B248" s="3" t="s">
        <v>34</v>
      </c>
      <c r="C248" s="3" t="str">
        <f t="shared" si="3"/>
        <v>450012679210</v>
      </c>
      <c r="D248" s="4">
        <v>46203</v>
      </c>
      <c r="E248" s="3" t="s">
        <v>710</v>
      </c>
      <c r="F248" s="3" t="s">
        <v>842</v>
      </c>
    </row>
    <row r="249" spans="1:6" x14ac:dyDescent="0.3">
      <c r="A249" s="3" t="s">
        <v>237</v>
      </c>
      <c r="B249" s="3" t="s">
        <v>34</v>
      </c>
      <c r="C249" s="3" t="str">
        <f t="shared" si="3"/>
        <v>450012701210</v>
      </c>
      <c r="D249" s="4">
        <v>46203</v>
      </c>
      <c r="E249" s="3" t="s">
        <v>710</v>
      </c>
      <c r="F249" s="3" t="s">
        <v>842</v>
      </c>
    </row>
    <row r="250" spans="1:6" x14ac:dyDescent="0.3">
      <c r="A250" s="3" t="s">
        <v>239</v>
      </c>
      <c r="B250" s="3" t="s">
        <v>34</v>
      </c>
      <c r="C250" s="3" t="str">
        <f t="shared" si="3"/>
        <v>450012716010</v>
      </c>
      <c r="D250" s="4">
        <v>46170</v>
      </c>
      <c r="E250" s="3" t="s">
        <v>710</v>
      </c>
      <c r="F250" s="3" t="s">
        <v>897</v>
      </c>
    </row>
    <row r="251" spans="1:6" x14ac:dyDescent="0.3">
      <c r="A251" s="3" t="s">
        <v>242</v>
      </c>
      <c r="B251" s="3" t="s">
        <v>34</v>
      </c>
      <c r="C251" s="3" t="str">
        <f t="shared" si="3"/>
        <v>450012728310</v>
      </c>
      <c r="D251" s="4">
        <v>46203</v>
      </c>
      <c r="E251" s="3" t="s">
        <v>710</v>
      </c>
      <c r="F251" s="3" t="s">
        <v>842</v>
      </c>
    </row>
    <row r="252" spans="1:6" x14ac:dyDescent="0.3">
      <c r="A252" s="3" t="s">
        <v>264</v>
      </c>
      <c r="B252" s="3" t="s">
        <v>34</v>
      </c>
      <c r="C252" s="3" t="str">
        <f t="shared" si="3"/>
        <v>450012748610</v>
      </c>
      <c r="D252" s="4">
        <v>46172</v>
      </c>
      <c r="E252" s="3" t="s">
        <v>725</v>
      </c>
      <c r="F252" s="3" t="s">
        <v>867</v>
      </c>
    </row>
    <row r="253" spans="1:6" x14ac:dyDescent="0.3">
      <c r="A253" s="3" t="s">
        <v>264</v>
      </c>
      <c r="B253" s="3" t="s">
        <v>21</v>
      </c>
      <c r="C253" s="3" t="str">
        <f t="shared" si="3"/>
        <v>450012748620</v>
      </c>
      <c r="D253" s="4">
        <v>46172</v>
      </c>
      <c r="E253" s="3" t="s">
        <v>725</v>
      </c>
      <c r="F253" s="3" t="s">
        <v>867</v>
      </c>
    </row>
    <row r="254" spans="1:6" x14ac:dyDescent="0.3">
      <c r="A254" s="3" t="s">
        <v>244</v>
      </c>
      <c r="B254" s="3" t="s">
        <v>34</v>
      </c>
      <c r="C254" s="3" t="str">
        <f t="shared" si="3"/>
        <v>450012757110</v>
      </c>
      <c r="D254" s="4">
        <v>46184</v>
      </c>
      <c r="E254" s="3" t="s">
        <v>710</v>
      </c>
      <c r="F254" s="3" t="s">
        <v>850</v>
      </c>
    </row>
    <row r="255" spans="1:6" x14ac:dyDescent="0.3">
      <c r="A255" s="3" t="s">
        <v>48</v>
      </c>
      <c r="B255" s="3" t="s">
        <v>34</v>
      </c>
      <c r="C255" s="3" t="str">
        <f t="shared" si="3"/>
        <v>450012764410</v>
      </c>
      <c r="D255" s="4">
        <v>46203</v>
      </c>
      <c r="E255" s="3" t="s">
        <v>712</v>
      </c>
      <c r="F255" s="3" t="s">
        <v>902</v>
      </c>
    </row>
    <row r="256" spans="1:6" x14ac:dyDescent="0.3">
      <c r="A256" s="3" t="s">
        <v>50</v>
      </c>
      <c r="B256" s="3" t="s">
        <v>34</v>
      </c>
      <c r="C256" s="3" t="str">
        <f t="shared" si="3"/>
        <v>450012764510</v>
      </c>
      <c r="D256" s="4">
        <v>46203</v>
      </c>
      <c r="E256" s="3" t="s">
        <v>712</v>
      </c>
      <c r="F256" s="3" t="s">
        <v>902</v>
      </c>
    </row>
    <row r="257" spans="1:6" x14ac:dyDescent="0.3">
      <c r="A257" s="3" t="s">
        <v>61</v>
      </c>
      <c r="B257" s="3" t="s">
        <v>34</v>
      </c>
      <c r="C257" s="3" t="str">
        <f t="shared" si="3"/>
        <v>450012764610</v>
      </c>
      <c r="D257" s="4">
        <v>46203</v>
      </c>
      <c r="E257" s="3" t="s">
        <v>712</v>
      </c>
      <c r="F257" s="3" t="s">
        <v>902</v>
      </c>
    </row>
    <row r="258" spans="1:6" x14ac:dyDescent="0.3">
      <c r="A258" s="3" t="s">
        <v>251</v>
      </c>
      <c r="B258" s="3" t="s">
        <v>34</v>
      </c>
      <c r="C258" s="3" t="str">
        <f t="shared" si="3"/>
        <v>450012790310</v>
      </c>
      <c r="D258" s="4">
        <v>46203</v>
      </c>
      <c r="E258" s="3" t="s">
        <v>710</v>
      </c>
      <c r="F258" s="3" t="s">
        <v>842</v>
      </c>
    </row>
    <row r="259" spans="1:6" x14ac:dyDescent="0.3">
      <c r="A259" s="3" t="s">
        <v>251</v>
      </c>
      <c r="B259" s="3" t="s">
        <v>21</v>
      </c>
      <c r="C259" s="3" t="str">
        <f t="shared" ref="C259:C322" si="4">_xlfn.CONCAT(A259:B259)</f>
        <v>450012790320</v>
      </c>
      <c r="D259" s="4">
        <v>46203</v>
      </c>
      <c r="E259" s="3" t="s">
        <v>710</v>
      </c>
      <c r="F259" s="3" t="s">
        <v>842</v>
      </c>
    </row>
    <row r="260" spans="1:6" x14ac:dyDescent="0.3">
      <c r="A260" s="3" t="s">
        <v>251</v>
      </c>
      <c r="B260" s="3" t="s">
        <v>22</v>
      </c>
      <c r="C260" s="3" t="str">
        <f t="shared" si="4"/>
        <v>450012790330</v>
      </c>
      <c r="D260" s="4">
        <v>46203</v>
      </c>
      <c r="E260" s="3" t="s">
        <v>710</v>
      </c>
      <c r="F260" s="3" t="s">
        <v>842</v>
      </c>
    </row>
    <row r="261" spans="1:6" x14ac:dyDescent="0.3">
      <c r="A261" s="3" t="s">
        <v>310</v>
      </c>
      <c r="B261" s="3" t="s">
        <v>34</v>
      </c>
      <c r="C261" s="3" t="str">
        <f t="shared" si="4"/>
        <v>450012822310</v>
      </c>
      <c r="D261" s="4">
        <v>46203</v>
      </c>
      <c r="E261" s="3" t="s">
        <v>706</v>
      </c>
      <c r="F261" s="3" t="s">
        <v>859</v>
      </c>
    </row>
    <row r="262" spans="1:6" x14ac:dyDescent="0.3">
      <c r="A262" s="3" t="s">
        <v>310</v>
      </c>
      <c r="B262" s="3" t="s">
        <v>21</v>
      </c>
      <c r="C262" s="3" t="str">
        <f t="shared" si="4"/>
        <v>450012822320</v>
      </c>
      <c r="D262" s="4">
        <v>46203</v>
      </c>
      <c r="E262" s="3" t="s">
        <v>706</v>
      </c>
      <c r="F262" s="3" t="s">
        <v>859</v>
      </c>
    </row>
    <row r="263" spans="1:6" x14ac:dyDescent="0.3">
      <c r="A263" s="3" t="s">
        <v>260</v>
      </c>
      <c r="B263" s="3" t="s">
        <v>34</v>
      </c>
      <c r="C263" s="3" t="str">
        <f t="shared" si="4"/>
        <v>450012834510</v>
      </c>
      <c r="D263" s="4">
        <v>46203</v>
      </c>
      <c r="E263" s="3" t="s">
        <v>710</v>
      </c>
      <c r="F263" s="3" t="s">
        <v>842</v>
      </c>
    </row>
    <row r="264" spans="1:6" x14ac:dyDescent="0.3">
      <c r="A264" s="3" t="s">
        <v>338</v>
      </c>
      <c r="B264" s="3" t="s">
        <v>34</v>
      </c>
      <c r="C264" s="3" t="str">
        <f t="shared" si="4"/>
        <v>450012873510</v>
      </c>
      <c r="D264" s="4">
        <v>46189</v>
      </c>
      <c r="E264" s="3" t="s">
        <v>713</v>
      </c>
      <c r="F264" s="3" t="s">
        <v>859</v>
      </c>
    </row>
    <row r="265" spans="1:6" x14ac:dyDescent="0.3">
      <c r="A265" s="3" t="s">
        <v>266</v>
      </c>
      <c r="B265" s="3" t="s">
        <v>34</v>
      </c>
      <c r="C265" s="3" t="str">
        <f t="shared" si="4"/>
        <v>450012883010</v>
      </c>
      <c r="D265" s="4">
        <v>46203</v>
      </c>
      <c r="E265" s="3" t="s">
        <v>710</v>
      </c>
      <c r="F265" s="3" t="s">
        <v>842</v>
      </c>
    </row>
    <row r="266" spans="1:6" x14ac:dyDescent="0.3">
      <c r="A266" s="3" t="s">
        <v>268</v>
      </c>
      <c r="B266" s="3" t="s">
        <v>34</v>
      </c>
      <c r="C266" s="3" t="str">
        <f t="shared" si="4"/>
        <v>450012900510</v>
      </c>
      <c r="D266" s="4">
        <v>46184</v>
      </c>
      <c r="E266" s="3" t="s">
        <v>710</v>
      </c>
      <c r="F266" s="3" t="s">
        <v>850</v>
      </c>
    </row>
    <row r="267" spans="1:6" x14ac:dyDescent="0.3">
      <c r="A267" s="3" t="s">
        <v>275</v>
      </c>
      <c r="B267" s="3" t="s">
        <v>34</v>
      </c>
      <c r="C267" s="3" t="str">
        <f t="shared" si="4"/>
        <v>450012908110</v>
      </c>
      <c r="D267" s="4">
        <v>46203</v>
      </c>
      <c r="E267" s="3" t="s">
        <v>710</v>
      </c>
      <c r="F267" s="3" t="s">
        <v>842</v>
      </c>
    </row>
    <row r="268" spans="1:6" x14ac:dyDescent="0.3">
      <c r="A268" s="3" t="s">
        <v>275</v>
      </c>
      <c r="B268" s="3" t="s">
        <v>21</v>
      </c>
      <c r="C268" s="3" t="str">
        <f t="shared" si="4"/>
        <v>450012908120</v>
      </c>
      <c r="D268" s="4">
        <v>46203</v>
      </c>
      <c r="E268" s="3" t="s">
        <v>710</v>
      </c>
      <c r="F268" s="3" t="s">
        <v>842</v>
      </c>
    </row>
    <row r="269" spans="1:6" x14ac:dyDescent="0.3">
      <c r="A269" s="3" t="s">
        <v>548</v>
      </c>
      <c r="B269" s="3" t="s">
        <v>34</v>
      </c>
      <c r="C269" s="3" t="str">
        <f t="shared" si="4"/>
        <v>450012994310</v>
      </c>
      <c r="D269" s="4">
        <v>46282</v>
      </c>
      <c r="E269" s="3" t="s">
        <v>706</v>
      </c>
      <c r="F269" s="3" t="s">
        <v>903</v>
      </c>
    </row>
    <row r="270" spans="1:6" x14ac:dyDescent="0.3">
      <c r="A270" s="3" t="s">
        <v>548</v>
      </c>
      <c r="B270" s="3" t="s">
        <v>21</v>
      </c>
      <c r="C270" s="3" t="str">
        <f t="shared" si="4"/>
        <v>450012994320</v>
      </c>
      <c r="D270" s="4">
        <v>46282</v>
      </c>
      <c r="E270" s="3" t="s">
        <v>706</v>
      </c>
      <c r="F270" s="3" t="s">
        <v>903</v>
      </c>
    </row>
    <row r="271" spans="1:6" x14ac:dyDescent="0.3">
      <c r="A271" s="3" t="s">
        <v>308</v>
      </c>
      <c r="B271" s="3" t="s">
        <v>34</v>
      </c>
      <c r="C271" s="3" t="str">
        <f t="shared" si="4"/>
        <v>450013017110</v>
      </c>
      <c r="D271" s="4">
        <v>46198</v>
      </c>
      <c r="E271" s="3" t="s">
        <v>726</v>
      </c>
      <c r="F271" s="3" t="s">
        <v>904</v>
      </c>
    </row>
    <row r="272" spans="1:6" x14ac:dyDescent="0.3">
      <c r="A272" s="3" t="s">
        <v>360</v>
      </c>
      <c r="B272" s="3" t="s">
        <v>34</v>
      </c>
      <c r="C272" s="3" t="str">
        <f t="shared" si="4"/>
        <v>450013023810</v>
      </c>
      <c r="D272" s="4">
        <v>46206</v>
      </c>
      <c r="E272" s="3" t="s">
        <v>706</v>
      </c>
      <c r="F272" s="3" t="s">
        <v>859</v>
      </c>
    </row>
    <row r="273" spans="1:6" x14ac:dyDescent="0.3">
      <c r="A273" s="3" t="s">
        <v>360</v>
      </c>
      <c r="B273" s="3" t="s">
        <v>21</v>
      </c>
      <c r="C273" s="3" t="str">
        <f t="shared" si="4"/>
        <v>450013023820</v>
      </c>
      <c r="D273" s="4">
        <v>46206</v>
      </c>
      <c r="E273" s="3" t="s">
        <v>706</v>
      </c>
      <c r="F273" s="3" t="s">
        <v>859</v>
      </c>
    </row>
    <row r="274" spans="1:6" x14ac:dyDescent="0.3">
      <c r="A274" s="3" t="s">
        <v>360</v>
      </c>
      <c r="B274" s="3" t="s">
        <v>22</v>
      </c>
      <c r="C274" s="3" t="str">
        <f t="shared" si="4"/>
        <v>450013023830</v>
      </c>
      <c r="D274" s="4">
        <v>46206</v>
      </c>
      <c r="E274" s="3" t="s">
        <v>706</v>
      </c>
      <c r="F274" s="3" t="s">
        <v>859</v>
      </c>
    </row>
    <row r="275" spans="1:6" x14ac:dyDescent="0.3">
      <c r="A275" s="3" t="s">
        <v>360</v>
      </c>
      <c r="B275" s="3" t="s">
        <v>26</v>
      </c>
      <c r="C275" s="3" t="str">
        <f t="shared" si="4"/>
        <v>450013023840</v>
      </c>
      <c r="D275" s="4">
        <v>46206</v>
      </c>
      <c r="E275" s="3" t="s">
        <v>706</v>
      </c>
      <c r="F275" s="3" t="s">
        <v>859</v>
      </c>
    </row>
    <row r="276" spans="1:6" x14ac:dyDescent="0.3">
      <c r="A276" s="3" t="s">
        <v>360</v>
      </c>
      <c r="B276" s="3" t="s">
        <v>23</v>
      </c>
      <c r="C276" s="3" t="str">
        <f t="shared" si="4"/>
        <v>450013023850</v>
      </c>
      <c r="D276" s="4">
        <v>46206</v>
      </c>
      <c r="E276" s="3" t="s">
        <v>706</v>
      </c>
      <c r="F276" s="3" t="s">
        <v>859</v>
      </c>
    </row>
    <row r="277" spans="1:6" x14ac:dyDescent="0.3">
      <c r="A277" s="3" t="s">
        <v>360</v>
      </c>
      <c r="B277" s="3" t="s">
        <v>24</v>
      </c>
      <c r="C277" s="3" t="str">
        <f t="shared" si="4"/>
        <v>450013023860</v>
      </c>
      <c r="D277" s="4">
        <v>46206</v>
      </c>
      <c r="E277" s="3" t="s">
        <v>706</v>
      </c>
      <c r="F277" s="3" t="s">
        <v>859</v>
      </c>
    </row>
    <row r="278" spans="1:6" x14ac:dyDescent="0.3">
      <c r="A278" s="3" t="s">
        <v>360</v>
      </c>
      <c r="B278" s="3" t="s">
        <v>25</v>
      </c>
      <c r="C278" s="3" t="str">
        <f t="shared" si="4"/>
        <v>450013023870</v>
      </c>
      <c r="D278" s="4">
        <v>46206</v>
      </c>
      <c r="E278" s="3" t="s">
        <v>706</v>
      </c>
      <c r="F278" s="3" t="s">
        <v>859</v>
      </c>
    </row>
    <row r="279" spans="1:6" x14ac:dyDescent="0.3">
      <c r="A279" s="3" t="s">
        <v>360</v>
      </c>
      <c r="B279" s="3" t="s">
        <v>343</v>
      </c>
      <c r="C279" s="3" t="str">
        <f t="shared" si="4"/>
        <v>450013023880</v>
      </c>
      <c r="D279" s="4">
        <v>46206</v>
      </c>
      <c r="E279" s="3" t="s">
        <v>706</v>
      </c>
      <c r="F279" s="3" t="s">
        <v>859</v>
      </c>
    </row>
    <row r="280" spans="1:6" x14ac:dyDescent="0.3">
      <c r="A280" s="3" t="s">
        <v>360</v>
      </c>
      <c r="B280" s="3" t="s">
        <v>344</v>
      </c>
      <c r="C280" s="3" t="str">
        <f t="shared" si="4"/>
        <v>450013023890</v>
      </c>
      <c r="D280" s="4">
        <v>46206</v>
      </c>
      <c r="E280" s="3" t="s">
        <v>706</v>
      </c>
      <c r="F280" s="3" t="s">
        <v>859</v>
      </c>
    </row>
    <row r="281" spans="1:6" x14ac:dyDescent="0.3">
      <c r="A281" s="3" t="s">
        <v>360</v>
      </c>
      <c r="B281" s="3" t="s">
        <v>345</v>
      </c>
      <c r="C281" s="3" t="str">
        <f t="shared" si="4"/>
        <v>4500130238100</v>
      </c>
      <c r="D281" s="4">
        <v>46206</v>
      </c>
      <c r="E281" s="3" t="s">
        <v>706</v>
      </c>
      <c r="F281" s="3" t="s">
        <v>859</v>
      </c>
    </row>
    <row r="282" spans="1:6" x14ac:dyDescent="0.3">
      <c r="A282" s="3" t="s">
        <v>360</v>
      </c>
      <c r="B282" s="3" t="s">
        <v>193</v>
      </c>
      <c r="C282" s="3" t="str">
        <f t="shared" si="4"/>
        <v>4500130238110</v>
      </c>
      <c r="D282" s="4">
        <v>46206</v>
      </c>
      <c r="E282" s="3" t="s">
        <v>706</v>
      </c>
      <c r="F282" s="3" t="s">
        <v>859</v>
      </c>
    </row>
    <row r="283" spans="1:6" x14ac:dyDescent="0.3">
      <c r="A283" s="3" t="s">
        <v>360</v>
      </c>
      <c r="B283" s="3" t="s">
        <v>400</v>
      </c>
      <c r="C283" s="3" t="str">
        <f t="shared" si="4"/>
        <v>4500130238120</v>
      </c>
      <c r="D283" s="4">
        <v>46206</v>
      </c>
      <c r="E283" s="3" t="s">
        <v>706</v>
      </c>
      <c r="F283" s="3" t="s">
        <v>859</v>
      </c>
    </row>
    <row r="284" spans="1:6" x14ac:dyDescent="0.3">
      <c r="A284" s="3" t="s">
        <v>360</v>
      </c>
      <c r="B284" s="3" t="s">
        <v>221</v>
      </c>
      <c r="C284" s="3" t="str">
        <f t="shared" si="4"/>
        <v>4500130238130</v>
      </c>
      <c r="D284" s="4">
        <v>46206</v>
      </c>
      <c r="E284" s="3" t="s">
        <v>706</v>
      </c>
      <c r="F284" s="3" t="s">
        <v>859</v>
      </c>
    </row>
    <row r="285" spans="1:6" x14ac:dyDescent="0.3">
      <c r="A285" s="3" t="s">
        <v>360</v>
      </c>
      <c r="B285" s="3" t="s">
        <v>401</v>
      </c>
      <c r="C285" s="3" t="str">
        <f t="shared" si="4"/>
        <v>4500130238140</v>
      </c>
      <c r="D285" s="4">
        <v>46206</v>
      </c>
      <c r="E285" s="3" t="s">
        <v>706</v>
      </c>
      <c r="F285" s="3" t="s">
        <v>859</v>
      </c>
    </row>
    <row r="286" spans="1:6" x14ac:dyDescent="0.3">
      <c r="A286" s="3" t="s">
        <v>360</v>
      </c>
      <c r="B286" s="3" t="s">
        <v>402</v>
      </c>
      <c r="C286" s="3" t="str">
        <f t="shared" si="4"/>
        <v>4500130238150</v>
      </c>
      <c r="D286" s="4">
        <v>46206</v>
      </c>
      <c r="E286" s="3" t="s">
        <v>706</v>
      </c>
      <c r="F286" s="3" t="s">
        <v>859</v>
      </c>
    </row>
    <row r="287" spans="1:6" x14ac:dyDescent="0.3">
      <c r="A287" s="3" t="s">
        <v>360</v>
      </c>
      <c r="B287" s="3" t="s">
        <v>403</v>
      </c>
      <c r="C287" s="3" t="str">
        <f t="shared" si="4"/>
        <v>4500130238160</v>
      </c>
      <c r="D287" s="4">
        <v>46206</v>
      </c>
      <c r="E287" s="3" t="s">
        <v>706</v>
      </c>
      <c r="F287" s="3" t="s">
        <v>859</v>
      </c>
    </row>
    <row r="288" spans="1:6" x14ac:dyDescent="0.3">
      <c r="A288" s="3" t="s">
        <v>360</v>
      </c>
      <c r="B288" s="3" t="s">
        <v>346</v>
      </c>
      <c r="C288" s="3" t="str">
        <f t="shared" si="4"/>
        <v>4500130238170</v>
      </c>
      <c r="D288" s="4">
        <v>46206</v>
      </c>
      <c r="E288" s="3" t="s">
        <v>706</v>
      </c>
      <c r="F288" s="3" t="s">
        <v>859</v>
      </c>
    </row>
    <row r="289" spans="1:6" x14ac:dyDescent="0.3">
      <c r="A289" s="3" t="s">
        <v>360</v>
      </c>
      <c r="B289" s="3" t="s">
        <v>347</v>
      </c>
      <c r="C289" s="3" t="str">
        <f t="shared" si="4"/>
        <v>4500130238180</v>
      </c>
      <c r="D289" s="4">
        <v>46206</v>
      </c>
      <c r="E289" s="3" t="s">
        <v>706</v>
      </c>
      <c r="F289" s="3" t="s">
        <v>859</v>
      </c>
    </row>
    <row r="290" spans="1:6" x14ac:dyDescent="0.3">
      <c r="A290" s="3" t="s">
        <v>360</v>
      </c>
      <c r="B290" s="3" t="s">
        <v>404</v>
      </c>
      <c r="C290" s="3" t="str">
        <f t="shared" si="4"/>
        <v>4500130238190</v>
      </c>
      <c r="D290" s="4">
        <v>46206</v>
      </c>
      <c r="E290" s="3" t="s">
        <v>706</v>
      </c>
      <c r="F290" s="3" t="s">
        <v>859</v>
      </c>
    </row>
    <row r="291" spans="1:6" x14ac:dyDescent="0.3">
      <c r="A291" s="3" t="s">
        <v>360</v>
      </c>
      <c r="B291" s="3" t="s">
        <v>348</v>
      </c>
      <c r="C291" s="3" t="str">
        <f t="shared" si="4"/>
        <v>4500130238210</v>
      </c>
      <c r="D291" s="4">
        <v>46206</v>
      </c>
      <c r="E291" s="3" t="s">
        <v>706</v>
      </c>
      <c r="F291" s="3" t="s">
        <v>859</v>
      </c>
    </row>
    <row r="292" spans="1:6" x14ac:dyDescent="0.3">
      <c r="A292" s="3" t="s">
        <v>375</v>
      </c>
      <c r="B292" s="3" t="s">
        <v>34</v>
      </c>
      <c r="C292" s="3" t="str">
        <f t="shared" si="4"/>
        <v>450013040410</v>
      </c>
      <c r="D292" s="4">
        <v>46296</v>
      </c>
      <c r="E292" s="3" t="s">
        <v>710</v>
      </c>
      <c r="F292" s="3" t="s">
        <v>850</v>
      </c>
    </row>
    <row r="293" spans="1:6" x14ac:dyDescent="0.3">
      <c r="A293" s="3" t="s">
        <v>306</v>
      </c>
      <c r="B293" s="3" t="s">
        <v>34</v>
      </c>
      <c r="C293" s="3" t="str">
        <f t="shared" si="4"/>
        <v>450013045310</v>
      </c>
      <c r="D293" s="4">
        <v>46198</v>
      </c>
      <c r="E293" s="3" t="s">
        <v>706</v>
      </c>
      <c r="F293" s="3" t="s">
        <v>904</v>
      </c>
    </row>
    <row r="294" spans="1:6" x14ac:dyDescent="0.3">
      <c r="A294" s="3" t="s">
        <v>303</v>
      </c>
      <c r="B294" s="3" t="s">
        <v>34</v>
      </c>
      <c r="C294" s="3" t="str">
        <f t="shared" si="4"/>
        <v>450013049610</v>
      </c>
      <c r="D294" s="4">
        <v>46205</v>
      </c>
      <c r="E294" s="3" t="s">
        <v>719</v>
      </c>
      <c r="F294" s="3" t="s">
        <v>905</v>
      </c>
    </row>
    <row r="295" spans="1:6" x14ac:dyDescent="0.3">
      <c r="A295" s="3" t="s">
        <v>323</v>
      </c>
      <c r="B295" s="3" t="s">
        <v>34</v>
      </c>
      <c r="C295" s="3" t="str">
        <f t="shared" si="4"/>
        <v>450013077310</v>
      </c>
      <c r="D295" s="4">
        <v>46205</v>
      </c>
      <c r="E295" s="3" t="s">
        <v>706</v>
      </c>
      <c r="F295" s="3" t="s">
        <v>904</v>
      </c>
    </row>
    <row r="296" spans="1:6" x14ac:dyDescent="0.3">
      <c r="A296" s="3" t="s">
        <v>342</v>
      </c>
      <c r="B296" s="3" t="s">
        <v>34</v>
      </c>
      <c r="C296" s="3" t="str">
        <f t="shared" si="4"/>
        <v>450013085510</v>
      </c>
      <c r="D296" s="4">
        <v>46205</v>
      </c>
      <c r="E296" s="3" t="s">
        <v>706</v>
      </c>
      <c r="F296" s="3" t="s">
        <v>859</v>
      </c>
    </row>
    <row r="297" spans="1:6" x14ac:dyDescent="0.3">
      <c r="A297" s="3" t="s">
        <v>342</v>
      </c>
      <c r="B297" s="3" t="s">
        <v>21</v>
      </c>
      <c r="C297" s="3" t="str">
        <f t="shared" si="4"/>
        <v>450013085520</v>
      </c>
      <c r="D297" s="4">
        <v>46205</v>
      </c>
      <c r="E297" s="3" t="s">
        <v>706</v>
      </c>
      <c r="F297" s="3" t="s">
        <v>859</v>
      </c>
    </row>
    <row r="298" spans="1:6" x14ac:dyDescent="0.3">
      <c r="A298" s="3" t="s">
        <v>342</v>
      </c>
      <c r="B298" s="3" t="s">
        <v>22</v>
      </c>
      <c r="C298" s="3" t="str">
        <f t="shared" si="4"/>
        <v>450013085530</v>
      </c>
      <c r="D298" s="4">
        <v>46217</v>
      </c>
      <c r="E298" s="3" t="s">
        <v>706</v>
      </c>
      <c r="F298" s="3" t="s">
        <v>859</v>
      </c>
    </row>
    <row r="299" spans="1:6" x14ac:dyDescent="0.3">
      <c r="A299" s="3" t="s">
        <v>342</v>
      </c>
      <c r="B299" s="3" t="s">
        <v>26</v>
      </c>
      <c r="C299" s="3" t="str">
        <f t="shared" si="4"/>
        <v>450013085540</v>
      </c>
      <c r="D299" s="4">
        <v>46205</v>
      </c>
      <c r="E299" s="3" t="s">
        <v>706</v>
      </c>
      <c r="F299" s="3" t="s">
        <v>859</v>
      </c>
    </row>
    <row r="300" spans="1:6" x14ac:dyDescent="0.3">
      <c r="A300" s="3" t="s">
        <v>342</v>
      </c>
      <c r="B300" s="3" t="s">
        <v>23</v>
      </c>
      <c r="C300" s="3" t="str">
        <f t="shared" si="4"/>
        <v>450013085550</v>
      </c>
      <c r="D300" s="4">
        <v>46205</v>
      </c>
      <c r="E300" s="3" t="s">
        <v>706</v>
      </c>
      <c r="F300" s="3" t="s">
        <v>859</v>
      </c>
    </row>
    <row r="301" spans="1:6" x14ac:dyDescent="0.3">
      <c r="A301" s="3" t="s">
        <v>342</v>
      </c>
      <c r="B301" s="3" t="s">
        <v>25</v>
      </c>
      <c r="C301" s="3" t="str">
        <f t="shared" si="4"/>
        <v>450013085570</v>
      </c>
      <c r="D301" s="4">
        <v>46205</v>
      </c>
      <c r="E301" s="3" t="s">
        <v>706</v>
      </c>
      <c r="F301" s="3" t="s">
        <v>859</v>
      </c>
    </row>
    <row r="302" spans="1:6" x14ac:dyDescent="0.3">
      <c r="A302" s="3" t="s">
        <v>342</v>
      </c>
      <c r="B302" s="3" t="s">
        <v>343</v>
      </c>
      <c r="C302" s="3" t="str">
        <f t="shared" si="4"/>
        <v>450013085580</v>
      </c>
      <c r="D302" s="4">
        <v>46205</v>
      </c>
      <c r="E302" s="3" t="s">
        <v>706</v>
      </c>
      <c r="F302" s="3" t="s">
        <v>859</v>
      </c>
    </row>
    <row r="303" spans="1:6" x14ac:dyDescent="0.3">
      <c r="A303" s="3" t="s">
        <v>342</v>
      </c>
      <c r="B303" s="3" t="s">
        <v>344</v>
      </c>
      <c r="C303" s="3" t="str">
        <f t="shared" si="4"/>
        <v>450013085590</v>
      </c>
      <c r="D303" s="4">
        <v>46205</v>
      </c>
      <c r="E303" s="3" t="s">
        <v>706</v>
      </c>
      <c r="F303" s="3" t="s">
        <v>859</v>
      </c>
    </row>
    <row r="304" spans="1:6" x14ac:dyDescent="0.3">
      <c r="A304" s="3" t="s">
        <v>342</v>
      </c>
      <c r="B304" s="3" t="s">
        <v>345</v>
      </c>
      <c r="C304" s="3" t="str">
        <f t="shared" si="4"/>
        <v>4500130855100</v>
      </c>
      <c r="D304" s="4">
        <v>46205</v>
      </c>
      <c r="E304" s="3" t="s">
        <v>706</v>
      </c>
      <c r="F304" s="3" t="s">
        <v>859</v>
      </c>
    </row>
    <row r="305" spans="1:6" x14ac:dyDescent="0.3">
      <c r="A305" s="3" t="s">
        <v>342</v>
      </c>
      <c r="B305" s="3" t="s">
        <v>193</v>
      </c>
      <c r="C305" s="3" t="str">
        <f t="shared" si="4"/>
        <v>4500130855110</v>
      </c>
      <c r="D305" s="4">
        <v>46205</v>
      </c>
      <c r="E305" s="3" t="s">
        <v>706</v>
      </c>
      <c r="F305" s="3" t="s">
        <v>859</v>
      </c>
    </row>
    <row r="306" spans="1:6" x14ac:dyDescent="0.3">
      <c r="A306" s="3" t="s">
        <v>342</v>
      </c>
      <c r="B306" s="3" t="s">
        <v>400</v>
      </c>
      <c r="C306" s="3" t="str">
        <f t="shared" si="4"/>
        <v>4500130855120</v>
      </c>
      <c r="D306" s="4">
        <v>46213</v>
      </c>
      <c r="E306" s="3" t="s">
        <v>706</v>
      </c>
      <c r="F306" s="3" t="s">
        <v>859</v>
      </c>
    </row>
    <row r="307" spans="1:6" x14ac:dyDescent="0.3">
      <c r="A307" s="3" t="s">
        <v>342</v>
      </c>
      <c r="B307" s="3" t="s">
        <v>221</v>
      </c>
      <c r="C307" s="3" t="str">
        <f t="shared" si="4"/>
        <v>4500130855130</v>
      </c>
      <c r="D307" s="4">
        <v>46205</v>
      </c>
      <c r="E307" s="3" t="s">
        <v>706</v>
      </c>
      <c r="F307" s="3" t="s">
        <v>859</v>
      </c>
    </row>
    <row r="308" spans="1:6" x14ac:dyDescent="0.3">
      <c r="A308" s="3" t="s">
        <v>342</v>
      </c>
      <c r="B308" s="3" t="s">
        <v>346</v>
      </c>
      <c r="C308" s="3" t="str">
        <f t="shared" si="4"/>
        <v>4500130855170</v>
      </c>
      <c r="D308" s="4">
        <v>46205</v>
      </c>
      <c r="E308" s="3" t="s">
        <v>706</v>
      </c>
      <c r="F308" s="3" t="s">
        <v>859</v>
      </c>
    </row>
    <row r="309" spans="1:6" x14ac:dyDescent="0.3">
      <c r="A309" s="3" t="s">
        <v>342</v>
      </c>
      <c r="B309" s="3" t="s">
        <v>347</v>
      </c>
      <c r="C309" s="3" t="str">
        <f t="shared" si="4"/>
        <v>4500130855180</v>
      </c>
      <c r="D309" s="4">
        <v>46205</v>
      </c>
      <c r="E309" s="3" t="s">
        <v>706</v>
      </c>
      <c r="F309" s="3" t="s">
        <v>859</v>
      </c>
    </row>
    <row r="310" spans="1:6" x14ac:dyDescent="0.3">
      <c r="A310" s="3" t="s">
        <v>342</v>
      </c>
      <c r="B310" s="3" t="s">
        <v>348</v>
      </c>
      <c r="C310" s="3" t="str">
        <f t="shared" si="4"/>
        <v>4500130855210</v>
      </c>
      <c r="D310" s="4">
        <v>46205</v>
      </c>
      <c r="E310" s="3" t="s">
        <v>706</v>
      </c>
      <c r="F310" s="3" t="s">
        <v>859</v>
      </c>
    </row>
    <row r="311" spans="1:6" x14ac:dyDescent="0.3">
      <c r="A311" s="3" t="s">
        <v>342</v>
      </c>
      <c r="B311" s="3" t="s">
        <v>349</v>
      </c>
      <c r="C311" s="3" t="str">
        <f t="shared" si="4"/>
        <v>4500130855230</v>
      </c>
      <c r="D311" s="4">
        <v>46205</v>
      </c>
      <c r="E311" s="3" t="s">
        <v>706</v>
      </c>
      <c r="F311" s="3" t="s">
        <v>859</v>
      </c>
    </row>
    <row r="312" spans="1:6" x14ac:dyDescent="0.3">
      <c r="A312" s="3" t="s">
        <v>342</v>
      </c>
      <c r="B312" s="3" t="s">
        <v>350</v>
      </c>
      <c r="C312" s="3" t="str">
        <f t="shared" si="4"/>
        <v>4500130855240</v>
      </c>
      <c r="D312" s="4">
        <v>46205</v>
      </c>
      <c r="E312" s="3" t="s">
        <v>706</v>
      </c>
      <c r="F312" s="3" t="s">
        <v>859</v>
      </c>
    </row>
    <row r="313" spans="1:6" x14ac:dyDescent="0.3">
      <c r="A313" s="3" t="s">
        <v>342</v>
      </c>
      <c r="B313" s="3" t="s">
        <v>351</v>
      </c>
      <c r="C313" s="3" t="str">
        <f t="shared" si="4"/>
        <v>4500130855250</v>
      </c>
      <c r="D313" s="4">
        <v>46205</v>
      </c>
      <c r="E313" s="3" t="s">
        <v>706</v>
      </c>
      <c r="F313" s="3" t="s">
        <v>859</v>
      </c>
    </row>
    <row r="314" spans="1:6" x14ac:dyDescent="0.3">
      <c r="A314" s="3" t="s">
        <v>342</v>
      </c>
      <c r="B314" s="3" t="s">
        <v>352</v>
      </c>
      <c r="C314" s="3" t="str">
        <f t="shared" si="4"/>
        <v>4500130855260</v>
      </c>
      <c r="D314" s="4">
        <v>46205</v>
      </c>
      <c r="E314" s="3" t="s">
        <v>706</v>
      </c>
      <c r="F314" s="3" t="s">
        <v>859</v>
      </c>
    </row>
    <row r="315" spans="1:6" x14ac:dyDescent="0.3">
      <c r="A315" s="3" t="s">
        <v>1056</v>
      </c>
      <c r="B315" s="3" t="s">
        <v>34</v>
      </c>
      <c r="C315" s="3" t="str">
        <f t="shared" si="4"/>
        <v>450013129910</v>
      </c>
      <c r="D315" s="4">
        <v>46294</v>
      </c>
      <c r="E315" s="3" t="s">
        <v>706</v>
      </c>
      <c r="F315" s="3" t="s">
        <v>903</v>
      </c>
    </row>
    <row r="316" spans="1:6" x14ac:dyDescent="0.3">
      <c r="A316" s="3" t="s">
        <v>1056</v>
      </c>
      <c r="B316" s="3" t="s">
        <v>21</v>
      </c>
      <c r="C316" s="3" t="str">
        <f t="shared" si="4"/>
        <v>450013129920</v>
      </c>
      <c r="D316" s="4">
        <v>46294</v>
      </c>
      <c r="E316" s="3" t="s">
        <v>706</v>
      </c>
      <c r="F316" s="3" t="s">
        <v>903</v>
      </c>
    </row>
    <row r="317" spans="1:6" x14ac:dyDescent="0.3">
      <c r="A317" s="3" t="s">
        <v>1056</v>
      </c>
      <c r="B317" s="3" t="s">
        <v>22</v>
      </c>
      <c r="C317" s="3" t="str">
        <f t="shared" si="4"/>
        <v>450013129930</v>
      </c>
      <c r="D317" s="4">
        <v>46294</v>
      </c>
      <c r="E317" s="3" t="s">
        <v>706</v>
      </c>
      <c r="F317" s="3" t="s">
        <v>903</v>
      </c>
    </row>
    <row r="318" spans="1:6" x14ac:dyDescent="0.3">
      <c r="A318" s="3" t="s">
        <v>1056</v>
      </c>
      <c r="B318" s="3" t="s">
        <v>24</v>
      </c>
      <c r="C318" s="3" t="str">
        <f t="shared" si="4"/>
        <v>450013129960</v>
      </c>
      <c r="D318" s="4">
        <v>46294</v>
      </c>
      <c r="E318" s="3" t="s">
        <v>706</v>
      </c>
      <c r="F318" s="3" t="s">
        <v>903</v>
      </c>
    </row>
    <row r="319" spans="1:6" x14ac:dyDescent="0.3">
      <c r="A319" s="3" t="s">
        <v>1056</v>
      </c>
      <c r="B319" s="3" t="s">
        <v>343</v>
      </c>
      <c r="C319" s="3" t="str">
        <f t="shared" si="4"/>
        <v>450013129980</v>
      </c>
      <c r="D319" s="4">
        <v>46294</v>
      </c>
      <c r="E319" s="3" t="s">
        <v>706</v>
      </c>
      <c r="F319" s="3" t="s">
        <v>903</v>
      </c>
    </row>
    <row r="320" spans="1:6" x14ac:dyDescent="0.3">
      <c r="A320" s="3" t="s">
        <v>326</v>
      </c>
      <c r="B320" s="3" t="s">
        <v>34</v>
      </c>
      <c r="C320" s="3" t="str">
        <f t="shared" si="4"/>
        <v>450013130110</v>
      </c>
      <c r="D320" s="4">
        <v>46199</v>
      </c>
      <c r="E320" s="3" t="s">
        <v>712</v>
      </c>
      <c r="F320" s="3" t="s">
        <v>906</v>
      </c>
    </row>
    <row r="321" spans="1:6" x14ac:dyDescent="0.3">
      <c r="A321" s="3" t="s">
        <v>328</v>
      </c>
      <c r="B321" s="3" t="s">
        <v>34</v>
      </c>
      <c r="C321" s="3" t="str">
        <f t="shared" si="4"/>
        <v>450013135610</v>
      </c>
      <c r="D321" s="4">
        <v>46245</v>
      </c>
      <c r="E321" s="3" t="s">
        <v>710</v>
      </c>
      <c r="F321" s="3" t="s">
        <v>850</v>
      </c>
    </row>
    <row r="322" spans="1:6" x14ac:dyDescent="0.3">
      <c r="A322" s="3" t="s">
        <v>328</v>
      </c>
      <c r="B322" s="3" t="s">
        <v>21</v>
      </c>
      <c r="C322" s="3" t="str">
        <f t="shared" si="4"/>
        <v>450013135620</v>
      </c>
      <c r="D322" s="4">
        <v>46245</v>
      </c>
      <c r="E322" s="3" t="s">
        <v>710</v>
      </c>
      <c r="F322" s="3" t="s">
        <v>850</v>
      </c>
    </row>
    <row r="323" spans="1:6" x14ac:dyDescent="0.3">
      <c r="A323" s="3" t="s">
        <v>336</v>
      </c>
      <c r="B323" s="3" t="s">
        <v>21</v>
      </c>
      <c r="C323" s="3" t="str">
        <f t="shared" ref="C323:C386" si="5">_xlfn.CONCAT(A323:B323)</f>
        <v>450013159920</v>
      </c>
      <c r="D323" s="4">
        <v>46223</v>
      </c>
      <c r="E323" s="3" t="s">
        <v>708</v>
      </c>
      <c r="F323" s="3" t="s">
        <v>907</v>
      </c>
    </row>
    <row r="324" spans="1:6" x14ac:dyDescent="0.3">
      <c r="A324" s="3" t="s">
        <v>363</v>
      </c>
      <c r="B324" s="3" t="s">
        <v>34</v>
      </c>
      <c r="C324" s="3" t="str">
        <f t="shared" si="5"/>
        <v>450013169610</v>
      </c>
      <c r="D324" s="4">
        <v>46213</v>
      </c>
      <c r="E324" s="3" t="s">
        <v>708</v>
      </c>
      <c r="F324" s="3" t="s">
        <v>908</v>
      </c>
    </row>
    <row r="325" spans="1:6" x14ac:dyDescent="0.3">
      <c r="A325" s="3" t="s">
        <v>354</v>
      </c>
      <c r="B325" s="3" t="s">
        <v>34</v>
      </c>
      <c r="C325" s="3" t="str">
        <f t="shared" si="5"/>
        <v>450013188410</v>
      </c>
      <c r="D325" s="4">
        <v>46245</v>
      </c>
      <c r="E325" s="3" t="s">
        <v>710</v>
      </c>
      <c r="F325" s="3" t="s">
        <v>850</v>
      </c>
    </row>
    <row r="326" spans="1:6" x14ac:dyDescent="0.3">
      <c r="A326" s="3" t="s">
        <v>358</v>
      </c>
      <c r="B326" s="3" t="s">
        <v>34</v>
      </c>
      <c r="C326" s="3" t="str">
        <f t="shared" si="5"/>
        <v>450013196510</v>
      </c>
      <c r="D326" s="4">
        <v>46213</v>
      </c>
      <c r="E326" s="3" t="s">
        <v>708</v>
      </c>
      <c r="F326" s="3" t="s">
        <v>909</v>
      </c>
    </row>
    <row r="327" spans="1:6" x14ac:dyDescent="0.3">
      <c r="A327" s="3" t="s">
        <v>358</v>
      </c>
      <c r="B327" s="3" t="s">
        <v>21</v>
      </c>
      <c r="C327" s="3" t="str">
        <f t="shared" si="5"/>
        <v>450013196520</v>
      </c>
      <c r="D327" s="4">
        <v>46213</v>
      </c>
      <c r="E327" s="3" t="s">
        <v>708</v>
      </c>
      <c r="F327" s="3" t="s">
        <v>909</v>
      </c>
    </row>
    <row r="328" spans="1:6" x14ac:dyDescent="0.3">
      <c r="A328" s="3" t="s">
        <v>377</v>
      </c>
      <c r="B328" s="3" t="s">
        <v>34</v>
      </c>
      <c r="C328" s="3" t="str">
        <f t="shared" si="5"/>
        <v>450013213710</v>
      </c>
      <c r="D328" s="4">
        <v>46226</v>
      </c>
      <c r="E328" s="3" t="s">
        <v>713</v>
      </c>
      <c r="F328" s="3" t="s">
        <v>871</v>
      </c>
    </row>
    <row r="329" spans="1:6" x14ac:dyDescent="0.3">
      <c r="A329" s="3" t="s">
        <v>377</v>
      </c>
      <c r="B329" s="3" t="s">
        <v>21</v>
      </c>
      <c r="C329" s="3" t="str">
        <f t="shared" si="5"/>
        <v>450013213720</v>
      </c>
      <c r="D329" s="4">
        <v>46266</v>
      </c>
      <c r="E329" s="3" t="s">
        <v>713</v>
      </c>
      <c r="F329" s="3" t="s">
        <v>871</v>
      </c>
    </row>
    <row r="330" spans="1:6" x14ac:dyDescent="0.3">
      <c r="A330" s="3" t="s">
        <v>377</v>
      </c>
      <c r="B330" s="3" t="s">
        <v>22</v>
      </c>
      <c r="C330" s="3" t="str">
        <f t="shared" si="5"/>
        <v>450013213730</v>
      </c>
      <c r="D330" s="4">
        <v>46226</v>
      </c>
      <c r="E330" s="3" t="s">
        <v>713</v>
      </c>
      <c r="F330" s="3" t="s">
        <v>871</v>
      </c>
    </row>
    <row r="331" spans="1:6" x14ac:dyDescent="0.3">
      <c r="A331" s="3" t="s">
        <v>377</v>
      </c>
      <c r="B331" s="3" t="s">
        <v>26</v>
      </c>
      <c r="C331" s="3" t="str">
        <f t="shared" si="5"/>
        <v>450013213740</v>
      </c>
      <c r="D331" s="4">
        <v>46266</v>
      </c>
      <c r="E331" s="3" t="s">
        <v>713</v>
      </c>
      <c r="F331" s="3" t="s">
        <v>871</v>
      </c>
    </row>
    <row r="332" spans="1:6" x14ac:dyDescent="0.3">
      <c r="A332" s="3" t="s">
        <v>377</v>
      </c>
      <c r="B332" s="3" t="s">
        <v>23</v>
      </c>
      <c r="C332" s="3" t="str">
        <f t="shared" si="5"/>
        <v>450013213750</v>
      </c>
      <c r="D332" s="4">
        <v>46226</v>
      </c>
      <c r="E332" s="3" t="s">
        <v>713</v>
      </c>
      <c r="F332" s="3" t="s">
        <v>871</v>
      </c>
    </row>
    <row r="333" spans="1:6" x14ac:dyDescent="0.3">
      <c r="A333" s="3" t="s">
        <v>390</v>
      </c>
      <c r="B333" s="3" t="s">
        <v>34</v>
      </c>
      <c r="C333" s="3" t="str">
        <f t="shared" si="5"/>
        <v>450013216210</v>
      </c>
      <c r="D333" s="4">
        <v>46231</v>
      </c>
      <c r="E333" s="3" t="s">
        <v>708</v>
      </c>
      <c r="F333" s="3" t="s">
        <v>910</v>
      </c>
    </row>
    <row r="334" spans="1:6" x14ac:dyDescent="0.3">
      <c r="A334" s="3" t="s">
        <v>365</v>
      </c>
      <c r="B334" s="3" t="s">
        <v>34</v>
      </c>
      <c r="C334" s="3" t="str">
        <f t="shared" si="5"/>
        <v>450013225710</v>
      </c>
      <c r="D334" s="4">
        <v>46231</v>
      </c>
      <c r="E334" s="3" t="s">
        <v>708</v>
      </c>
      <c r="F334" s="3" t="s">
        <v>855</v>
      </c>
    </row>
    <row r="335" spans="1:6" x14ac:dyDescent="0.3">
      <c r="A335" s="3" t="s">
        <v>974</v>
      </c>
      <c r="B335" s="3" t="s">
        <v>34</v>
      </c>
      <c r="C335" s="3" t="str">
        <f t="shared" si="5"/>
        <v>450013262110</v>
      </c>
      <c r="D335" s="4">
        <v>46230</v>
      </c>
      <c r="E335" s="3" t="s">
        <v>705</v>
      </c>
      <c r="F335" s="3" t="s">
        <v>871</v>
      </c>
    </row>
    <row r="336" spans="1:6" x14ac:dyDescent="0.3">
      <c r="A336" s="3" t="s">
        <v>974</v>
      </c>
      <c r="B336" s="3" t="s">
        <v>21</v>
      </c>
      <c r="C336" s="3" t="str">
        <f t="shared" si="5"/>
        <v>450013262120</v>
      </c>
      <c r="D336" s="4">
        <v>46230</v>
      </c>
      <c r="E336" s="3" t="s">
        <v>705</v>
      </c>
      <c r="F336" s="3" t="s">
        <v>871</v>
      </c>
    </row>
    <row r="337" spans="1:6" x14ac:dyDescent="0.3">
      <c r="A337" s="3" t="s">
        <v>974</v>
      </c>
      <c r="B337" s="3" t="s">
        <v>22</v>
      </c>
      <c r="C337" s="3" t="str">
        <f t="shared" si="5"/>
        <v>450013262130</v>
      </c>
      <c r="D337" s="4">
        <v>46230</v>
      </c>
      <c r="E337" s="3" t="s">
        <v>705</v>
      </c>
      <c r="F337" s="3" t="s">
        <v>871</v>
      </c>
    </row>
    <row r="338" spans="1:6" x14ac:dyDescent="0.3">
      <c r="A338" s="3" t="s">
        <v>974</v>
      </c>
      <c r="B338" s="3" t="s">
        <v>26</v>
      </c>
      <c r="C338" s="3" t="str">
        <f t="shared" si="5"/>
        <v>450013262140</v>
      </c>
      <c r="D338" s="4">
        <v>46230</v>
      </c>
      <c r="E338" s="3" t="s">
        <v>705</v>
      </c>
      <c r="F338" s="3" t="s">
        <v>871</v>
      </c>
    </row>
    <row r="339" spans="1:6" x14ac:dyDescent="0.3">
      <c r="A339" s="3" t="s">
        <v>974</v>
      </c>
      <c r="B339" s="3" t="s">
        <v>24</v>
      </c>
      <c r="C339" s="3" t="str">
        <f t="shared" si="5"/>
        <v>450013262160</v>
      </c>
      <c r="D339" s="4">
        <v>46230</v>
      </c>
      <c r="E339" s="3" t="s">
        <v>705</v>
      </c>
      <c r="F339" s="3" t="s">
        <v>871</v>
      </c>
    </row>
    <row r="340" spans="1:6" x14ac:dyDescent="0.3">
      <c r="A340" s="3" t="s">
        <v>974</v>
      </c>
      <c r="B340" s="3" t="s">
        <v>25</v>
      </c>
      <c r="C340" s="3" t="str">
        <f t="shared" si="5"/>
        <v>450013262170</v>
      </c>
      <c r="D340" s="4">
        <v>46230</v>
      </c>
      <c r="E340" s="3" t="s">
        <v>705</v>
      </c>
      <c r="F340" s="3" t="s">
        <v>871</v>
      </c>
    </row>
    <row r="341" spans="1:6" x14ac:dyDescent="0.3">
      <c r="A341" s="3" t="s">
        <v>974</v>
      </c>
      <c r="B341" s="3" t="s">
        <v>343</v>
      </c>
      <c r="C341" s="3" t="str">
        <f t="shared" si="5"/>
        <v>450013262180</v>
      </c>
      <c r="D341" s="4">
        <v>46230</v>
      </c>
      <c r="E341" s="3" t="s">
        <v>705</v>
      </c>
      <c r="F341" s="3" t="s">
        <v>871</v>
      </c>
    </row>
    <row r="342" spans="1:6" x14ac:dyDescent="0.3">
      <c r="A342" s="3" t="s">
        <v>974</v>
      </c>
      <c r="B342" s="3" t="s">
        <v>344</v>
      </c>
      <c r="C342" s="3" t="str">
        <f t="shared" si="5"/>
        <v>450013262190</v>
      </c>
      <c r="D342" s="4">
        <v>46230</v>
      </c>
      <c r="E342" s="3" t="s">
        <v>705</v>
      </c>
      <c r="F342" s="3" t="s">
        <v>871</v>
      </c>
    </row>
    <row r="343" spans="1:6" x14ac:dyDescent="0.3">
      <c r="A343" s="3" t="s">
        <v>399</v>
      </c>
      <c r="B343" s="3" t="s">
        <v>34</v>
      </c>
      <c r="C343" s="3" t="str">
        <f t="shared" si="5"/>
        <v>450013279110</v>
      </c>
      <c r="D343" s="4">
        <v>46238</v>
      </c>
      <c r="E343" s="3" t="s">
        <v>706</v>
      </c>
      <c r="F343" s="3" t="s">
        <v>871</v>
      </c>
    </row>
    <row r="344" spans="1:6" x14ac:dyDescent="0.3">
      <c r="A344" s="3" t="s">
        <v>399</v>
      </c>
      <c r="B344" s="3" t="s">
        <v>21</v>
      </c>
      <c r="C344" s="3" t="str">
        <f t="shared" si="5"/>
        <v>450013279120</v>
      </c>
      <c r="D344" s="4">
        <v>46238</v>
      </c>
      <c r="E344" s="3" t="s">
        <v>706</v>
      </c>
      <c r="F344" s="3" t="s">
        <v>871</v>
      </c>
    </row>
    <row r="345" spans="1:6" x14ac:dyDescent="0.3">
      <c r="A345" s="3" t="s">
        <v>399</v>
      </c>
      <c r="B345" s="3" t="s">
        <v>22</v>
      </c>
      <c r="C345" s="3" t="str">
        <f t="shared" si="5"/>
        <v>450013279130</v>
      </c>
      <c r="D345" s="4">
        <v>46238</v>
      </c>
      <c r="E345" s="3" t="s">
        <v>706</v>
      </c>
      <c r="F345" s="3" t="s">
        <v>871</v>
      </c>
    </row>
    <row r="346" spans="1:6" x14ac:dyDescent="0.3">
      <c r="A346" s="3" t="s">
        <v>399</v>
      </c>
      <c r="B346" s="3" t="s">
        <v>26</v>
      </c>
      <c r="C346" s="3" t="str">
        <f t="shared" si="5"/>
        <v>450013279140</v>
      </c>
      <c r="D346" s="4">
        <v>46238</v>
      </c>
      <c r="E346" s="3" t="s">
        <v>706</v>
      </c>
      <c r="F346" s="3" t="s">
        <v>871</v>
      </c>
    </row>
    <row r="347" spans="1:6" x14ac:dyDescent="0.3">
      <c r="A347" s="3" t="s">
        <v>399</v>
      </c>
      <c r="B347" s="3" t="s">
        <v>23</v>
      </c>
      <c r="C347" s="3" t="str">
        <f t="shared" si="5"/>
        <v>450013279150</v>
      </c>
      <c r="D347" s="4">
        <v>46238</v>
      </c>
      <c r="E347" s="3" t="s">
        <v>706</v>
      </c>
      <c r="F347" s="3" t="s">
        <v>871</v>
      </c>
    </row>
    <row r="348" spans="1:6" x14ac:dyDescent="0.3">
      <c r="A348" s="3" t="s">
        <v>399</v>
      </c>
      <c r="B348" s="3" t="s">
        <v>24</v>
      </c>
      <c r="C348" s="3" t="str">
        <f t="shared" si="5"/>
        <v>450013279160</v>
      </c>
      <c r="D348" s="4">
        <v>46238</v>
      </c>
      <c r="E348" s="3" t="s">
        <v>706</v>
      </c>
      <c r="F348" s="3" t="s">
        <v>871</v>
      </c>
    </row>
    <row r="349" spans="1:6" x14ac:dyDescent="0.3">
      <c r="A349" s="3" t="s">
        <v>399</v>
      </c>
      <c r="B349" s="3" t="s">
        <v>25</v>
      </c>
      <c r="C349" s="3" t="str">
        <f t="shared" si="5"/>
        <v>450013279170</v>
      </c>
      <c r="D349" s="4">
        <v>46238</v>
      </c>
      <c r="E349" s="3" t="s">
        <v>706</v>
      </c>
      <c r="F349" s="3" t="s">
        <v>871</v>
      </c>
    </row>
    <row r="350" spans="1:6" x14ac:dyDescent="0.3">
      <c r="A350" s="3" t="s">
        <v>399</v>
      </c>
      <c r="B350" s="3" t="s">
        <v>343</v>
      </c>
      <c r="C350" s="3" t="str">
        <f t="shared" si="5"/>
        <v>450013279180</v>
      </c>
      <c r="D350" s="4">
        <v>46238</v>
      </c>
      <c r="E350" s="3" t="s">
        <v>706</v>
      </c>
      <c r="F350" s="3" t="s">
        <v>871</v>
      </c>
    </row>
    <row r="351" spans="1:6" x14ac:dyDescent="0.3">
      <c r="A351" s="3" t="s">
        <v>399</v>
      </c>
      <c r="B351" s="3" t="s">
        <v>344</v>
      </c>
      <c r="C351" s="3" t="str">
        <f t="shared" si="5"/>
        <v>450013279190</v>
      </c>
      <c r="D351" s="4">
        <v>46266</v>
      </c>
      <c r="E351" s="3" t="s">
        <v>706</v>
      </c>
      <c r="F351" s="3" t="s">
        <v>871</v>
      </c>
    </row>
    <row r="352" spans="1:6" x14ac:dyDescent="0.3">
      <c r="A352" s="3" t="s">
        <v>399</v>
      </c>
      <c r="B352" s="3" t="s">
        <v>345</v>
      </c>
      <c r="C352" s="3" t="str">
        <f t="shared" si="5"/>
        <v>4500132791100</v>
      </c>
      <c r="D352" s="4">
        <v>46238</v>
      </c>
      <c r="E352" s="3" t="s">
        <v>706</v>
      </c>
      <c r="F352" s="3" t="s">
        <v>871</v>
      </c>
    </row>
    <row r="353" spans="1:6" x14ac:dyDescent="0.3">
      <c r="A353" s="3" t="s">
        <v>399</v>
      </c>
      <c r="B353" s="3" t="s">
        <v>193</v>
      </c>
      <c r="C353" s="3" t="str">
        <f t="shared" si="5"/>
        <v>4500132791110</v>
      </c>
      <c r="D353" s="4">
        <v>46266</v>
      </c>
      <c r="E353" s="3" t="s">
        <v>706</v>
      </c>
      <c r="F353" s="3" t="s">
        <v>871</v>
      </c>
    </row>
    <row r="354" spans="1:6" x14ac:dyDescent="0.3">
      <c r="A354" s="3" t="s">
        <v>399</v>
      </c>
      <c r="B354" s="3" t="s">
        <v>221</v>
      </c>
      <c r="C354" s="3" t="str">
        <f t="shared" si="5"/>
        <v>4500132791130</v>
      </c>
      <c r="D354" s="4">
        <v>46238</v>
      </c>
      <c r="E354" s="3" t="s">
        <v>706</v>
      </c>
      <c r="F354" s="3" t="s">
        <v>871</v>
      </c>
    </row>
    <row r="355" spans="1:6" x14ac:dyDescent="0.3">
      <c r="A355" s="3" t="s">
        <v>399</v>
      </c>
      <c r="B355" s="3" t="s">
        <v>401</v>
      </c>
      <c r="C355" s="3" t="str">
        <f t="shared" si="5"/>
        <v>4500132791140</v>
      </c>
      <c r="D355" s="4">
        <v>46238</v>
      </c>
      <c r="E355" s="3" t="s">
        <v>706</v>
      </c>
      <c r="F355" s="3" t="s">
        <v>871</v>
      </c>
    </row>
    <row r="356" spans="1:6" x14ac:dyDescent="0.3">
      <c r="A356" s="3" t="s">
        <v>399</v>
      </c>
      <c r="B356" s="3" t="s">
        <v>402</v>
      </c>
      <c r="C356" s="3" t="str">
        <f t="shared" si="5"/>
        <v>4500132791150</v>
      </c>
      <c r="D356" s="4">
        <v>46238</v>
      </c>
      <c r="E356" s="3" t="s">
        <v>706</v>
      </c>
      <c r="F356" s="3" t="s">
        <v>871</v>
      </c>
    </row>
    <row r="357" spans="1:6" x14ac:dyDescent="0.3">
      <c r="A357" s="3" t="s">
        <v>399</v>
      </c>
      <c r="B357" s="3" t="s">
        <v>403</v>
      </c>
      <c r="C357" s="3" t="str">
        <f t="shared" si="5"/>
        <v>4500132791160</v>
      </c>
      <c r="D357" s="4">
        <v>46238</v>
      </c>
      <c r="E357" s="3" t="s">
        <v>706</v>
      </c>
      <c r="F357" s="3" t="s">
        <v>871</v>
      </c>
    </row>
    <row r="358" spans="1:6" x14ac:dyDescent="0.3">
      <c r="A358" s="3" t="s">
        <v>399</v>
      </c>
      <c r="B358" s="3" t="s">
        <v>346</v>
      </c>
      <c r="C358" s="3" t="str">
        <f t="shared" si="5"/>
        <v>4500132791170</v>
      </c>
      <c r="D358" s="4">
        <v>46238</v>
      </c>
      <c r="E358" s="3" t="s">
        <v>706</v>
      </c>
      <c r="F358" s="3" t="s">
        <v>871</v>
      </c>
    </row>
    <row r="359" spans="1:6" x14ac:dyDescent="0.3">
      <c r="A359" s="3" t="s">
        <v>399</v>
      </c>
      <c r="B359" s="3" t="s">
        <v>347</v>
      </c>
      <c r="C359" s="3" t="str">
        <f t="shared" si="5"/>
        <v>4500132791180</v>
      </c>
      <c r="D359" s="4">
        <v>46238</v>
      </c>
      <c r="E359" s="3" t="s">
        <v>706</v>
      </c>
      <c r="F359" s="3" t="s">
        <v>871</v>
      </c>
    </row>
    <row r="360" spans="1:6" x14ac:dyDescent="0.3">
      <c r="A360" s="3" t="s">
        <v>399</v>
      </c>
      <c r="B360" s="3" t="s">
        <v>404</v>
      </c>
      <c r="C360" s="3" t="str">
        <f t="shared" si="5"/>
        <v>4500132791190</v>
      </c>
      <c r="D360" s="4">
        <v>46238</v>
      </c>
      <c r="E360" s="3" t="s">
        <v>706</v>
      </c>
      <c r="F360" s="3" t="s">
        <v>871</v>
      </c>
    </row>
    <row r="361" spans="1:6" x14ac:dyDescent="0.3">
      <c r="A361" s="3" t="s">
        <v>399</v>
      </c>
      <c r="B361" s="3" t="s">
        <v>405</v>
      </c>
      <c r="C361" s="3" t="str">
        <f t="shared" si="5"/>
        <v>4500132791200</v>
      </c>
      <c r="D361" s="4">
        <v>46238</v>
      </c>
      <c r="E361" s="3" t="s">
        <v>706</v>
      </c>
      <c r="F361" s="3" t="s">
        <v>871</v>
      </c>
    </row>
    <row r="362" spans="1:6" x14ac:dyDescent="0.3">
      <c r="A362" s="3" t="s">
        <v>399</v>
      </c>
      <c r="B362" s="3" t="s">
        <v>348</v>
      </c>
      <c r="C362" s="3" t="str">
        <f t="shared" si="5"/>
        <v>4500132791210</v>
      </c>
      <c r="D362" s="4">
        <v>46238</v>
      </c>
      <c r="E362" s="3" t="s">
        <v>706</v>
      </c>
      <c r="F362" s="3" t="s">
        <v>871</v>
      </c>
    </row>
    <row r="363" spans="1:6" x14ac:dyDescent="0.3">
      <c r="A363" s="3" t="s">
        <v>387</v>
      </c>
      <c r="B363" s="3" t="s">
        <v>34</v>
      </c>
      <c r="C363" s="3" t="str">
        <f t="shared" si="5"/>
        <v>450013283310</v>
      </c>
      <c r="D363" s="4">
        <v>46216</v>
      </c>
      <c r="E363" s="3" t="s">
        <v>705</v>
      </c>
      <c r="F363" s="3" t="s">
        <v>871</v>
      </c>
    </row>
    <row r="364" spans="1:6" x14ac:dyDescent="0.3">
      <c r="A364" s="3" t="s">
        <v>103</v>
      </c>
      <c r="B364" s="3" t="s">
        <v>34</v>
      </c>
      <c r="C364" s="3" t="str">
        <f t="shared" si="5"/>
        <v>450013294610</v>
      </c>
      <c r="D364" s="4">
        <v>46239</v>
      </c>
      <c r="E364" s="3" t="s">
        <v>709</v>
      </c>
      <c r="F364" s="3" t="s">
        <v>911</v>
      </c>
    </row>
    <row r="365" spans="1:6" x14ac:dyDescent="0.3">
      <c r="A365" s="3" t="s">
        <v>587</v>
      </c>
      <c r="B365" s="3" t="s">
        <v>34</v>
      </c>
      <c r="C365" s="3" t="str">
        <f t="shared" si="5"/>
        <v>450013297110</v>
      </c>
      <c r="D365" s="4">
        <v>46237</v>
      </c>
      <c r="E365" s="3" t="s">
        <v>705</v>
      </c>
      <c r="F365" s="3" t="s">
        <v>912</v>
      </c>
    </row>
    <row r="366" spans="1:6" x14ac:dyDescent="0.3">
      <c r="A366" s="3" t="s">
        <v>691</v>
      </c>
      <c r="B366" s="3" t="s">
        <v>34</v>
      </c>
      <c r="C366" s="3" t="str">
        <f t="shared" si="5"/>
        <v>450013311810</v>
      </c>
      <c r="D366" s="4">
        <v>46240</v>
      </c>
      <c r="E366" s="3" t="s">
        <v>705</v>
      </c>
      <c r="F366" s="3" t="s">
        <v>893</v>
      </c>
    </row>
    <row r="367" spans="1:6" x14ac:dyDescent="0.3">
      <c r="A367" s="3" t="s">
        <v>691</v>
      </c>
      <c r="B367" s="3" t="s">
        <v>21</v>
      </c>
      <c r="C367" s="3" t="str">
        <f t="shared" si="5"/>
        <v>450013311820</v>
      </c>
      <c r="D367" s="4">
        <v>46240</v>
      </c>
      <c r="E367" s="3" t="s">
        <v>705</v>
      </c>
      <c r="F367" s="3" t="s">
        <v>893</v>
      </c>
    </row>
    <row r="368" spans="1:6" x14ac:dyDescent="0.3">
      <c r="A368" s="3" t="s">
        <v>533</v>
      </c>
      <c r="B368" s="3" t="s">
        <v>34</v>
      </c>
      <c r="C368" s="3" t="str">
        <f t="shared" si="5"/>
        <v>450013332510</v>
      </c>
      <c r="D368" s="4">
        <v>46246</v>
      </c>
      <c r="E368" s="3" t="s">
        <v>711</v>
      </c>
      <c r="F368" s="3" t="s">
        <v>913</v>
      </c>
    </row>
    <row r="369" spans="1:6" x14ac:dyDescent="0.3">
      <c r="A369" s="3" t="s">
        <v>533</v>
      </c>
      <c r="B369" s="3" t="s">
        <v>21</v>
      </c>
      <c r="C369" s="3" t="str">
        <f t="shared" si="5"/>
        <v>450013332520</v>
      </c>
      <c r="D369" s="4">
        <v>46246</v>
      </c>
      <c r="E369" s="3" t="s">
        <v>711</v>
      </c>
      <c r="F369" s="3" t="s">
        <v>913</v>
      </c>
    </row>
    <row r="370" spans="1:6" x14ac:dyDescent="0.3">
      <c r="A370" s="3" t="s">
        <v>533</v>
      </c>
      <c r="B370" s="3" t="s">
        <v>22</v>
      </c>
      <c r="C370" s="3" t="str">
        <f t="shared" si="5"/>
        <v>450013332530</v>
      </c>
      <c r="D370" s="4">
        <v>46246</v>
      </c>
      <c r="E370" s="3" t="s">
        <v>711</v>
      </c>
      <c r="F370" s="3" t="s">
        <v>913</v>
      </c>
    </row>
    <row r="371" spans="1:6" x14ac:dyDescent="0.3">
      <c r="A371" s="3" t="s">
        <v>533</v>
      </c>
      <c r="B371" s="3" t="s">
        <v>26</v>
      </c>
      <c r="C371" s="3" t="str">
        <f t="shared" si="5"/>
        <v>450013332540</v>
      </c>
      <c r="D371" s="4">
        <v>46246</v>
      </c>
      <c r="E371" s="3" t="s">
        <v>711</v>
      </c>
      <c r="F371" s="3" t="s">
        <v>913</v>
      </c>
    </row>
    <row r="372" spans="1:6" x14ac:dyDescent="0.3">
      <c r="A372" s="3" t="s">
        <v>533</v>
      </c>
      <c r="B372" s="3" t="s">
        <v>23</v>
      </c>
      <c r="C372" s="3" t="str">
        <f t="shared" si="5"/>
        <v>450013332550</v>
      </c>
      <c r="D372" s="4">
        <v>46246</v>
      </c>
      <c r="E372" s="3" t="s">
        <v>711</v>
      </c>
      <c r="F372" s="3" t="s">
        <v>913</v>
      </c>
    </row>
    <row r="373" spans="1:6" x14ac:dyDescent="0.3">
      <c r="A373" s="3" t="s">
        <v>533</v>
      </c>
      <c r="B373" s="3" t="s">
        <v>24</v>
      </c>
      <c r="C373" s="3" t="str">
        <f t="shared" si="5"/>
        <v>450013332560</v>
      </c>
      <c r="D373" s="4">
        <v>46246</v>
      </c>
      <c r="E373" s="3" t="s">
        <v>711</v>
      </c>
      <c r="F373" s="3" t="s">
        <v>913</v>
      </c>
    </row>
    <row r="374" spans="1:6" x14ac:dyDescent="0.3">
      <c r="A374" s="3" t="s">
        <v>379</v>
      </c>
      <c r="B374" s="3" t="s">
        <v>34</v>
      </c>
      <c r="C374" s="3" t="str">
        <f t="shared" si="5"/>
        <v>450013334610</v>
      </c>
      <c r="D374" s="4">
        <v>46228</v>
      </c>
      <c r="E374" s="3" t="s">
        <v>712</v>
      </c>
      <c r="F374" s="3" t="s">
        <v>895</v>
      </c>
    </row>
    <row r="375" spans="1:6" x14ac:dyDescent="0.3">
      <c r="A375" s="3" t="s">
        <v>90</v>
      </c>
      <c r="B375" s="3" t="s">
        <v>34</v>
      </c>
      <c r="C375" s="3" t="str">
        <f t="shared" si="5"/>
        <v>450013335110</v>
      </c>
      <c r="D375" s="4">
        <v>46245</v>
      </c>
      <c r="E375" s="3" t="s">
        <v>711</v>
      </c>
      <c r="F375" s="3" t="s">
        <v>914</v>
      </c>
    </row>
    <row r="376" spans="1:6" x14ac:dyDescent="0.3">
      <c r="A376" s="3" t="s">
        <v>90</v>
      </c>
      <c r="B376" s="3" t="s">
        <v>21</v>
      </c>
      <c r="C376" s="3" t="str">
        <f t="shared" si="5"/>
        <v>450013335120</v>
      </c>
      <c r="D376" s="4">
        <v>46255</v>
      </c>
      <c r="E376" s="3" t="s">
        <v>711</v>
      </c>
      <c r="F376" s="3" t="s">
        <v>914</v>
      </c>
    </row>
    <row r="377" spans="1:6" x14ac:dyDescent="0.3">
      <c r="A377" s="3" t="s">
        <v>90</v>
      </c>
      <c r="B377" s="3" t="s">
        <v>22</v>
      </c>
      <c r="C377" s="3" t="str">
        <f t="shared" si="5"/>
        <v>450013335130</v>
      </c>
      <c r="D377" s="4">
        <v>46245</v>
      </c>
      <c r="E377" s="3" t="s">
        <v>711</v>
      </c>
      <c r="F377" s="3" t="s">
        <v>914</v>
      </c>
    </row>
    <row r="378" spans="1:6" x14ac:dyDescent="0.3">
      <c r="A378" s="3" t="s">
        <v>76</v>
      </c>
      <c r="B378" s="3" t="s">
        <v>34</v>
      </c>
      <c r="C378" s="3" t="str">
        <f t="shared" si="5"/>
        <v>450013335210</v>
      </c>
      <c r="D378" s="4">
        <v>46240</v>
      </c>
      <c r="E378" s="3" t="s">
        <v>708</v>
      </c>
      <c r="F378" s="3" t="s">
        <v>902</v>
      </c>
    </row>
    <row r="379" spans="1:6" x14ac:dyDescent="0.3">
      <c r="A379" s="3" t="s">
        <v>77</v>
      </c>
      <c r="B379" s="3" t="s">
        <v>34</v>
      </c>
      <c r="C379" s="3" t="str">
        <f t="shared" si="5"/>
        <v>450013335310</v>
      </c>
      <c r="D379" s="4">
        <v>46240</v>
      </c>
      <c r="E379" s="3" t="s">
        <v>708</v>
      </c>
      <c r="F379" s="3" t="s">
        <v>902</v>
      </c>
    </row>
    <row r="380" spans="1:6" x14ac:dyDescent="0.3">
      <c r="A380" s="3" t="s">
        <v>78</v>
      </c>
      <c r="B380" s="3" t="s">
        <v>34</v>
      </c>
      <c r="C380" s="3" t="str">
        <f t="shared" si="5"/>
        <v>450013335410</v>
      </c>
      <c r="D380" s="4">
        <v>46240</v>
      </c>
      <c r="E380" s="3" t="s">
        <v>708</v>
      </c>
      <c r="F380" s="3" t="s">
        <v>902</v>
      </c>
    </row>
    <row r="381" spans="1:6" x14ac:dyDescent="0.3">
      <c r="A381" s="3" t="s">
        <v>96</v>
      </c>
      <c r="B381" s="3" t="s">
        <v>21</v>
      </c>
      <c r="C381" s="3" t="str">
        <f t="shared" si="5"/>
        <v>450013337420</v>
      </c>
      <c r="D381" s="4">
        <v>46234</v>
      </c>
      <c r="E381" s="3" t="s">
        <v>725</v>
      </c>
      <c r="F381" s="3" t="s">
        <v>854</v>
      </c>
    </row>
    <row r="382" spans="1:6" x14ac:dyDescent="0.3">
      <c r="A382" s="3" t="s">
        <v>385</v>
      </c>
      <c r="B382" s="3" t="s">
        <v>34</v>
      </c>
      <c r="C382" s="3" t="str">
        <f t="shared" si="5"/>
        <v>450013343710</v>
      </c>
      <c r="D382" s="4">
        <v>46244</v>
      </c>
      <c r="E382" s="3" t="s">
        <v>708</v>
      </c>
      <c r="F382" s="3" t="s">
        <v>855</v>
      </c>
    </row>
    <row r="383" spans="1:6" x14ac:dyDescent="0.3">
      <c r="A383" s="3" t="s">
        <v>566</v>
      </c>
      <c r="B383" s="3" t="s">
        <v>34</v>
      </c>
      <c r="C383" s="3" t="str">
        <f t="shared" si="5"/>
        <v>450013344110</v>
      </c>
      <c r="D383" s="4">
        <v>46356</v>
      </c>
      <c r="E383" s="3" t="s">
        <v>706</v>
      </c>
      <c r="F383" s="3" t="s">
        <v>859</v>
      </c>
    </row>
    <row r="384" spans="1:6" x14ac:dyDescent="0.3">
      <c r="A384" s="3" t="s">
        <v>566</v>
      </c>
      <c r="B384" s="3" t="s">
        <v>21</v>
      </c>
      <c r="C384" s="3" t="str">
        <f t="shared" si="5"/>
        <v>450013344120</v>
      </c>
      <c r="D384" s="4">
        <v>46356</v>
      </c>
      <c r="E384" s="3" t="s">
        <v>706</v>
      </c>
      <c r="F384" s="3" t="s">
        <v>859</v>
      </c>
    </row>
    <row r="385" spans="1:6" x14ac:dyDescent="0.3">
      <c r="A385" s="3" t="s">
        <v>566</v>
      </c>
      <c r="B385" s="3" t="s">
        <v>22</v>
      </c>
      <c r="C385" s="3" t="str">
        <f t="shared" si="5"/>
        <v>450013344130</v>
      </c>
      <c r="D385" s="4">
        <v>46356</v>
      </c>
      <c r="E385" s="3" t="s">
        <v>706</v>
      </c>
      <c r="F385" s="3" t="s">
        <v>859</v>
      </c>
    </row>
    <row r="386" spans="1:6" x14ac:dyDescent="0.3">
      <c r="A386" s="3" t="s">
        <v>566</v>
      </c>
      <c r="B386" s="3" t="s">
        <v>26</v>
      </c>
      <c r="C386" s="3" t="str">
        <f t="shared" si="5"/>
        <v>450013344140</v>
      </c>
      <c r="D386" s="4">
        <v>46356</v>
      </c>
      <c r="E386" s="3" t="s">
        <v>706</v>
      </c>
      <c r="F386" s="3" t="s">
        <v>859</v>
      </c>
    </row>
    <row r="387" spans="1:6" x14ac:dyDescent="0.3">
      <c r="A387" s="3" t="s">
        <v>566</v>
      </c>
      <c r="B387" s="3" t="s">
        <v>23</v>
      </c>
      <c r="C387" s="3" t="str">
        <f t="shared" ref="C387:C450" si="6">_xlfn.CONCAT(A387:B387)</f>
        <v>450013344150</v>
      </c>
      <c r="D387" s="4">
        <v>46356</v>
      </c>
      <c r="E387" s="3" t="s">
        <v>706</v>
      </c>
      <c r="F387" s="3" t="s">
        <v>859</v>
      </c>
    </row>
    <row r="388" spans="1:6" x14ac:dyDescent="0.3">
      <c r="A388" s="3" t="s">
        <v>566</v>
      </c>
      <c r="B388" s="3" t="s">
        <v>24</v>
      </c>
      <c r="C388" s="3" t="str">
        <f t="shared" si="6"/>
        <v>450013344160</v>
      </c>
      <c r="D388" s="4">
        <v>46356</v>
      </c>
      <c r="E388" s="3" t="s">
        <v>706</v>
      </c>
      <c r="F388" s="3" t="s">
        <v>859</v>
      </c>
    </row>
    <row r="389" spans="1:6" x14ac:dyDescent="0.3">
      <c r="A389" s="3" t="s">
        <v>566</v>
      </c>
      <c r="B389" s="3" t="s">
        <v>25</v>
      </c>
      <c r="C389" s="3" t="str">
        <f t="shared" si="6"/>
        <v>450013344170</v>
      </c>
      <c r="D389" s="4">
        <v>46356</v>
      </c>
      <c r="E389" s="3" t="s">
        <v>706</v>
      </c>
      <c r="F389" s="3" t="s">
        <v>859</v>
      </c>
    </row>
    <row r="390" spans="1:6" x14ac:dyDescent="0.3">
      <c r="A390" s="3" t="s">
        <v>566</v>
      </c>
      <c r="B390" s="3" t="s">
        <v>343</v>
      </c>
      <c r="C390" s="3" t="str">
        <f t="shared" si="6"/>
        <v>450013344180</v>
      </c>
      <c r="D390" s="4">
        <v>46356</v>
      </c>
      <c r="E390" s="3" t="s">
        <v>706</v>
      </c>
      <c r="F390" s="3" t="s">
        <v>859</v>
      </c>
    </row>
    <row r="391" spans="1:6" x14ac:dyDescent="0.3">
      <c r="A391" s="3" t="s">
        <v>566</v>
      </c>
      <c r="B391" s="3" t="s">
        <v>344</v>
      </c>
      <c r="C391" s="3" t="str">
        <f t="shared" si="6"/>
        <v>450013344190</v>
      </c>
      <c r="D391" s="4">
        <v>46356</v>
      </c>
      <c r="E391" s="3" t="s">
        <v>706</v>
      </c>
      <c r="F391" s="3" t="s">
        <v>859</v>
      </c>
    </row>
    <row r="392" spans="1:6" x14ac:dyDescent="0.3">
      <c r="A392" s="3" t="s">
        <v>566</v>
      </c>
      <c r="B392" s="3" t="s">
        <v>345</v>
      </c>
      <c r="C392" s="3" t="str">
        <f t="shared" si="6"/>
        <v>4500133441100</v>
      </c>
      <c r="D392" s="4">
        <v>46356</v>
      </c>
      <c r="E392" s="3" t="s">
        <v>706</v>
      </c>
      <c r="F392" s="3" t="s">
        <v>859</v>
      </c>
    </row>
    <row r="393" spans="1:6" x14ac:dyDescent="0.3">
      <c r="A393" s="3" t="s">
        <v>566</v>
      </c>
      <c r="B393" s="3" t="s">
        <v>193</v>
      </c>
      <c r="C393" s="3" t="str">
        <f t="shared" si="6"/>
        <v>4500133441110</v>
      </c>
      <c r="D393" s="4">
        <v>46356</v>
      </c>
      <c r="E393" s="3" t="s">
        <v>706</v>
      </c>
      <c r="F393" s="3" t="s">
        <v>859</v>
      </c>
    </row>
    <row r="394" spans="1:6" x14ac:dyDescent="0.3">
      <c r="A394" s="3" t="s">
        <v>566</v>
      </c>
      <c r="B394" s="3" t="s">
        <v>400</v>
      </c>
      <c r="C394" s="3" t="str">
        <f t="shared" si="6"/>
        <v>4500133441120</v>
      </c>
      <c r="D394" s="4">
        <v>46356</v>
      </c>
      <c r="E394" s="3" t="s">
        <v>706</v>
      </c>
      <c r="F394" s="3" t="s">
        <v>859</v>
      </c>
    </row>
    <row r="395" spans="1:6" x14ac:dyDescent="0.3">
      <c r="A395" s="3" t="s">
        <v>566</v>
      </c>
      <c r="B395" s="3" t="s">
        <v>221</v>
      </c>
      <c r="C395" s="3" t="str">
        <f t="shared" si="6"/>
        <v>4500133441130</v>
      </c>
      <c r="D395" s="4">
        <v>46356</v>
      </c>
      <c r="E395" s="3" t="s">
        <v>706</v>
      </c>
      <c r="F395" s="3" t="s">
        <v>859</v>
      </c>
    </row>
    <row r="396" spans="1:6" x14ac:dyDescent="0.3">
      <c r="A396" s="3" t="s">
        <v>382</v>
      </c>
      <c r="B396" s="3" t="s">
        <v>34</v>
      </c>
      <c r="C396" s="3" t="str">
        <f t="shared" si="6"/>
        <v>450013346210</v>
      </c>
      <c r="D396" s="4">
        <v>46234</v>
      </c>
      <c r="E396" s="3" t="s">
        <v>712</v>
      </c>
      <c r="F396" s="3" t="s">
        <v>895</v>
      </c>
    </row>
    <row r="397" spans="1:6" x14ac:dyDescent="0.3">
      <c r="A397" s="3" t="s">
        <v>425</v>
      </c>
      <c r="B397" s="3" t="s">
        <v>34</v>
      </c>
      <c r="C397" s="3" t="str">
        <f t="shared" si="6"/>
        <v>450013397410</v>
      </c>
      <c r="D397" s="4">
        <v>46249</v>
      </c>
      <c r="E397" s="3" t="s">
        <v>706</v>
      </c>
      <c r="F397" s="3" t="s">
        <v>870</v>
      </c>
    </row>
    <row r="398" spans="1:6" x14ac:dyDescent="0.3">
      <c r="A398" s="3" t="s">
        <v>425</v>
      </c>
      <c r="B398" s="3" t="s">
        <v>21</v>
      </c>
      <c r="C398" s="3" t="str">
        <f t="shared" si="6"/>
        <v>450013397420</v>
      </c>
      <c r="D398" s="4">
        <v>46249</v>
      </c>
      <c r="E398" s="3" t="s">
        <v>706</v>
      </c>
      <c r="F398" s="3" t="s">
        <v>870</v>
      </c>
    </row>
    <row r="399" spans="1:6" x14ac:dyDescent="0.3">
      <c r="A399" s="3" t="s">
        <v>425</v>
      </c>
      <c r="B399" s="3" t="s">
        <v>22</v>
      </c>
      <c r="C399" s="3" t="str">
        <f t="shared" si="6"/>
        <v>450013397430</v>
      </c>
      <c r="D399" s="4">
        <v>46249</v>
      </c>
      <c r="E399" s="3" t="s">
        <v>706</v>
      </c>
      <c r="F399" s="3" t="s">
        <v>870</v>
      </c>
    </row>
    <row r="400" spans="1:6" x14ac:dyDescent="0.3">
      <c r="A400" s="3" t="s">
        <v>425</v>
      </c>
      <c r="B400" s="3" t="s">
        <v>26</v>
      </c>
      <c r="C400" s="3" t="str">
        <f t="shared" si="6"/>
        <v>450013397440</v>
      </c>
      <c r="D400" s="4">
        <v>46249</v>
      </c>
      <c r="E400" s="3" t="s">
        <v>706</v>
      </c>
      <c r="F400" s="3" t="s">
        <v>870</v>
      </c>
    </row>
    <row r="401" spans="1:6" x14ac:dyDescent="0.3">
      <c r="A401" s="3" t="s">
        <v>425</v>
      </c>
      <c r="B401" s="3" t="s">
        <v>23</v>
      </c>
      <c r="C401" s="3" t="str">
        <f t="shared" si="6"/>
        <v>450013397450</v>
      </c>
      <c r="D401" s="4">
        <v>46249</v>
      </c>
      <c r="E401" s="3" t="s">
        <v>706</v>
      </c>
      <c r="F401" s="3" t="s">
        <v>870</v>
      </c>
    </row>
    <row r="402" spans="1:6" x14ac:dyDescent="0.3">
      <c r="A402" s="3" t="s">
        <v>425</v>
      </c>
      <c r="B402" s="3" t="s">
        <v>24</v>
      </c>
      <c r="C402" s="3" t="str">
        <f t="shared" si="6"/>
        <v>450013397460</v>
      </c>
      <c r="D402" s="4">
        <v>46249</v>
      </c>
      <c r="E402" s="3" t="s">
        <v>706</v>
      </c>
      <c r="F402" s="3" t="s">
        <v>870</v>
      </c>
    </row>
    <row r="403" spans="1:6" x14ac:dyDescent="0.3">
      <c r="A403" s="3" t="s">
        <v>425</v>
      </c>
      <c r="B403" s="3" t="s">
        <v>25</v>
      </c>
      <c r="C403" s="3" t="str">
        <f t="shared" si="6"/>
        <v>450013397470</v>
      </c>
      <c r="D403" s="4">
        <v>46249</v>
      </c>
      <c r="E403" s="3" t="s">
        <v>706</v>
      </c>
      <c r="F403" s="3" t="s">
        <v>870</v>
      </c>
    </row>
    <row r="404" spans="1:6" x14ac:dyDescent="0.3">
      <c r="A404" s="3" t="s">
        <v>425</v>
      </c>
      <c r="B404" s="3" t="s">
        <v>343</v>
      </c>
      <c r="C404" s="3" t="str">
        <f t="shared" si="6"/>
        <v>450013397480</v>
      </c>
      <c r="D404" s="4">
        <v>46249</v>
      </c>
      <c r="E404" s="3" t="s">
        <v>706</v>
      </c>
      <c r="F404" s="3" t="s">
        <v>870</v>
      </c>
    </row>
    <row r="405" spans="1:6" x14ac:dyDescent="0.3">
      <c r="A405" s="3" t="s">
        <v>425</v>
      </c>
      <c r="B405" s="3" t="s">
        <v>344</v>
      </c>
      <c r="C405" s="3" t="str">
        <f t="shared" si="6"/>
        <v>450013397490</v>
      </c>
      <c r="D405" s="4">
        <v>46249</v>
      </c>
      <c r="E405" s="3" t="s">
        <v>706</v>
      </c>
      <c r="F405" s="3" t="s">
        <v>870</v>
      </c>
    </row>
    <row r="406" spans="1:6" x14ac:dyDescent="0.3">
      <c r="A406" s="3" t="s">
        <v>425</v>
      </c>
      <c r="B406" s="3" t="s">
        <v>345</v>
      </c>
      <c r="C406" s="3" t="str">
        <f t="shared" si="6"/>
        <v>4500133974100</v>
      </c>
      <c r="D406" s="4">
        <v>46249</v>
      </c>
      <c r="E406" s="3" t="s">
        <v>706</v>
      </c>
      <c r="F406" s="3" t="s">
        <v>870</v>
      </c>
    </row>
    <row r="407" spans="1:6" x14ac:dyDescent="0.3">
      <c r="A407" s="3" t="s">
        <v>425</v>
      </c>
      <c r="B407" s="3" t="s">
        <v>193</v>
      </c>
      <c r="C407" s="3" t="str">
        <f t="shared" si="6"/>
        <v>4500133974110</v>
      </c>
      <c r="D407" s="4">
        <v>46249</v>
      </c>
      <c r="E407" s="3" t="s">
        <v>706</v>
      </c>
      <c r="F407" s="3" t="s">
        <v>870</v>
      </c>
    </row>
    <row r="408" spans="1:6" x14ac:dyDescent="0.3">
      <c r="A408" s="3" t="s">
        <v>425</v>
      </c>
      <c r="B408" s="3" t="s">
        <v>400</v>
      </c>
      <c r="C408" s="3" t="str">
        <f t="shared" si="6"/>
        <v>4500133974120</v>
      </c>
      <c r="D408" s="4">
        <v>46249</v>
      </c>
      <c r="E408" s="3" t="s">
        <v>706</v>
      </c>
      <c r="F408" s="3" t="s">
        <v>870</v>
      </c>
    </row>
    <row r="409" spans="1:6" x14ac:dyDescent="0.3">
      <c r="A409" s="3" t="s">
        <v>425</v>
      </c>
      <c r="B409" s="3" t="s">
        <v>221</v>
      </c>
      <c r="C409" s="3" t="str">
        <f t="shared" si="6"/>
        <v>4500133974130</v>
      </c>
      <c r="D409" s="4">
        <v>46249</v>
      </c>
      <c r="E409" s="3" t="s">
        <v>706</v>
      </c>
      <c r="F409" s="3" t="s">
        <v>870</v>
      </c>
    </row>
    <row r="410" spans="1:6" x14ac:dyDescent="0.3">
      <c r="A410" s="3" t="s">
        <v>425</v>
      </c>
      <c r="B410" s="3" t="s">
        <v>401</v>
      </c>
      <c r="C410" s="3" t="str">
        <f t="shared" si="6"/>
        <v>4500133974140</v>
      </c>
      <c r="D410" s="4">
        <v>46249</v>
      </c>
      <c r="E410" s="3" t="s">
        <v>706</v>
      </c>
      <c r="F410" s="3" t="s">
        <v>870</v>
      </c>
    </row>
    <row r="411" spans="1:6" x14ac:dyDescent="0.3">
      <c r="A411" s="3" t="s">
        <v>425</v>
      </c>
      <c r="B411" s="3" t="s">
        <v>402</v>
      </c>
      <c r="C411" s="3" t="str">
        <f t="shared" si="6"/>
        <v>4500133974150</v>
      </c>
      <c r="D411" s="4">
        <v>46249</v>
      </c>
      <c r="E411" s="3" t="s">
        <v>706</v>
      </c>
      <c r="F411" s="3" t="s">
        <v>870</v>
      </c>
    </row>
    <row r="412" spans="1:6" x14ac:dyDescent="0.3">
      <c r="A412" s="3" t="s">
        <v>425</v>
      </c>
      <c r="B412" s="3" t="s">
        <v>403</v>
      </c>
      <c r="C412" s="3" t="str">
        <f t="shared" si="6"/>
        <v>4500133974160</v>
      </c>
      <c r="D412" s="4">
        <v>46249</v>
      </c>
      <c r="E412" s="3" t="s">
        <v>706</v>
      </c>
      <c r="F412" s="3" t="s">
        <v>870</v>
      </c>
    </row>
    <row r="413" spans="1:6" x14ac:dyDescent="0.3">
      <c r="A413" s="3" t="s">
        <v>425</v>
      </c>
      <c r="B413" s="3" t="s">
        <v>346</v>
      </c>
      <c r="C413" s="3" t="str">
        <f t="shared" si="6"/>
        <v>4500133974170</v>
      </c>
      <c r="D413" s="4">
        <v>46249</v>
      </c>
      <c r="E413" s="3" t="s">
        <v>706</v>
      </c>
      <c r="F413" s="3" t="s">
        <v>870</v>
      </c>
    </row>
    <row r="414" spans="1:6" x14ac:dyDescent="0.3">
      <c r="A414" s="3" t="s">
        <v>425</v>
      </c>
      <c r="B414" s="3" t="s">
        <v>404</v>
      </c>
      <c r="C414" s="3" t="str">
        <f t="shared" si="6"/>
        <v>4500133974190</v>
      </c>
      <c r="D414" s="4">
        <v>46249</v>
      </c>
      <c r="E414" s="3" t="s">
        <v>706</v>
      </c>
      <c r="F414" s="3" t="s">
        <v>870</v>
      </c>
    </row>
    <row r="415" spans="1:6" x14ac:dyDescent="0.3">
      <c r="A415" s="3" t="s">
        <v>425</v>
      </c>
      <c r="B415" s="3" t="s">
        <v>405</v>
      </c>
      <c r="C415" s="3" t="str">
        <f t="shared" si="6"/>
        <v>4500133974200</v>
      </c>
      <c r="D415" s="4">
        <v>46249</v>
      </c>
      <c r="E415" s="3" t="s">
        <v>706</v>
      </c>
      <c r="F415" s="3" t="s">
        <v>870</v>
      </c>
    </row>
    <row r="416" spans="1:6" x14ac:dyDescent="0.3">
      <c r="A416" s="3" t="s">
        <v>425</v>
      </c>
      <c r="B416" s="3" t="s">
        <v>348</v>
      </c>
      <c r="C416" s="3" t="str">
        <f t="shared" si="6"/>
        <v>4500133974210</v>
      </c>
      <c r="D416" s="4">
        <v>46295</v>
      </c>
      <c r="E416" s="3" t="s">
        <v>706</v>
      </c>
      <c r="F416" s="3" t="s">
        <v>870</v>
      </c>
    </row>
    <row r="417" spans="1:6" x14ac:dyDescent="0.3">
      <c r="A417" s="3" t="s">
        <v>425</v>
      </c>
      <c r="B417" s="3" t="s">
        <v>441</v>
      </c>
      <c r="C417" s="3" t="str">
        <f t="shared" si="6"/>
        <v>4500133974220</v>
      </c>
      <c r="D417" s="4">
        <v>46249</v>
      </c>
      <c r="E417" s="3" t="s">
        <v>706</v>
      </c>
      <c r="F417" s="3" t="s">
        <v>870</v>
      </c>
    </row>
    <row r="418" spans="1:6" x14ac:dyDescent="0.3">
      <c r="A418" s="3" t="s">
        <v>425</v>
      </c>
      <c r="B418" s="3" t="s">
        <v>349</v>
      </c>
      <c r="C418" s="3" t="str">
        <f t="shared" si="6"/>
        <v>4500133974230</v>
      </c>
      <c r="D418" s="4">
        <v>46249</v>
      </c>
      <c r="E418" s="3" t="s">
        <v>706</v>
      </c>
      <c r="F418" s="3" t="s">
        <v>870</v>
      </c>
    </row>
    <row r="419" spans="1:6" x14ac:dyDescent="0.3">
      <c r="A419" s="3" t="s">
        <v>425</v>
      </c>
      <c r="B419" s="3" t="s">
        <v>350</v>
      </c>
      <c r="C419" s="3" t="str">
        <f t="shared" si="6"/>
        <v>4500133974240</v>
      </c>
      <c r="D419" s="4">
        <v>46249</v>
      </c>
      <c r="E419" s="3" t="s">
        <v>706</v>
      </c>
      <c r="F419" s="3" t="s">
        <v>870</v>
      </c>
    </row>
    <row r="420" spans="1:6" x14ac:dyDescent="0.3">
      <c r="A420" s="3" t="s">
        <v>425</v>
      </c>
      <c r="B420" s="3" t="s">
        <v>351</v>
      </c>
      <c r="C420" s="3" t="str">
        <f t="shared" si="6"/>
        <v>4500133974250</v>
      </c>
      <c r="D420" s="4">
        <v>46249</v>
      </c>
      <c r="E420" s="3" t="s">
        <v>706</v>
      </c>
      <c r="F420" s="3" t="s">
        <v>870</v>
      </c>
    </row>
    <row r="421" spans="1:6" x14ac:dyDescent="0.3">
      <c r="A421" s="3" t="s">
        <v>425</v>
      </c>
      <c r="B421" s="3" t="s">
        <v>352</v>
      </c>
      <c r="C421" s="3" t="str">
        <f t="shared" si="6"/>
        <v>4500133974260</v>
      </c>
      <c r="D421" s="4">
        <v>46249</v>
      </c>
      <c r="E421" s="3" t="s">
        <v>706</v>
      </c>
      <c r="F421" s="3" t="s">
        <v>870</v>
      </c>
    </row>
    <row r="422" spans="1:6" x14ac:dyDescent="0.3">
      <c r="A422" s="3" t="s">
        <v>425</v>
      </c>
      <c r="B422" s="3" t="s">
        <v>442</v>
      </c>
      <c r="C422" s="3" t="str">
        <f t="shared" si="6"/>
        <v>4500133974270</v>
      </c>
      <c r="D422" s="4">
        <v>46249</v>
      </c>
      <c r="E422" s="3" t="s">
        <v>706</v>
      </c>
      <c r="F422" s="3" t="s">
        <v>870</v>
      </c>
    </row>
    <row r="423" spans="1:6" x14ac:dyDescent="0.3">
      <c r="A423" s="3" t="s">
        <v>425</v>
      </c>
      <c r="B423" s="3" t="s">
        <v>443</v>
      </c>
      <c r="C423" s="3" t="str">
        <f t="shared" si="6"/>
        <v>4500133974280</v>
      </c>
      <c r="D423" s="4">
        <v>46249</v>
      </c>
      <c r="E423" s="3" t="s">
        <v>706</v>
      </c>
      <c r="F423" s="3" t="s">
        <v>870</v>
      </c>
    </row>
    <row r="424" spans="1:6" x14ac:dyDescent="0.3">
      <c r="A424" s="3" t="s">
        <v>428</v>
      </c>
      <c r="B424" s="3" t="s">
        <v>34</v>
      </c>
      <c r="C424" s="3" t="str">
        <f t="shared" si="6"/>
        <v>450013402110</v>
      </c>
      <c r="D424" s="4">
        <v>46237</v>
      </c>
      <c r="E424" s="3" t="s">
        <v>706</v>
      </c>
      <c r="F424" s="3" t="s">
        <v>859</v>
      </c>
    </row>
    <row r="425" spans="1:6" x14ac:dyDescent="0.3">
      <c r="A425" s="3" t="s">
        <v>428</v>
      </c>
      <c r="B425" s="3" t="s">
        <v>21</v>
      </c>
      <c r="C425" s="3" t="str">
        <f t="shared" si="6"/>
        <v>450013402120</v>
      </c>
      <c r="D425" s="4">
        <v>46237</v>
      </c>
      <c r="E425" s="3" t="s">
        <v>706</v>
      </c>
      <c r="F425" s="3" t="s">
        <v>859</v>
      </c>
    </row>
    <row r="426" spans="1:6" x14ac:dyDescent="0.3">
      <c r="A426" s="3" t="s">
        <v>428</v>
      </c>
      <c r="B426" s="3" t="s">
        <v>22</v>
      </c>
      <c r="C426" s="3" t="str">
        <f t="shared" si="6"/>
        <v>450013402130</v>
      </c>
      <c r="D426" s="4">
        <v>46237</v>
      </c>
      <c r="E426" s="3" t="s">
        <v>706</v>
      </c>
      <c r="F426" s="3" t="s">
        <v>859</v>
      </c>
    </row>
    <row r="427" spans="1:6" x14ac:dyDescent="0.3">
      <c r="A427" s="3" t="s">
        <v>527</v>
      </c>
      <c r="B427" s="3" t="s">
        <v>34</v>
      </c>
      <c r="C427" s="3" t="str">
        <f t="shared" si="6"/>
        <v>450013418410</v>
      </c>
      <c r="D427" s="4">
        <v>46231</v>
      </c>
      <c r="E427" s="3" t="s">
        <v>705</v>
      </c>
      <c r="F427" s="3" t="s">
        <v>915</v>
      </c>
    </row>
    <row r="428" spans="1:6" x14ac:dyDescent="0.3">
      <c r="A428" s="3" t="s">
        <v>418</v>
      </c>
      <c r="B428" s="3" t="s">
        <v>34</v>
      </c>
      <c r="C428" s="3" t="str">
        <f t="shared" si="6"/>
        <v>450013443810</v>
      </c>
      <c r="D428" s="4">
        <v>46264</v>
      </c>
      <c r="E428" s="3" t="s">
        <v>722</v>
      </c>
      <c r="F428" s="3" t="s">
        <v>916</v>
      </c>
    </row>
    <row r="429" spans="1:6" x14ac:dyDescent="0.3">
      <c r="A429" s="3" t="s">
        <v>593</v>
      </c>
      <c r="B429" s="3" t="s">
        <v>34</v>
      </c>
      <c r="C429" s="3" t="str">
        <f t="shared" si="6"/>
        <v>450013450510</v>
      </c>
      <c r="D429" s="4">
        <v>46275</v>
      </c>
      <c r="E429" s="3" t="s">
        <v>706</v>
      </c>
      <c r="F429" s="3" t="s">
        <v>854</v>
      </c>
    </row>
    <row r="430" spans="1:6" x14ac:dyDescent="0.3">
      <c r="A430" s="3" t="s">
        <v>593</v>
      </c>
      <c r="B430" s="3" t="s">
        <v>21</v>
      </c>
      <c r="C430" s="3" t="str">
        <f t="shared" si="6"/>
        <v>450013450520</v>
      </c>
      <c r="D430" s="4">
        <v>46275</v>
      </c>
      <c r="E430" s="3" t="s">
        <v>706</v>
      </c>
      <c r="F430" s="3" t="s">
        <v>854</v>
      </c>
    </row>
    <row r="431" spans="1:6" x14ac:dyDescent="0.3">
      <c r="A431" s="3" t="s">
        <v>593</v>
      </c>
      <c r="B431" s="3" t="s">
        <v>22</v>
      </c>
      <c r="C431" s="3" t="str">
        <f t="shared" si="6"/>
        <v>450013450530</v>
      </c>
      <c r="D431" s="4">
        <v>46275</v>
      </c>
      <c r="E431" s="3" t="s">
        <v>706</v>
      </c>
      <c r="F431" s="3" t="s">
        <v>854</v>
      </c>
    </row>
    <row r="432" spans="1:6" x14ac:dyDescent="0.3">
      <c r="A432" s="3" t="s">
        <v>626</v>
      </c>
      <c r="B432" s="3" t="s">
        <v>34</v>
      </c>
      <c r="C432" s="3" t="str">
        <f t="shared" si="6"/>
        <v>450013464610</v>
      </c>
      <c r="D432" s="4">
        <v>46269</v>
      </c>
      <c r="E432" s="3" t="s">
        <v>711</v>
      </c>
      <c r="F432" s="3" t="s">
        <v>860</v>
      </c>
    </row>
    <row r="433" spans="1:6" x14ac:dyDescent="0.3">
      <c r="A433" s="3" t="s">
        <v>626</v>
      </c>
      <c r="B433" s="3" t="s">
        <v>21</v>
      </c>
      <c r="C433" s="3" t="str">
        <f t="shared" si="6"/>
        <v>450013464620</v>
      </c>
      <c r="D433" s="4">
        <v>46269</v>
      </c>
      <c r="E433" s="3" t="s">
        <v>711</v>
      </c>
      <c r="F433" s="3" t="s">
        <v>860</v>
      </c>
    </row>
    <row r="434" spans="1:6" x14ac:dyDescent="0.3">
      <c r="A434" s="3" t="s">
        <v>626</v>
      </c>
      <c r="B434" s="3" t="s">
        <v>22</v>
      </c>
      <c r="C434" s="3" t="str">
        <f t="shared" si="6"/>
        <v>450013464630</v>
      </c>
      <c r="D434" s="4">
        <v>46269</v>
      </c>
      <c r="E434" s="3" t="s">
        <v>711</v>
      </c>
      <c r="F434" s="3" t="s">
        <v>860</v>
      </c>
    </row>
    <row r="435" spans="1:6" x14ac:dyDescent="0.3">
      <c r="A435" s="3" t="s">
        <v>626</v>
      </c>
      <c r="B435" s="3" t="s">
        <v>26</v>
      </c>
      <c r="C435" s="3" t="str">
        <f t="shared" si="6"/>
        <v>450013464640</v>
      </c>
      <c r="D435" s="4">
        <v>46269</v>
      </c>
      <c r="E435" s="3" t="s">
        <v>711</v>
      </c>
      <c r="F435" s="3" t="s">
        <v>860</v>
      </c>
    </row>
    <row r="436" spans="1:6" x14ac:dyDescent="0.3">
      <c r="A436" s="3" t="s">
        <v>626</v>
      </c>
      <c r="B436" s="3" t="s">
        <v>23</v>
      </c>
      <c r="C436" s="3" t="str">
        <f t="shared" si="6"/>
        <v>450013464650</v>
      </c>
      <c r="D436" s="4">
        <v>46269</v>
      </c>
      <c r="E436" s="3" t="s">
        <v>711</v>
      </c>
      <c r="F436" s="3" t="s">
        <v>860</v>
      </c>
    </row>
    <row r="437" spans="1:6" x14ac:dyDescent="0.3">
      <c r="A437" s="3" t="s">
        <v>626</v>
      </c>
      <c r="B437" s="3" t="s">
        <v>24</v>
      </c>
      <c r="C437" s="3" t="str">
        <f t="shared" si="6"/>
        <v>450013464660</v>
      </c>
      <c r="D437" s="4">
        <v>46269</v>
      </c>
      <c r="E437" s="3" t="s">
        <v>711</v>
      </c>
      <c r="F437" s="3" t="s">
        <v>860</v>
      </c>
    </row>
    <row r="438" spans="1:6" x14ac:dyDescent="0.3">
      <c r="A438" s="3" t="s">
        <v>626</v>
      </c>
      <c r="B438" s="3" t="s">
        <v>25</v>
      </c>
      <c r="C438" s="3" t="str">
        <f t="shared" si="6"/>
        <v>450013464670</v>
      </c>
      <c r="D438" s="4">
        <v>46269</v>
      </c>
      <c r="E438" s="3" t="s">
        <v>711</v>
      </c>
      <c r="F438" s="3" t="s">
        <v>860</v>
      </c>
    </row>
    <row r="439" spans="1:6" x14ac:dyDescent="0.3">
      <c r="A439" s="3" t="s">
        <v>626</v>
      </c>
      <c r="B439" s="3" t="s">
        <v>343</v>
      </c>
      <c r="C439" s="3" t="str">
        <f t="shared" si="6"/>
        <v>450013464680</v>
      </c>
      <c r="D439" s="4">
        <v>46269</v>
      </c>
      <c r="E439" s="3" t="s">
        <v>711</v>
      </c>
      <c r="F439" s="3" t="s">
        <v>860</v>
      </c>
    </row>
    <row r="440" spans="1:6" x14ac:dyDescent="0.3">
      <c r="A440" s="3" t="s">
        <v>626</v>
      </c>
      <c r="B440" s="3" t="s">
        <v>344</v>
      </c>
      <c r="C440" s="3" t="str">
        <f t="shared" si="6"/>
        <v>450013464690</v>
      </c>
      <c r="D440" s="4">
        <v>46269</v>
      </c>
      <c r="E440" s="3" t="s">
        <v>711</v>
      </c>
      <c r="F440" s="3" t="s">
        <v>860</v>
      </c>
    </row>
    <row r="441" spans="1:6" x14ac:dyDescent="0.3">
      <c r="A441" s="3" t="s">
        <v>626</v>
      </c>
      <c r="B441" s="3" t="s">
        <v>345</v>
      </c>
      <c r="C441" s="3" t="str">
        <f t="shared" si="6"/>
        <v>4500134646100</v>
      </c>
      <c r="D441" s="4">
        <v>46269</v>
      </c>
      <c r="E441" s="3" t="s">
        <v>711</v>
      </c>
      <c r="F441" s="3" t="s">
        <v>860</v>
      </c>
    </row>
    <row r="442" spans="1:6" x14ac:dyDescent="0.3">
      <c r="A442" s="3" t="s">
        <v>626</v>
      </c>
      <c r="B442" s="3" t="s">
        <v>193</v>
      </c>
      <c r="C442" s="3" t="str">
        <f t="shared" si="6"/>
        <v>4500134646110</v>
      </c>
      <c r="D442" s="4">
        <v>46269</v>
      </c>
      <c r="E442" s="3" t="s">
        <v>711</v>
      </c>
      <c r="F442" s="3" t="s">
        <v>860</v>
      </c>
    </row>
    <row r="443" spans="1:6" x14ac:dyDescent="0.3">
      <c r="A443" s="3" t="s">
        <v>626</v>
      </c>
      <c r="B443" s="3" t="s">
        <v>400</v>
      </c>
      <c r="C443" s="3" t="str">
        <f t="shared" si="6"/>
        <v>4500134646120</v>
      </c>
      <c r="D443" s="4">
        <v>46269</v>
      </c>
      <c r="E443" s="3" t="s">
        <v>711</v>
      </c>
      <c r="F443" s="3" t="s">
        <v>860</v>
      </c>
    </row>
    <row r="444" spans="1:6" x14ac:dyDescent="0.3">
      <c r="A444" s="3" t="s">
        <v>626</v>
      </c>
      <c r="B444" s="3" t="s">
        <v>221</v>
      </c>
      <c r="C444" s="3" t="str">
        <f t="shared" si="6"/>
        <v>4500134646130</v>
      </c>
      <c r="D444" s="4">
        <v>46269</v>
      </c>
      <c r="E444" s="3" t="s">
        <v>711</v>
      </c>
      <c r="F444" s="3" t="s">
        <v>860</v>
      </c>
    </row>
    <row r="445" spans="1:6" x14ac:dyDescent="0.3">
      <c r="A445" s="3" t="s">
        <v>626</v>
      </c>
      <c r="B445" s="3" t="s">
        <v>401</v>
      </c>
      <c r="C445" s="3" t="str">
        <f t="shared" si="6"/>
        <v>4500134646140</v>
      </c>
      <c r="D445" s="4">
        <v>46269</v>
      </c>
      <c r="E445" s="3" t="s">
        <v>711</v>
      </c>
      <c r="F445" s="3" t="s">
        <v>860</v>
      </c>
    </row>
    <row r="446" spans="1:6" x14ac:dyDescent="0.3">
      <c r="A446" s="3" t="s">
        <v>626</v>
      </c>
      <c r="B446" s="3" t="s">
        <v>402</v>
      </c>
      <c r="C446" s="3" t="str">
        <f t="shared" si="6"/>
        <v>4500134646150</v>
      </c>
      <c r="D446" s="4">
        <v>46269</v>
      </c>
      <c r="E446" s="3" t="s">
        <v>711</v>
      </c>
      <c r="F446" s="3" t="s">
        <v>860</v>
      </c>
    </row>
    <row r="447" spans="1:6" x14ac:dyDescent="0.3">
      <c r="A447" s="3" t="s">
        <v>626</v>
      </c>
      <c r="B447" s="3" t="s">
        <v>403</v>
      </c>
      <c r="C447" s="3" t="str">
        <f t="shared" si="6"/>
        <v>4500134646160</v>
      </c>
      <c r="D447" s="4">
        <v>46269</v>
      </c>
      <c r="E447" s="3" t="s">
        <v>711</v>
      </c>
      <c r="F447" s="3" t="s">
        <v>860</v>
      </c>
    </row>
    <row r="448" spans="1:6" x14ac:dyDescent="0.3">
      <c r="A448" s="3" t="s">
        <v>626</v>
      </c>
      <c r="B448" s="3" t="s">
        <v>346</v>
      </c>
      <c r="C448" s="3" t="str">
        <f t="shared" si="6"/>
        <v>4500134646170</v>
      </c>
      <c r="D448" s="4">
        <v>46269</v>
      </c>
      <c r="E448" s="3" t="s">
        <v>711</v>
      </c>
      <c r="F448" s="3" t="s">
        <v>860</v>
      </c>
    </row>
    <row r="449" spans="1:6" x14ac:dyDescent="0.3">
      <c r="A449" s="3" t="s">
        <v>626</v>
      </c>
      <c r="B449" s="3" t="s">
        <v>347</v>
      </c>
      <c r="C449" s="3" t="str">
        <f t="shared" si="6"/>
        <v>4500134646180</v>
      </c>
      <c r="D449" s="4">
        <v>46269</v>
      </c>
      <c r="E449" s="3" t="s">
        <v>711</v>
      </c>
      <c r="F449" s="3" t="s">
        <v>860</v>
      </c>
    </row>
    <row r="450" spans="1:6" x14ac:dyDescent="0.3">
      <c r="A450" s="3" t="s">
        <v>626</v>
      </c>
      <c r="B450" s="3" t="s">
        <v>404</v>
      </c>
      <c r="C450" s="3" t="str">
        <f t="shared" si="6"/>
        <v>4500134646190</v>
      </c>
      <c r="D450" s="4">
        <v>46269</v>
      </c>
      <c r="E450" s="3" t="s">
        <v>711</v>
      </c>
      <c r="F450" s="3" t="s">
        <v>860</v>
      </c>
    </row>
    <row r="451" spans="1:6" x14ac:dyDescent="0.3">
      <c r="A451" s="3" t="s">
        <v>626</v>
      </c>
      <c r="B451" s="3" t="s">
        <v>405</v>
      </c>
      <c r="C451" s="3" t="str">
        <f t="shared" ref="C451:C514" si="7">_xlfn.CONCAT(A451:B451)</f>
        <v>4500134646200</v>
      </c>
      <c r="D451" s="4">
        <v>46269</v>
      </c>
      <c r="E451" s="3" t="s">
        <v>711</v>
      </c>
      <c r="F451" s="3" t="s">
        <v>860</v>
      </c>
    </row>
    <row r="452" spans="1:6" x14ac:dyDescent="0.3">
      <c r="A452" s="3" t="s">
        <v>626</v>
      </c>
      <c r="B452" s="3" t="s">
        <v>348</v>
      </c>
      <c r="C452" s="3" t="str">
        <f t="shared" si="7"/>
        <v>4500134646210</v>
      </c>
      <c r="D452" s="4">
        <v>46269</v>
      </c>
      <c r="E452" s="3" t="s">
        <v>711</v>
      </c>
      <c r="F452" s="3" t="s">
        <v>860</v>
      </c>
    </row>
    <row r="453" spans="1:6" x14ac:dyDescent="0.3">
      <c r="A453" s="3" t="s">
        <v>626</v>
      </c>
      <c r="B453" s="3" t="s">
        <v>441</v>
      </c>
      <c r="C453" s="3" t="str">
        <f t="shared" si="7"/>
        <v>4500134646220</v>
      </c>
      <c r="D453" s="4">
        <v>46269</v>
      </c>
      <c r="E453" s="3" t="s">
        <v>711</v>
      </c>
      <c r="F453" s="3" t="s">
        <v>860</v>
      </c>
    </row>
    <row r="454" spans="1:6" x14ac:dyDescent="0.3">
      <c r="A454" s="3" t="s">
        <v>626</v>
      </c>
      <c r="B454" s="3" t="s">
        <v>349</v>
      </c>
      <c r="C454" s="3" t="str">
        <f t="shared" si="7"/>
        <v>4500134646230</v>
      </c>
      <c r="D454" s="4">
        <v>46269</v>
      </c>
      <c r="E454" s="3" t="s">
        <v>711</v>
      </c>
      <c r="F454" s="3" t="s">
        <v>860</v>
      </c>
    </row>
    <row r="455" spans="1:6" x14ac:dyDescent="0.3">
      <c r="A455" s="3" t="s">
        <v>626</v>
      </c>
      <c r="B455" s="3" t="s">
        <v>350</v>
      </c>
      <c r="C455" s="3" t="str">
        <f t="shared" si="7"/>
        <v>4500134646240</v>
      </c>
      <c r="D455" s="4">
        <v>46269</v>
      </c>
      <c r="E455" s="3" t="s">
        <v>711</v>
      </c>
      <c r="F455" s="3" t="s">
        <v>860</v>
      </c>
    </row>
    <row r="456" spans="1:6" x14ac:dyDescent="0.3">
      <c r="A456" s="3" t="s">
        <v>626</v>
      </c>
      <c r="B456" s="3" t="s">
        <v>351</v>
      </c>
      <c r="C456" s="3" t="str">
        <f t="shared" si="7"/>
        <v>4500134646250</v>
      </c>
      <c r="D456" s="4">
        <v>46269</v>
      </c>
      <c r="E456" s="3" t="s">
        <v>711</v>
      </c>
      <c r="F456" s="3" t="s">
        <v>860</v>
      </c>
    </row>
    <row r="457" spans="1:6" x14ac:dyDescent="0.3">
      <c r="A457" s="3" t="s">
        <v>626</v>
      </c>
      <c r="B457" s="3" t="s">
        <v>352</v>
      </c>
      <c r="C457" s="3" t="str">
        <f t="shared" si="7"/>
        <v>4500134646260</v>
      </c>
      <c r="D457" s="4">
        <v>46269</v>
      </c>
      <c r="E457" s="3" t="s">
        <v>711</v>
      </c>
      <c r="F457" s="3" t="s">
        <v>860</v>
      </c>
    </row>
    <row r="458" spans="1:6" x14ac:dyDescent="0.3">
      <c r="A458" s="3" t="s">
        <v>626</v>
      </c>
      <c r="B458" s="3" t="s">
        <v>442</v>
      </c>
      <c r="C458" s="3" t="str">
        <f t="shared" si="7"/>
        <v>4500134646270</v>
      </c>
      <c r="D458" s="4">
        <v>46269</v>
      </c>
      <c r="E458" s="3" t="s">
        <v>711</v>
      </c>
      <c r="F458" s="3" t="s">
        <v>860</v>
      </c>
    </row>
    <row r="459" spans="1:6" x14ac:dyDescent="0.3">
      <c r="A459" s="3" t="s">
        <v>626</v>
      </c>
      <c r="B459" s="3" t="s">
        <v>443</v>
      </c>
      <c r="C459" s="3" t="str">
        <f t="shared" si="7"/>
        <v>4500134646280</v>
      </c>
      <c r="D459" s="4">
        <v>46269</v>
      </c>
      <c r="E459" s="3" t="s">
        <v>711</v>
      </c>
      <c r="F459" s="3" t="s">
        <v>860</v>
      </c>
    </row>
    <row r="460" spans="1:6" x14ac:dyDescent="0.3">
      <c r="A460" s="3" t="s">
        <v>626</v>
      </c>
      <c r="B460" s="3" t="s">
        <v>728</v>
      </c>
      <c r="C460" s="3" t="str">
        <f t="shared" si="7"/>
        <v>4500134646290</v>
      </c>
      <c r="D460" s="4">
        <v>46269</v>
      </c>
      <c r="E460" s="3" t="s">
        <v>711</v>
      </c>
      <c r="F460" s="3" t="s">
        <v>860</v>
      </c>
    </row>
    <row r="461" spans="1:6" x14ac:dyDescent="0.3">
      <c r="A461" s="3" t="s">
        <v>626</v>
      </c>
      <c r="B461" s="3" t="s">
        <v>729</v>
      </c>
      <c r="C461" s="3" t="str">
        <f t="shared" si="7"/>
        <v>4500134646300</v>
      </c>
      <c r="D461" s="4">
        <v>46269</v>
      </c>
      <c r="E461" s="3" t="s">
        <v>711</v>
      </c>
      <c r="F461" s="3" t="s">
        <v>860</v>
      </c>
    </row>
    <row r="462" spans="1:6" x14ac:dyDescent="0.3">
      <c r="A462" s="3" t="s">
        <v>626</v>
      </c>
      <c r="B462" s="3" t="s">
        <v>730</v>
      </c>
      <c r="C462" s="3" t="str">
        <f t="shared" si="7"/>
        <v>4500134646310</v>
      </c>
      <c r="D462" s="4">
        <v>46269</v>
      </c>
      <c r="E462" s="3" t="s">
        <v>711</v>
      </c>
      <c r="F462" s="3" t="s">
        <v>860</v>
      </c>
    </row>
    <row r="463" spans="1:6" x14ac:dyDescent="0.3">
      <c r="A463" s="3" t="s">
        <v>524</v>
      </c>
      <c r="B463" s="3" t="s">
        <v>34</v>
      </c>
      <c r="C463" s="3" t="str">
        <f t="shared" si="7"/>
        <v>450013464710</v>
      </c>
      <c r="D463" s="4">
        <v>46269</v>
      </c>
      <c r="E463" s="3" t="s">
        <v>711</v>
      </c>
      <c r="F463" s="3" t="s">
        <v>860</v>
      </c>
    </row>
    <row r="464" spans="1:6" x14ac:dyDescent="0.3">
      <c r="A464" s="3" t="s">
        <v>524</v>
      </c>
      <c r="B464" s="3" t="s">
        <v>21</v>
      </c>
      <c r="C464" s="3" t="str">
        <f t="shared" si="7"/>
        <v>450013464720</v>
      </c>
      <c r="D464" s="4">
        <v>46269</v>
      </c>
      <c r="E464" s="3" t="s">
        <v>711</v>
      </c>
      <c r="F464" s="3" t="s">
        <v>860</v>
      </c>
    </row>
    <row r="465" spans="1:6" x14ac:dyDescent="0.3">
      <c r="A465" s="3" t="s">
        <v>524</v>
      </c>
      <c r="B465" s="3" t="s">
        <v>22</v>
      </c>
      <c r="C465" s="3" t="str">
        <f t="shared" si="7"/>
        <v>450013464730</v>
      </c>
      <c r="D465" s="4">
        <v>46269</v>
      </c>
      <c r="E465" s="3" t="s">
        <v>711</v>
      </c>
      <c r="F465" s="3" t="s">
        <v>860</v>
      </c>
    </row>
    <row r="466" spans="1:6" x14ac:dyDescent="0.3">
      <c r="A466" s="3" t="s">
        <v>420</v>
      </c>
      <c r="B466" s="3" t="s">
        <v>34</v>
      </c>
      <c r="C466" s="3" t="str">
        <f t="shared" si="7"/>
        <v>450013482110</v>
      </c>
      <c r="D466" s="4">
        <v>46244</v>
      </c>
      <c r="E466" s="3" t="s">
        <v>712</v>
      </c>
      <c r="F466" s="3" t="s">
        <v>887</v>
      </c>
    </row>
    <row r="467" spans="1:6" x14ac:dyDescent="0.3">
      <c r="A467" s="3" t="s">
        <v>422</v>
      </c>
      <c r="B467" s="3" t="s">
        <v>34</v>
      </c>
      <c r="C467" s="3" t="str">
        <f t="shared" si="7"/>
        <v>450013482310</v>
      </c>
      <c r="D467" s="4">
        <v>46252</v>
      </c>
      <c r="E467" s="3" t="s">
        <v>712</v>
      </c>
      <c r="F467" s="3" t="s">
        <v>887</v>
      </c>
    </row>
    <row r="468" spans="1:6" x14ac:dyDescent="0.3">
      <c r="A468" s="3" t="s">
        <v>790</v>
      </c>
      <c r="B468" s="3" t="s">
        <v>34</v>
      </c>
      <c r="C468" s="3" t="str">
        <f t="shared" si="7"/>
        <v>450013487710</v>
      </c>
      <c r="D468" s="4">
        <v>46301</v>
      </c>
      <c r="E468" s="3" t="s">
        <v>708</v>
      </c>
      <c r="F468" s="3" t="s">
        <v>852</v>
      </c>
    </row>
    <row r="469" spans="1:6" x14ac:dyDescent="0.3">
      <c r="A469" s="3" t="s">
        <v>790</v>
      </c>
      <c r="B469" s="3" t="s">
        <v>21</v>
      </c>
      <c r="C469" s="3" t="str">
        <f t="shared" si="7"/>
        <v>450013487720</v>
      </c>
      <c r="D469" s="4">
        <v>46242</v>
      </c>
      <c r="E469" s="3" t="s">
        <v>708</v>
      </c>
      <c r="F469" s="3" t="s">
        <v>852</v>
      </c>
    </row>
    <row r="470" spans="1:6" x14ac:dyDescent="0.3">
      <c r="A470" s="3" t="s">
        <v>430</v>
      </c>
      <c r="B470" s="3" t="s">
        <v>21</v>
      </c>
      <c r="C470" s="3" t="str">
        <f t="shared" si="7"/>
        <v>450013527520</v>
      </c>
      <c r="D470" s="4">
        <v>46254</v>
      </c>
      <c r="E470" s="3" t="s">
        <v>727</v>
      </c>
      <c r="F470" s="3" t="s">
        <v>887</v>
      </c>
    </row>
    <row r="471" spans="1:6" x14ac:dyDescent="0.3">
      <c r="A471" s="3" t="s">
        <v>436</v>
      </c>
      <c r="B471" s="3" t="s">
        <v>34</v>
      </c>
      <c r="C471" s="3" t="str">
        <f t="shared" si="7"/>
        <v>450013528210</v>
      </c>
      <c r="D471" s="4">
        <v>46254</v>
      </c>
      <c r="E471" s="3" t="s">
        <v>712</v>
      </c>
      <c r="F471" s="3" t="s">
        <v>887</v>
      </c>
    </row>
    <row r="472" spans="1:6" x14ac:dyDescent="0.3">
      <c r="A472" s="3" t="s">
        <v>439</v>
      </c>
      <c r="B472" s="3" t="s">
        <v>34</v>
      </c>
      <c r="C472" s="3" t="str">
        <f t="shared" si="7"/>
        <v>450013537710</v>
      </c>
      <c r="D472" s="4">
        <v>46247</v>
      </c>
      <c r="E472" s="3" t="s">
        <v>712</v>
      </c>
      <c r="F472" s="3" t="s">
        <v>887</v>
      </c>
    </row>
    <row r="473" spans="1:6" x14ac:dyDescent="0.3">
      <c r="A473" s="3" t="s">
        <v>1054</v>
      </c>
      <c r="B473" s="3" t="s">
        <v>34</v>
      </c>
      <c r="C473" s="3" t="str">
        <f t="shared" si="7"/>
        <v>450013550810</v>
      </c>
      <c r="D473" s="4">
        <v>46279</v>
      </c>
      <c r="E473" s="3" t="s">
        <v>706</v>
      </c>
      <c r="F473" s="3" t="s">
        <v>871</v>
      </c>
    </row>
    <row r="474" spans="1:6" x14ac:dyDescent="0.3">
      <c r="A474" s="3" t="s">
        <v>1054</v>
      </c>
      <c r="B474" s="3" t="s">
        <v>21</v>
      </c>
      <c r="C474" s="3" t="str">
        <f t="shared" si="7"/>
        <v>450013550820</v>
      </c>
      <c r="D474" s="4">
        <v>46279</v>
      </c>
      <c r="E474" s="3" t="s">
        <v>706</v>
      </c>
      <c r="F474" s="3" t="s">
        <v>871</v>
      </c>
    </row>
    <row r="475" spans="1:6" x14ac:dyDescent="0.3">
      <c r="A475" s="3" t="s">
        <v>1054</v>
      </c>
      <c r="B475" s="3" t="s">
        <v>22</v>
      </c>
      <c r="C475" s="3" t="str">
        <f t="shared" si="7"/>
        <v>450013550830</v>
      </c>
      <c r="D475" s="4">
        <v>46279</v>
      </c>
      <c r="E475" s="3" t="s">
        <v>706</v>
      </c>
      <c r="F475" s="3" t="s">
        <v>871</v>
      </c>
    </row>
    <row r="476" spans="1:6" x14ac:dyDescent="0.3">
      <c r="A476" s="3" t="s">
        <v>1054</v>
      </c>
      <c r="B476" s="3" t="s">
        <v>26</v>
      </c>
      <c r="C476" s="3" t="str">
        <f t="shared" si="7"/>
        <v>450013550840</v>
      </c>
      <c r="D476" s="4">
        <v>46279</v>
      </c>
      <c r="E476" s="3" t="s">
        <v>706</v>
      </c>
      <c r="F476" s="3" t="s">
        <v>871</v>
      </c>
    </row>
    <row r="477" spans="1:6" x14ac:dyDescent="0.3">
      <c r="A477" s="3" t="s">
        <v>1054</v>
      </c>
      <c r="B477" s="3" t="s">
        <v>23</v>
      </c>
      <c r="C477" s="3" t="str">
        <f t="shared" si="7"/>
        <v>450013550850</v>
      </c>
      <c r="D477" s="4">
        <v>46308</v>
      </c>
      <c r="E477" s="3" t="s">
        <v>706</v>
      </c>
      <c r="F477" s="3" t="s">
        <v>871</v>
      </c>
    </row>
    <row r="478" spans="1:6" x14ac:dyDescent="0.3">
      <c r="A478" s="3" t="s">
        <v>434</v>
      </c>
      <c r="B478" s="3" t="s">
        <v>34</v>
      </c>
      <c r="C478" s="3" t="str">
        <f t="shared" si="7"/>
        <v>450013552910</v>
      </c>
      <c r="D478" s="4">
        <v>46254</v>
      </c>
      <c r="E478" s="3" t="s">
        <v>712</v>
      </c>
      <c r="F478" s="3" t="s">
        <v>887</v>
      </c>
    </row>
    <row r="479" spans="1:6" x14ac:dyDescent="0.3">
      <c r="A479" s="3" t="s">
        <v>765</v>
      </c>
      <c r="B479" s="3" t="s">
        <v>34</v>
      </c>
      <c r="C479" s="3" t="str">
        <f t="shared" si="7"/>
        <v>450013569910</v>
      </c>
      <c r="D479" s="4">
        <v>46254</v>
      </c>
      <c r="E479" s="3" t="s">
        <v>708</v>
      </c>
      <c r="F479" s="3" t="s">
        <v>852</v>
      </c>
    </row>
    <row r="480" spans="1:6" x14ac:dyDescent="0.3">
      <c r="A480" s="3" t="s">
        <v>765</v>
      </c>
      <c r="B480" s="3" t="s">
        <v>21</v>
      </c>
      <c r="C480" s="3" t="str">
        <f t="shared" si="7"/>
        <v>450013569920</v>
      </c>
      <c r="D480" s="4">
        <v>46254</v>
      </c>
      <c r="E480" s="3" t="s">
        <v>708</v>
      </c>
      <c r="F480" s="3" t="s">
        <v>852</v>
      </c>
    </row>
    <row r="481" spans="1:6" x14ac:dyDescent="0.3">
      <c r="A481" s="3" t="s">
        <v>765</v>
      </c>
      <c r="B481" s="3" t="s">
        <v>22</v>
      </c>
      <c r="C481" s="3" t="str">
        <f t="shared" si="7"/>
        <v>450013569930</v>
      </c>
      <c r="D481" s="4">
        <v>46304</v>
      </c>
      <c r="E481" s="3" t="s">
        <v>708</v>
      </c>
      <c r="F481" s="3" t="s">
        <v>852</v>
      </c>
    </row>
    <row r="482" spans="1:6" x14ac:dyDescent="0.3">
      <c r="A482" s="3" t="s">
        <v>765</v>
      </c>
      <c r="B482" s="3" t="s">
        <v>26</v>
      </c>
      <c r="C482" s="3" t="str">
        <f t="shared" si="7"/>
        <v>450013569940</v>
      </c>
      <c r="D482" s="4">
        <v>46304</v>
      </c>
      <c r="E482" s="3" t="s">
        <v>708</v>
      </c>
      <c r="F482" s="3" t="s">
        <v>852</v>
      </c>
    </row>
    <row r="483" spans="1:6" x14ac:dyDescent="0.3">
      <c r="A483" s="3" t="s">
        <v>481</v>
      </c>
      <c r="B483" s="3" t="s">
        <v>34</v>
      </c>
      <c r="C483" s="3" t="str">
        <f t="shared" si="7"/>
        <v>450013571410</v>
      </c>
      <c r="D483" s="4">
        <v>46273</v>
      </c>
      <c r="E483" s="3" t="s">
        <v>722</v>
      </c>
      <c r="F483" s="3" t="s">
        <v>889</v>
      </c>
    </row>
    <row r="484" spans="1:6" x14ac:dyDescent="0.3">
      <c r="A484" s="3" t="s">
        <v>481</v>
      </c>
      <c r="B484" s="3" t="s">
        <v>21</v>
      </c>
      <c r="C484" s="3" t="str">
        <f t="shared" si="7"/>
        <v>450013571420</v>
      </c>
      <c r="D484" s="4">
        <v>46273</v>
      </c>
      <c r="E484" s="3" t="s">
        <v>722</v>
      </c>
      <c r="F484" s="3" t="s">
        <v>889</v>
      </c>
    </row>
    <row r="485" spans="1:6" x14ac:dyDescent="0.3">
      <c r="A485" s="3" t="s">
        <v>481</v>
      </c>
      <c r="B485" s="3" t="s">
        <v>22</v>
      </c>
      <c r="C485" s="3" t="str">
        <f t="shared" si="7"/>
        <v>450013571430</v>
      </c>
      <c r="D485" s="4">
        <v>46273</v>
      </c>
      <c r="E485" s="3" t="s">
        <v>722</v>
      </c>
      <c r="F485" s="3" t="s">
        <v>889</v>
      </c>
    </row>
    <row r="486" spans="1:6" x14ac:dyDescent="0.3">
      <c r="A486" s="3" t="s">
        <v>1052</v>
      </c>
      <c r="B486" s="3" t="s">
        <v>34</v>
      </c>
      <c r="C486" s="3" t="str">
        <f t="shared" si="7"/>
        <v>450013572010</v>
      </c>
      <c r="D486" s="4">
        <v>46295</v>
      </c>
      <c r="E486" s="3" t="s">
        <v>706</v>
      </c>
      <c r="F486" s="3" t="s">
        <v>854</v>
      </c>
    </row>
    <row r="487" spans="1:6" x14ac:dyDescent="0.3">
      <c r="A487" s="3" t="s">
        <v>1052</v>
      </c>
      <c r="B487" s="3" t="s">
        <v>21</v>
      </c>
      <c r="C487" s="3" t="str">
        <f t="shared" si="7"/>
        <v>450013572020</v>
      </c>
      <c r="D487" s="4">
        <v>46295</v>
      </c>
      <c r="E487" s="3" t="s">
        <v>706</v>
      </c>
      <c r="F487" s="3" t="s">
        <v>854</v>
      </c>
    </row>
    <row r="488" spans="1:6" x14ac:dyDescent="0.3">
      <c r="A488" s="3" t="s">
        <v>1052</v>
      </c>
      <c r="B488" s="3" t="s">
        <v>22</v>
      </c>
      <c r="C488" s="3" t="str">
        <f t="shared" si="7"/>
        <v>450013572030</v>
      </c>
      <c r="D488" s="4">
        <v>46295</v>
      </c>
      <c r="E488" s="3" t="s">
        <v>706</v>
      </c>
      <c r="F488" s="3" t="s">
        <v>854</v>
      </c>
    </row>
    <row r="489" spans="1:6" x14ac:dyDescent="0.3">
      <c r="A489" s="3" t="s">
        <v>1052</v>
      </c>
      <c r="B489" s="3" t="s">
        <v>26</v>
      </c>
      <c r="C489" s="3" t="str">
        <f t="shared" si="7"/>
        <v>450013572040</v>
      </c>
      <c r="D489" s="4">
        <v>46295</v>
      </c>
      <c r="E489" s="3" t="s">
        <v>706</v>
      </c>
      <c r="F489" s="3" t="s">
        <v>854</v>
      </c>
    </row>
    <row r="490" spans="1:6" x14ac:dyDescent="0.3">
      <c r="A490" s="3" t="s">
        <v>471</v>
      </c>
      <c r="B490" s="3" t="s">
        <v>34</v>
      </c>
      <c r="C490" s="3" t="str">
        <f t="shared" si="7"/>
        <v>450013572310</v>
      </c>
      <c r="D490" s="4">
        <v>46295</v>
      </c>
      <c r="E490" s="3" t="s">
        <v>706</v>
      </c>
      <c r="F490" s="3" t="s">
        <v>854</v>
      </c>
    </row>
    <row r="491" spans="1:6" x14ac:dyDescent="0.3">
      <c r="A491" s="3" t="s">
        <v>471</v>
      </c>
      <c r="B491" s="3" t="s">
        <v>22</v>
      </c>
      <c r="C491" s="3" t="str">
        <f t="shared" si="7"/>
        <v>450013572330</v>
      </c>
      <c r="D491" s="4">
        <v>46295</v>
      </c>
      <c r="E491" s="3" t="s">
        <v>706</v>
      </c>
      <c r="F491" s="3" t="s">
        <v>854</v>
      </c>
    </row>
    <row r="492" spans="1:6" x14ac:dyDescent="0.3">
      <c r="A492" s="3" t="s">
        <v>471</v>
      </c>
      <c r="B492" s="3" t="s">
        <v>26</v>
      </c>
      <c r="C492" s="3" t="str">
        <f t="shared" si="7"/>
        <v>450013572340</v>
      </c>
      <c r="D492" s="4">
        <v>46295</v>
      </c>
      <c r="E492" s="3" t="s">
        <v>706</v>
      </c>
      <c r="F492" s="3" t="s">
        <v>854</v>
      </c>
    </row>
    <row r="493" spans="1:6" x14ac:dyDescent="0.3">
      <c r="A493" s="3" t="s">
        <v>471</v>
      </c>
      <c r="B493" s="3" t="s">
        <v>23</v>
      </c>
      <c r="C493" s="3" t="str">
        <f t="shared" si="7"/>
        <v>450013572350</v>
      </c>
      <c r="D493" s="4">
        <v>46295</v>
      </c>
      <c r="E493" s="3" t="s">
        <v>706</v>
      </c>
      <c r="F493" s="3" t="s">
        <v>854</v>
      </c>
    </row>
    <row r="494" spans="1:6" x14ac:dyDescent="0.3">
      <c r="A494" s="3" t="s">
        <v>465</v>
      </c>
      <c r="B494" s="3" t="s">
        <v>34</v>
      </c>
      <c r="C494" s="3" t="str">
        <f t="shared" si="7"/>
        <v>450013585310</v>
      </c>
      <c r="D494" s="4">
        <v>46269</v>
      </c>
      <c r="E494" s="3" t="s">
        <v>711</v>
      </c>
      <c r="F494" s="3" t="s">
        <v>858</v>
      </c>
    </row>
    <row r="495" spans="1:6" x14ac:dyDescent="0.3">
      <c r="A495" s="3" t="s">
        <v>465</v>
      </c>
      <c r="B495" s="3" t="s">
        <v>21</v>
      </c>
      <c r="C495" s="3" t="str">
        <f t="shared" si="7"/>
        <v>450013585320</v>
      </c>
      <c r="D495" s="4">
        <v>46269</v>
      </c>
      <c r="E495" s="3" t="s">
        <v>711</v>
      </c>
      <c r="F495" s="3" t="s">
        <v>858</v>
      </c>
    </row>
    <row r="496" spans="1:6" x14ac:dyDescent="0.3">
      <c r="A496" s="3" t="s">
        <v>465</v>
      </c>
      <c r="B496" s="3" t="s">
        <v>22</v>
      </c>
      <c r="C496" s="3" t="str">
        <f t="shared" si="7"/>
        <v>450013585330</v>
      </c>
      <c r="D496" s="4">
        <v>46269</v>
      </c>
      <c r="E496" s="3" t="s">
        <v>711</v>
      </c>
      <c r="F496" s="3" t="s">
        <v>858</v>
      </c>
    </row>
    <row r="497" spans="1:6" x14ac:dyDescent="0.3">
      <c r="A497" s="3" t="s">
        <v>465</v>
      </c>
      <c r="B497" s="3" t="s">
        <v>26</v>
      </c>
      <c r="C497" s="3" t="str">
        <f t="shared" si="7"/>
        <v>450013585340</v>
      </c>
      <c r="D497" s="4">
        <v>46269</v>
      </c>
      <c r="E497" s="3" t="s">
        <v>711</v>
      </c>
      <c r="F497" s="3" t="s">
        <v>858</v>
      </c>
    </row>
    <row r="498" spans="1:6" x14ac:dyDescent="0.3">
      <c r="A498" s="3" t="s">
        <v>465</v>
      </c>
      <c r="B498" s="3" t="s">
        <v>23</v>
      </c>
      <c r="C498" s="3" t="str">
        <f t="shared" si="7"/>
        <v>450013585350</v>
      </c>
      <c r="D498" s="4">
        <v>46269</v>
      </c>
      <c r="E498" s="3" t="s">
        <v>711</v>
      </c>
      <c r="F498" s="3" t="s">
        <v>858</v>
      </c>
    </row>
    <row r="499" spans="1:6" x14ac:dyDescent="0.3">
      <c r="A499" s="3" t="s">
        <v>467</v>
      </c>
      <c r="B499" s="3" t="s">
        <v>34</v>
      </c>
      <c r="C499" s="3" t="str">
        <f t="shared" si="7"/>
        <v>450013604410</v>
      </c>
      <c r="D499" s="4">
        <v>46267</v>
      </c>
      <c r="E499" s="3" t="s">
        <v>706</v>
      </c>
      <c r="F499" s="3" t="s">
        <v>871</v>
      </c>
    </row>
    <row r="500" spans="1:6" x14ac:dyDescent="0.3">
      <c r="A500" s="3" t="s">
        <v>452</v>
      </c>
      <c r="B500" s="3" t="s">
        <v>26</v>
      </c>
      <c r="C500" s="3" t="str">
        <f t="shared" si="7"/>
        <v>450013608840</v>
      </c>
      <c r="D500" s="4">
        <v>46254</v>
      </c>
      <c r="E500" s="3" t="s">
        <v>712</v>
      </c>
      <c r="F500" s="3" t="s">
        <v>917</v>
      </c>
    </row>
    <row r="501" spans="1:6" x14ac:dyDescent="0.3">
      <c r="A501" s="3" t="s">
        <v>452</v>
      </c>
      <c r="B501" s="3" t="s">
        <v>24</v>
      </c>
      <c r="C501" s="3" t="str">
        <f t="shared" si="7"/>
        <v>450013608860</v>
      </c>
      <c r="D501" s="4">
        <v>46259</v>
      </c>
      <c r="E501" s="3" t="s">
        <v>712</v>
      </c>
      <c r="F501" s="3" t="s">
        <v>917</v>
      </c>
    </row>
    <row r="502" spans="1:6" x14ac:dyDescent="0.3">
      <c r="A502" s="3" t="s">
        <v>452</v>
      </c>
      <c r="B502" s="3" t="s">
        <v>25</v>
      </c>
      <c r="C502" s="3" t="str">
        <f t="shared" si="7"/>
        <v>450013608870</v>
      </c>
      <c r="D502" s="4">
        <v>46259</v>
      </c>
      <c r="E502" s="3" t="s">
        <v>712</v>
      </c>
      <c r="F502" s="3" t="s">
        <v>917</v>
      </c>
    </row>
    <row r="503" spans="1:6" x14ac:dyDescent="0.3">
      <c r="A503" s="3" t="s">
        <v>454</v>
      </c>
      <c r="B503" s="3" t="s">
        <v>21</v>
      </c>
      <c r="C503" s="3" t="str">
        <f t="shared" si="7"/>
        <v>450013609320</v>
      </c>
      <c r="D503" s="4">
        <v>46262</v>
      </c>
      <c r="E503" s="3" t="s">
        <v>708</v>
      </c>
      <c r="F503" s="3" t="s">
        <v>887</v>
      </c>
    </row>
    <row r="504" spans="1:6" x14ac:dyDescent="0.3">
      <c r="A504" s="3" t="s">
        <v>507</v>
      </c>
      <c r="B504" s="3" t="s">
        <v>34</v>
      </c>
      <c r="C504" s="3" t="str">
        <f t="shared" si="7"/>
        <v>450013632310</v>
      </c>
      <c r="D504" s="4">
        <v>46275</v>
      </c>
      <c r="E504" s="3" t="s">
        <v>717</v>
      </c>
      <c r="F504" s="3" t="s">
        <v>918</v>
      </c>
    </row>
    <row r="505" spans="1:6" x14ac:dyDescent="0.3">
      <c r="A505" s="3" t="s">
        <v>507</v>
      </c>
      <c r="B505" s="3" t="s">
        <v>21</v>
      </c>
      <c r="C505" s="3" t="str">
        <f t="shared" si="7"/>
        <v>450013632320</v>
      </c>
      <c r="D505" s="4">
        <v>46275</v>
      </c>
      <c r="E505" s="3" t="s">
        <v>717</v>
      </c>
      <c r="F505" s="3" t="s">
        <v>918</v>
      </c>
    </row>
    <row r="506" spans="1:6" x14ac:dyDescent="0.3">
      <c r="A506" s="3" t="s">
        <v>632</v>
      </c>
      <c r="B506" s="3" t="s">
        <v>34</v>
      </c>
      <c r="C506" s="3" t="str">
        <f t="shared" si="7"/>
        <v>450013649010</v>
      </c>
      <c r="D506" s="4">
        <v>46305</v>
      </c>
      <c r="E506" s="3" t="s">
        <v>732</v>
      </c>
      <c r="F506" s="3" t="s">
        <v>864</v>
      </c>
    </row>
    <row r="507" spans="1:6" x14ac:dyDescent="0.3">
      <c r="A507" s="3" t="s">
        <v>458</v>
      </c>
      <c r="B507" s="3" t="s">
        <v>34</v>
      </c>
      <c r="C507" s="3" t="str">
        <f t="shared" si="7"/>
        <v>450013650510</v>
      </c>
      <c r="D507" s="4">
        <v>46274</v>
      </c>
      <c r="E507" s="3" t="s">
        <v>708</v>
      </c>
      <c r="F507" s="3" t="s">
        <v>917</v>
      </c>
    </row>
    <row r="508" spans="1:6" x14ac:dyDescent="0.3">
      <c r="A508" s="3" t="s">
        <v>458</v>
      </c>
      <c r="B508" s="3" t="s">
        <v>21</v>
      </c>
      <c r="C508" s="3" t="str">
        <f t="shared" si="7"/>
        <v>450013650520</v>
      </c>
      <c r="D508" s="4">
        <v>46274</v>
      </c>
      <c r="E508" s="3" t="s">
        <v>708</v>
      </c>
      <c r="F508" s="3" t="s">
        <v>917</v>
      </c>
    </row>
    <row r="509" spans="1:6" x14ac:dyDescent="0.3">
      <c r="A509" s="3" t="s">
        <v>610</v>
      </c>
      <c r="B509" s="3" t="s">
        <v>34</v>
      </c>
      <c r="C509" s="3" t="str">
        <f t="shared" si="7"/>
        <v>450013657410</v>
      </c>
      <c r="D509" s="4">
        <v>46270</v>
      </c>
      <c r="E509" s="3" t="s">
        <v>706</v>
      </c>
      <c r="F509" s="3" t="s">
        <v>859</v>
      </c>
    </row>
    <row r="510" spans="1:6" x14ac:dyDescent="0.3">
      <c r="A510" s="3" t="s">
        <v>610</v>
      </c>
      <c r="B510" s="3" t="s">
        <v>21</v>
      </c>
      <c r="C510" s="3" t="str">
        <f t="shared" si="7"/>
        <v>450013657420</v>
      </c>
      <c r="D510" s="4">
        <v>46270</v>
      </c>
      <c r="E510" s="3" t="s">
        <v>706</v>
      </c>
      <c r="F510" s="3" t="s">
        <v>859</v>
      </c>
    </row>
    <row r="511" spans="1:6" x14ac:dyDescent="0.3">
      <c r="A511" s="3" t="s">
        <v>610</v>
      </c>
      <c r="B511" s="3" t="s">
        <v>22</v>
      </c>
      <c r="C511" s="3" t="str">
        <f t="shared" si="7"/>
        <v>450013657430</v>
      </c>
      <c r="D511" s="4">
        <v>46270</v>
      </c>
      <c r="E511" s="3" t="s">
        <v>706</v>
      </c>
      <c r="F511" s="3" t="s">
        <v>859</v>
      </c>
    </row>
    <row r="512" spans="1:6" x14ac:dyDescent="0.3">
      <c r="A512" s="3" t="s">
        <v>610</v>
      </c>
      <c r="B512" s="3" t="s">
        <v>26</v>
      </c>
      <c r="C512" s="3" t="str">
        <f t="shared" si="7"/>
        <v>450013657440</v>
      </c>
      <c r="D512" s="4">
        <v>46270</v>
      </c>
      <c r="E512" s="3" t="s">
        <v>706</v>
      </c>
      <c r="F512" s="3" t="s">
        <v>859</v>
      </c>
    </row>
    <row r="513" spans="1:6" x14ac:dyDescent="0.3">
      <c r="A513" s="3" t="s">
        <v>610</v>
      </c>
      <c r="B513" s="3" t="s">
        <v>23</v>
      </c>
      <c r="C513" s="3" t="str">
        <f t="shared" si="7"/>
        <v>450013657450</v>
      </c>
      <c r="D513" s="4">
        <v>46270</v>
      </c>
      <c r="E513" s="3" t="s">
        <v>706</v>
      </c>
      <c r="F513" s="3" t="s">
        <v>859</v>
      </c>
    </row>
    <row r="514" spans="1:6" x14ac:dyDescent="0.3">
      <c r="A514" s="3" t="s">
        <v>610</v>
      </c>
      <c r="B514" s="3" t="s">
        <v>24</v>
      </c>
      <c r="C514" s="3" t="str">
        <f t="shared" si="7"/>
        <v>450013657460</v>
      </c>
      <c r="D514" s="4">
        <v>46270</v>
      </c>
      <c r="E514" s="3" t="s">
        <v>706</v>
      </c>
      <c r="F514" s="3" t="s">
        <v>859</v>
      </c>
    </row>
    <row r="515" spans="1:6" x14ac:dyDescent="0.3">
      <c r="A515" s="3" t="s">
        <v>610</v>
      </c>
      <c r="B515" s="3" t="s">
        <v>25</v>
      </c>
      <c r="C515" s="3" t="str">
        <f t="shared" ref="C515:C578" si="8">_xlfn.CONCAT(A515:B515)</f>
        <v>450013657470</v>
      </c>
      <c r="D515" s="4">
        <v>46290</v>
      </c>
      <c r="E515" s="3" t="s">
        <v>706</v>
      </c>
      <c r="F515" s="3" t="s">
        <v>859</v>
      </c>
    </row>
    <row r="516" spans="1:6" x14ac:dyDescent="0.3">
      <c r="A516" s="3" t="s">
        <v>610</v>
      </c>
      <c r="B516" s="3" t="s">
        <v>343</v>
      </c>
      <c r="C516" s="3" t="str">
        <f t="shared" si="8"/>
        <v>450013657480</v>
      </c>
      <c r="D516" s="4">
        <v>46270</v>
      </c>
      <c r="E516" s="3" t="s">
        <v>706</v>
      </c>
      <c r="F516" s="3" t="s">
        <v>859</v>
      </c>
    </row>
    <row r="517" spans="1:6" x14ac:dyDescent="0.3">
      <c r="A517" s="3" t="s">
        <v>1063</v>
      </c>
      <c r="B517" s="3" t="s">
        <v>34</v>
      </c>
      <c r="C517" s="3" t="str">
        <f t="shared" si="8"/>
        <v>450013659910</v>
      </c>
      <c r="D517" s="4">
        <v>46273</v>
      </c>
      <c r="E517" s="3" t="s">
        <v>711</v>
      </c>
      <c r="F517" s="3" t="s">
        <v>860</v>
      </c>
    </row>
    <row r="518" spans="1:6" x14ac:dyDescent="0.3">
      <c r="A518" s="3" t="s">
        <v>1063</v>
      </c>
      <c r="B518" s="3" t="s">
        <v>21</v>
      </c>
      <c r="C518" s="3" t="str">
        <f t="shared" si="8"/>
        <v>450013659920</v>
      </c>
      <c r="D518" s="4">
        <v>46273</v>
      </c>
      <c r="E518" s="3" t="s">
        <v>711</v>
      </c>
      <c r="F518" s="3" t="s">
        <v>860</v>
      </c>
    </row>
    <row r="519" spans="1:6" x14ac:dyDescent="0.3">
      <c r="A519" s="3" t="s">
        <v>1063</v>
      </c>
      <c r="B519" s="3" t="s">
        <v>22</v>
      </c>
      <c r="C519" s="3" t="str">
        <f t="shared" si="8"/>
        <v>450013659930</v>
      </c>
      <c r="D519" s="4">
        <v>46273</v>
      </c>
      <c r="E519" s="3" t="s">
        <v>711</v>
      </c>
      <c r="F519" s="3" t="s">
        <v>860</v>
      </c>
    </row>
    <row r="520" spans="1:6" x14ac:dyDescent="0.3">
      <c r="A520" s="3" t="s">
        <v>1063</v>
      </c>
      <c r="B520" s="3" t="s">
        <v>26</v>
      </c>
      <c r="C520" s="3" t="str">
        <f t="shared" si="8"/>
        <v>450013659940</v>
      </c>
      <c r="D520" s="4">
        <v>46273</v>
      </c>
      <c r="E520" s="3" t="s">
        <v>711</v>
      </c>
      <c r="F520" s="3" t="s">
        <v>860</v>
      </c>
    </row>
    <row r="521" spans="1:6" x14ac:dyDescent="0.3">
      <c r="A521" s="3" t="s">
        <v>1063</v>
      </c>
      <c r="B521" s="3" t="s">
        <v>23</v>
      </c>
      <c r="C521" s="3" t="str">
        <f t="shared" si="8"/>
        <v>450013659950</v>
      </c>
      <c r="D521" s="4">
        <v>46273</v>
      </c>
      <c r="E521" s="3" t="s">
        <v>711</v>
      </c>
      <c r="F521" s="3" t="s">
        <v>860</v>
      </c>
    </row>
    <row r="522" spans="1:6" x14ac:dyDescent="0.3">
      <c r="A522" s="3" t="s">
        <v>492</v>
      </c>
      <c r="B522" s="3" t="s">
        <v>22</v>
      </c>
      <c r="C522" s="3" t="str">
        <f t="shared" si="8"/>
        <v>450013665130</v>
      </c>
      <c r="D522" s="4">
        <v>46280</v>
      </c>
      <c r="E522" s="3" t="s">
        <v>706</v>
      </c>
      <c r="F522" s="3" t="s">
        <v>919</v>
      </c>
    </row>
    <row r="523" spans="1:6" x14ac:dyDescent="0.3">
      <c r="A523" s="3" t="s">
        <v>521</v>
      </c>
      <c r="B523" s="3" t="s">
        <v>34</v>
      </c>
      <c r="C523" s="3" t="str">
        <f t="shared" si="8"/>
        <v>450013666510</v>
      </c>
      <c r="D523" s="4">
        <v>46286</v>
      </c>
      <c r="E523" s="3" t="s">
        <v>715</v>
      </c>
      <c r="F523" s="3" t="s">
        <v>920</v>
      </c>
    </row>
    <row r="524" spans="1:6" x14ac:dyDescent="0.3">
      <c r="A524" s="3" t="s">
        <v>521</v>
      </c>
      <c r="B524" s="3" t="s">
        <v>21</v>
      </c>
      <c r="C524" s="3" t="str">
        <f t="shared" si="8"/>
        <v>450013666520</v>
      </c>
      <c r="D524" s="4">
        <v>46286</v>
      </c>
      <c r="E524" s="3" t="s">
        <v>715</v>
      </c>
      <c r="F524" s="3" t="s">
        <v>920</v>
      </c>
    </row>
    <row r="525" spans="1:6" x14ac:dyDescent="0.3">
      <c r="A525" s="3" t="s">
        <v>521</v>
      </c>
      <c r="B525" s="3" t="s">
        <v>22</v>
      </c>
      <c r="C525" s="3" t="str">
        <f t="shared" si="8"/>
        <v>450013666530</v>
      </c>
      <c r="D525" s="4">
        <v>46286</v>
      </c>
      <c r="E525" s="3" t="s">
        <v>715</v>
      </c>
      <c r="F525" s="3" t="s">
        <v>920</v>
      </c>
    </row>
    <row r="526" spans="1:6" x14ac:dyDescent="0.3">
      <c r="A526" s="3" t="s">
        <v>521</v>
      </c>
      <c r="B526" s="3" t="s">
        <v>26</v>
      </c>
      <c r="C526" s="3" t="str">
        <f t="shared" si="8"/>
        <v>450013666540</v>
      </c>
      <c r="D526" s="4">
        <v>46269</v>
      </c>
      <c r="E526" s="3" t="s">
        <v>715</v>
      </c>
      <c r="F526" s="3" t="s">
        <v>920</v>
      </c>
    </row>
    <row r="527" spans="1:6" x14ac:dyDescent="0.3">
      <c r="A527" s="3" t="s">
        <v>521</v>
      </c>
      <c r="B527" s="3" t="s">
        <v>23</v>
      </c>
      <c r="C527" s="3" t="str">
        <f t="shared" si="8"/>
        <v>450013666550</v>
      </c>
      <c r="D527" s="4">
        <v>46269</v>
      </c>
      <c r="E527" s="3" t="s">
        <v>715</v>
      </c>
      <c r="F527" s="3" t="s">
        <v>920</v>
      </c>
    </row>
    <row r="528" spans="1:6" x14ac:dyDescent="0.3">
      <c r="A528" s="3" t="s">
        <v>521</v>
      </c>
      <c r="B528" s="3" t="s">
        <v>24</v>
      </c>
      <c r="C528" s="3" t="str">
        <f t="shared" si="8"/>
        <v>450013666560</v>
      </c>
      <c r="D528" s="4">
        <v>46269</v>
      </c>
      <c r="E528" s="3" t="s">
        <v>715</v>
      </c>
      <c r="F528" s="3" t="s">
        <v>920</v>
      </c>
    </row>
    <row r="529" spans="1:6" x14ac:dyDescent="0.3">
      <c r="A529" s="3" t="s">
        <v>521</v>
      </c>
      <c r="B529" s="3" t="s">
        <v>25</v>
      </c>
      <c r="C529" s="3" t="str">
        <f t="shared" si="8"/>
        <v>450013666570</v>
      </c>
      <c r="D529" s="4">
        <v>46286</v>
      </c>
      <c r="E529" s="3" t="s">
        <v>715</v>
      </c>
      <c r="F529" s="3" t="s">
        <v>920</v>
      </c>
    </row>
    <row r="530" spans="1:6" x14ac:dyDescent="0.3">
      <c r="A530" s="3" t="s">
        <v>521</v>
      </c>
      <c r="B530" s="3" t="s">
        <v>343</v>
      </c>
      <c r="C530" s="3" t="str">
        <f t="shared" si="8"/>
        <v>450013666580</v>
      </c>
      <c r="D530" s="4">
        <v>46286</v>
      </c>
      <c r="E530" s="3" t="s">
        <v>715</v>
      </c>
      <c r="F530" s="3" t="s">
        <v>920</v>
      </c>
    </row>
    <row r="531" spans="1:6" x14ac:dyDescent="0.3">
      <c r="A531" s="3" t="s">
        <v>483</v>
      </c>
      <c r="B531" s="3" t="s">
        <v>34</v>
      </c>
      <c r="C531" s="3" t="str">
        <f t="shared" si="8"/>
        <v>450013670010</v>
      </c>
      <c r="D531" s="4">
        <v>46280</v>
      </c>
      <c r="E531" s="3" t="s">
        <v>722</v>
      </c>
      <c r="F531" s="3" t="s">
        <v>889</v>
      </c>
    </row>
    <row r="532" spans="1:6" x14ac:dyDescent="0.3">
      <c r="A532" s="3" t="s">
        <v>483</v>
      </c>
      <c r="B532" s="3" t="s">
        <v>21</v>
      </c>
      <c r="C532" s="3" t="str">
        <f t="shared" si="8"/>
        <v>450013670020</v>
      </c>
      <c r="D532" s="4">
        <v>46280</v>
      </c>
      <c r="E532" s="3" t="s">
        <v>722</v>
      </c>
      <c r="F532" s="3" t="s">
        <v>889</v>
      </c>
    </row>
    <row r="533" spans="1:6" x14ac:dyDescent="0.3">
      <c r="A533" s="3" t="s">
        <v>483</v>
      </c>
      <c r="B533" s="3" t="s">
        <v>22</v>
      </c>
      <c r="C533" s="3" t="str">
        <f t="shared" si="8"/>
        <v>450013670030</v>
      </c>
      <c r="D533" s="4">
        <v>46280</v>
      </c>
      <c r="E533" s="3" t="s">
        <v>722</v>
      </c>
      <c r="F533" s="3" t="s">
        <v>889</v>
      </c>
    </row>
    <row r="534" spans="1:6" x14ac:dyDescent="0.3">
      <c r="A534" s="3" t="s">
        <v>584</v>
      </c>
      <c r="B534" s="3" t="s">
        <v>34</v>
      </c>
      <c r="C534" s="3" t="str">
        <f t="shared" si="8"/>
        <v>450013672910</v>
      </c>
      <c r="D534" s="4">
        <v>46269</v>
      </c>
      <c r="E534" s="3" t="s">
        <v>711</v>
      </c>
      <c r="F534" s="3" t="s">
        <v>921</v>
      </c>
    </row>
    <row r="535" spans="1:6" x14ac:dyDescent="0.3">
      <c r="A535" s="3" t="s">
        <v>584</v>
      </c>
      <c r="B535" s="3" t="s">
        <v>21</v>
      </c>
      <c r="C535" s="3" t="str">
        <f t="shared" si="8"/>
        <v>450013672920</v>
      </c>
      <c r="D535" s="4">
        <v>46269</v>
      </c>
      <c r="E535" s="3" t="s">
        <v>711</v>
      </c>
      <c r="F535" s="3" t="s">
        <v>921</v>
      </c>
    </row>
    <row r="536" spans="1:6" x14ac:dyDescent="0.3">
      <c r="A536" s="3" t="s">
        <v>501</v>
      </c>
      <c r="B536" s="3" t="s">
        <v>34</v>
      </c>
      <c r="C536" s="3" t="str">
        <f t="shared" si="8"/>
        <v>450013675610</v>
      </c>
      <c r="D536" s="4">
        <v>46269</v>
      </c>
      <c r="E536" s="3" t="s">
        <v>706</v>
      </c>
      <c r="F536" s="3" t="s">
        <v>922</v>
      </c>
    </row>
    <row r="537" spans="1:6" x14ac:dyDescent="0.3">
      <c r="A537" s="3" t="s">
        <v>487</v>
      </c>
      <c r="B537" s="3" t="s">
        <v>34</v>
      </c>
      <c r="C537" s="3" t="str">
        <f t="shared" si="8"/>
        <v>450013675710</v>
      </c>
      <c r="D537" s="4">
        <v>46276</v>
      </c>
      <c r="E537" s="3" t="s">
        <v>706</v>
      </c>
      <c r="F537" s="3" t="s">
        <v>923</v>
      </c>
    </row>
    <row r="538" spans="1:6" x14ac:dyDescent="0.3">
      <c r="A538" s="3" t="s">
        <v>487</v>
      </c>
      <c r="B538" s="3" t="s">
        <v>21</v>
      </c>
      <c r="C538" s="3" t="str">
        <f t="shared" si="8"/>
        <v>450013675720</v>
      </c>
      <c r="D538" s="4">
        <v>46276</v>
      </c>
      <c r="E538" s="3" t="s">
        <v>706</v>
      </c>
      <c r="F538" s="3" t="s">
        <v>923</v>
      </c>
    </row>
    <row r="539" spans="1:6" x14ac:dyDescent="0.3">
      <c r="A539" s="3" t="s">
        <v>487</v>
      </c>
      <c r="B539" s="3" t="s">
        <v>22</v>
      </c>
      <c r="C539" s="3" t="str">
        <f t="shared" si="8"/>
        <v>450013675730</v>
      </c>
      <c r="D539" s="4">
        <v>46276</v>
      </c>
      <c r="E539" s="3" t="s">
        <v>706</v>
      </c>
      <c r="F539" s="3" t="s">
        <v>923</v>
      </c>
    </row>
    <row r="540" spans="1:6" x14ac:dyDescent="0.3">
      <c r="A540" s="3" t="s">
        <v>1066</v>
      </c>
      <c r="B540" s="3" t="s">
        <v>34</v>
      </c>
      <c r="C540" s="3" t="str">
        <f t="shared" si="8"/>
        <v>450013677610</v>
      </c>
      <c r="D540" s="4">
        <v>46310</v>
      </c>
      <c r="E540" s="3" t="s">
        <v>724</v>
      </c>
      <c r="F540" s="3" t="s">
        <v>1080</v>
      </c>
    </row>
    <row r="541" spans="1:6" x14ac:dyDescent="0.3">
      <c r="A541" s="3" t="s">
        <v>477</v>
      </c>
      <c r="B541" s="3" t="s">
        <v>34</v>
      </c>
      <c r="C541" s="3" t="str">
        <f t="shared" si="8"/>
        <v>450013678110</v>
      </c>
      <c r="D541" s="4">
        <v>46280</v>
      </c>
      <c r="E541" s="3" t="s">
        <v>708</v>
      </c>
      <c r="F541" s="3" t="s">
        <v>919</v>
      </c>
    </row>
    <row r="542" spans="1:6" x14ac:dyDescent="0.3">
      <c r="A542" s="3" t="s">
        <v>477</v>
      </c>
      <c r="B542" s="3" t="s">
        <v>21</v>
      </c>
      <c r="C542" s="3" t="str">
        <f t="shared" si="8"/>
        <v>450013678120</v>
      </c>
      <c r="D542" s="4">
        <v>46280</v>
      </c>
      <c r="E542" s="3" t="s">
        <v>708</v>
      </c>
      <c r="F542" s="3" t="s">
        <v>919</v>
      </c>
    </row>
    <row r="543" spans="1:6" x14ac:dyDescent="0.3">
      <c r="A543" s="3" t="s">
        <v>477</v>
      </c>
      <c r="B543" s="3" t="s">
        <v>22</v>
      </c>
      <c r="C543" s="3" t="str">
        <f t="shared" si="8"/>
        <v>450013678130</v>
      </c>
      <c r="D543" s="4">
        <v>46280</v>
      </c>
      <c r="E543" s="3" t="s">
        <v>708</v>
      </c>
      <c r="F543" s="3" t="s">
        <v>919</v>
      </c>
    </row>
    <row r="544" spans="1:6" x14ac:dyDescent="0.3">
      <c r="A544" s="3" t="s">
        <v>503</v>
      </c>
      <c r="B544" s="3" t="s">
        <v>34</v>
      </c>
      <c r="C544" s="3" t="str">
        <f t="shared" si="8"/>
        <v>450013678710</v>
      </c>
      <c r="D544" s="4">
        <v>46264</v>
      </c>
      <c r="E544" s="3" t="s">
        <v>708</v>
      </c>
      <c r="F544" s="3" t="s">
        <v>852</v>
      </c>
    </row>
    <row r="545" spans="1:6" x14ac:dyDescent="0.3">
      <c r="A545" s="3" t="s">
        <v>503</v>
      </c>
      <c r="B545" s="3" t="s">
        <v>21</v>
      </c>
      <c r="C545" s="3" t="str">
        <f t="shared" si="8"/>
        <v>450013678720</v>
      </c>
      <c r="D545" s="4">
        <v>46266</v>
      </c>
      <c r="E545" s="3" t="s">
        <v>708</v>
      </c>
      <c r="F545" s="3" t="s">
        <v>852</v>
      </c>
    </row>
    <row r="546" spans="1:6" x14ac:dyDescent="0.3">
      <c r="A546" s="3" t="s">
        <v>503</v>
      </c>
      <c r="B546" s="3" t="s">
        <v>22</v>
      </c>
      <c r="C546" s="3" t="str">
        <f t="shared" si="8"/>
        <v>450013678730</v>
      </c>
      <c r="D546" s="4">
        <v>46266</v>
      </c>
      <c r="E546" s="3" t="s">
        <v>708</v>
      </c>
      <c r="F546" s="3" t="s">
        <v>852</v>
      </c>
    </row>
    <row r="547" spans="1:6" x14ac:dyDescent="0.3">
      <c r="A547" s="3" t="s">
        <v>503</v>
      </c>
      <c r="B547" s="3" t="s">
        <v>26</v>
      </c>
      <c r="C547" s="3" t="str">
        <f t="shared" si="8"/>
        <v>450013678740</v>
      </c>
      <c r="D547" s="4">
        <v>46266</v>
      </c>
      <c r="E547" s="3" t="s">
        <v>708</v>
      </c>
      <c r="F547" s="3" t="s">
        <v>852</v>
      </c>
    </row>
    <row r="548" spans="1:6" x14ac:dyDescent="0.3">
      <c r="A548" s="3" t="s">
        <v>781</v>
      </c>
      <c r="B548" s="3" t="s">
        <v>34</v>
      </c>
      <c r="C548" s="3" t="str">
        <f t="shared" si="8"/>
        <v>450013686110</v>
      </c>
      <c r="D548" s="4">
        <v>46285</v>
      </c>
      <c r="E548" s="3" t="s">
        <v>708</v>
      </c>
      <c r="F548" s="3" t="s">
        <v>868</v>
      </c>
    </row>
    <row r="549" spans="1:6" x14ac:dyDescent="0.3">
      <c r="A549" s="3" t="s">
        <v>781</v>
      </c>
      <c r="B549" s="3" t="s">
        <v>21</v>
      </c>
      <c r="C549" s="3" t="str">
        <f t="shared" si="8"/>
        <v>450013686120</v>
      </c>
      <c r="D549" s="4">
        <v>46301</v>
      </c>
      <c r="E549" s="3" t="s">
        <v>708</v>
      </c>
      <c r="F549" s="3" t="s">
        <v>868</v>
      </c>
    </row>
    <row r="550" spans="1:6" x14ac:dyDescent="0.3">
      <c r="A550" s="3" t="s">
        <v>1040</v>
      </c>
      <c r="B550" s="3" t="s">
        <v>34</v>
      </c>
      <c r="C550" s="3" t="str">
        <f t="shared" si="8"/>
        <v>450013687210</v>
      </c>
      <c r="D550" s="4">
        <v>46295</v>
      </c>
      <c r="E550" s="3" t="s">
        <v>738</v>
      </c>
      <c r="F550" s="3" t="s">
        <v>874</v>
      </c>
    </row>
    <row r="551" spans="1:6" x14ac:dyDescent="0.3">
      <c r="A551" s="3" t="s">
        <v>1040</v>
      </c>
      <c r="B551" s="3" t="s">
        <v>21</v>
      </c>
      <c r="C551" s="3" t="str">
        <f t="shared" si="8"/>
        <v>450013687220</v>
      </c>
      <c r="D551" s="4">
        <v>46272</v>
      </c>
      <c r="E551" s="3" t="s">
        <v>738</v>
      </c>
      <c r="F551" s="3" t="s">
        <v>874</v>
      </c>
    </row>
    <row r="552" spans="1:6" x14ac:dyDescent="0.3">
      <c r="A552" s="3" t="s">
        <v>1040</v>
      </c>
      <c r="B552" s="3" t="s">
        <v>22</v>
      </c>
      <c r="C552" s="3" t="str">
        <f t="shared" si="8"/>
        <v>450013687230</v>
      </c>
      <c r="D552" s="4">
        <v>46277</v>
      </c>
      <c r="E552" s="3" t="s">
        <v>738</v>
      </c>
      <c r="F552" s="3" t="s">
        <v>874</v>
      </c>
    </row>
    <row r="553" spans="1:6" x14ac:dyDescent="0.3">
      <c r="A553" s="3" t="s">
        <v>613</v>
      </c>
      <c r="B553" s="3" t="s">
        <v>34</v>
      </c>
      <c r="C553" s="3" t="str">
        <f t="shared" si="8"/>
        <v>450013687910</v>
      </c>
      <c r="D553" s="4">
        <v>46297</v>
      </c>
      <c r="E553" s="3" t="s">
        <v>716</v>
      </c>
      <c r="F553" s="3" t="s">
        <v>924</v>
      </c>
    </row>
    <row r="554" spans="1:6" x14ac:dyDescent="0.3">
      <c r="A554" s="3" t="s">
        <v>490</v>
      </c>
      <c r="B554" s="3" t="s">
        <v>34</v>
      </c>
      <c r="C554" s="3" t="str">
        <f t="shared" si="8"/>
        <v>450013690910</v>
      </c>
      <c r="D554" s="4">
        <v>46274</v>
      </c>
      <c r="E554" s="3" t="s">
        <v>717</v>
      </c>
      <c r="F554" s="3" t="s">
        <v>925</v>
      </c>
    </row>
    <row r="555" spans="1:6" x14ac:dyDescent="0.3">
      <c r="A555" s="3" t="s">
        <v>599</v>
      </c>
      <c r="B555" s="3" t="s">
        <v>34</v>
      </c>
      <c r="C555" s="3" t="str">
        <f t="shared" si="8"/>
        <v>450013691810</v>
      </c>
      <c r="D555" s="4">
        <v>46287</v>
      </c>
      <c r="E555" s="3" t="s">
        <v>713</v>
      </c>
      <c r="F555" s="3" t="s">
        <v>852</v>
      </c>
    </row>
    <row r="556" spans="1:6" x14ac:dyDescent="0.3">
      <c r="A556" s="3" t="s">
        <v>599</v>
      </c>
      <c r="B556" s="3" t="s">
        <v>22</v>
      </c>
      <c r="C556" s="3" t="str">
        <f t="shared" si="8"/>
        <v>450013691830</v>
      </c>
      <c r="D556" s="4">
        <v>46287</v>
      </c>
      <c r="E556" s="3" t="s">
        <v>713</v>
      </c>
      <c r="F556" s="3" t="s">
        <v>852</v>
      </c>
    </row>
    <row r="557" spans="1:6" x14ac:dyDescent="0.3">
      <c r="A557" s="3" t="s">
        <v>599</v>
      </c>
      <c r="B557" s="3" t="s">
        <v>26</v>
      </c>
      <c r="C557" s="3" t="str">
        <f t="shared" si="8"/>
        <v>450013691840</v>
      </c>
      <c r="D557" s="4">
        <v>46287</v>
      </c>
      <c r="E557" s="3" t="s">
        <v>713</v>
      </c>
      <c r="F557" s="3" t="s">
        <v>852</v>
      </c>
    </row>
    <row r="558" spans="1:6" x14ac:dyDescent="0.3">
      <c r="A558" s="3" t="s">
        <v>641</v>
      </c>
      <c r="B558" s="3" t="s">
        <v>34</v>
      </c>
      <c r="C558" s="3" t="str">
        <f t="shared" si="8"/>
        <v>450013692310</v>
      </c>
      <c r="D558" s="4">
        <v>46295</v>
      </c>
      <c r="E558" s="3" t="s">
        <v>704</v>
      </c>
      <c r="F558" s="3" t="s">
        <v>862</v>
      </c>
    </row>
    <row r="559" spans="1:6" x14ac:dyDescent="0.3">
      <c r="A559" s="3" t="s">
        <v>641</v>
      </c>
      <c r="B559" s="3" t="s">
        <v>21</v>
      </c>
      <c r="C559" s="3" t="str">
        <f t="shared" si="8"/>
        <v>450013692320</v>
      </c>
      <c r="D559" s="4">
        <v>46295</v>
      </c>
      <c r="E559" s="3" t="s">
        <v>704</v>
      </c>
      <c r="F559" s="3" t="s">
        <v>862</v>
      </c>
    </row>
    <row r="560" spans="1:6" x14ac:dyDescent="0.3">
      <c r="A560" s="3" t="s">
        <v>462</v>
      </c>
      <c r="B560" s="3" t="s">
        <v>34</v>
      </c>
      <c r="C560" s="3" t="str">
        <f t="shared" si="8"/>
        <v>450013694110</v>
      </c>
      <c r="D560" s="4">
        <v>46280</v>
      </c>
      <c r="E560" s="3" t="s">
        <v>732</v>
      </c>
      <c r="F560" s="3" t="s">
        <v>916</v>
      </c>
    </row>
    <row r="561" spans="1:6" x14ac:dyDescent="0.3">
      <c r="A561" s="3" t="s">
        <v>605</v>
      </c>
      <c r="B561" s="3" t="s">
        <v>34</v>
      </c>
      <c r="C561" s="3" t="str">
        <f t="shared" si="8"/>
        <v>450013695410</v>
      </c>
      <c r="D561" s="4">
        <v>46280</v>
      </c>
      <c r="E561" s="3" t="s">
        <v>711</v>
      </c>
      <c r="F561" s="3" t="s">
        <v>926</v>
      </c>
    </row>
    <row r="562" spans="1:6" x14ac:dyDescent="0.3">
      <c r="A562" s="3" t="s">
        <v>597</v>
      </c>
      <c r="B562" s="3" t="s">
        <v>34</v>
      </c>
      <c r="C562" s="3" t="str">
        <f t="shared" si="8"/>
        <v>450013695610</v>
      </c>
      <c r="D562" s="4">
        <v>46275</v>
      </c>
      <c r="E562" s="3" t="s">
        <v>711</v>
      </c>
      <c r="F562" s="3" t="s">
        <v>914</v>
      </c>
    </row>
    <row r="563" spans="1:6" x14ac:dyDescent="0.3">
      <c r="A563" s="3" t="s">
        <v>597</v>
      </c>
      <c r="B563" s="3" t="s">
        <v>21</v>
      </c>
      <c r="C563" s="3" t="str">
        <f t="shared" si="8"/>
        <v>450013695620</v>
      </c>
      <c r="D563" s="4">
        <v>46275</v>
      </c>
      <c r="E563" s="3" t="s">
        <v>711</v>
      </c>
      <c r="F563" s="3" t="s">
        <v>914</v>
      </c>
    </row>
    <row r="564" spans="1:6" x14ac:dyDescent="0.3">
      <c r="A564" s="3" t="s">
        <v>597</v>
      </c>
      <c r="B564" s="3" t="s">
        <v>22</v>
      </c>
      <c r="C564" s="3" t="str">
        <f t="shared" si="8"/>
        <v>450013695630</v>
      </c>
      <c r="D564" s="4">
        <v>46275</v>
      </c>
      <c r="E564" s="3" t="s">
        <v>711</v>
      </c>
      <c r="F564" s="3" t="s">
        <v>914</v>
      </c>
    </row>
    <row r="565" spans="1:6" x14ac:dyDescent="0.3">
      <c r="A565" s="3" t="s">
        <v>597</v>
      </c>
      <c r="B565" s="3" t="s">
        <v>26</v>
      </c>
      <c r="C565" s="3" t="str">
        <f t="shared" si="8"/>
        <v>450013695640</v>
      </c>
      <c r="D565" s="4">
        <v>46275</v>
      </c>
      <c r="E565" s="3" t="s">
        <v>711</v>
      </c>
      <c r="F565" s="3" t="s">
        <v>914</v>
      </c>
    </row>
    <row r="566" spans="1:6" x14ac:dyDescent="0.3">
      <c r="A566" s="3" t="s">
        <v>597</v>
      </c>
      <c r="B566" s="3" t="s">
        <v>23</v>
      </c>
      <c r="C566" s="3" t="str">
        <f t="shared" si="8"/>
        <v>450013695650</v>
      </c>
      <c r="D566" s="4">
        <v>46275</v>
      </c>
      <c r="E566" s="3" t="s">
        <v>711</v>
      </c>
      <c r="F566" s="3" t="s">
        <v>914</v>
      </c>
    </row>
    <row r="567" spans="1:6" x14ac:dyDescent="0.3">
      <c r="A567" s="3" t="s">
        <v>479</v>
      </c>
      <c r="B567" s="3" t="s">
        <v>34</v>
      </c>
      <c r="C567" s="3" t="str">
        <f t="shared" si="8"/>
        <v>450013700410</v>
      </c>
      <c r="D567" s="4">
        <v>46276</v>
      </c>
      <c r="E567" s="3" t="s">
        <v>706</v>
      </c>
      <c r="F567" s="3" t="s">
        <v>900</v>
      </c>
    </row>
    <row r="568" spans="1:6" x14ac:dyDescent="0.3">
      <c r="A568" s="3" t="s">
        <v>474</v>
      </c>
      <c r="B568" s="3" t="s">
        <v>34</v>
      </c>
      <c r="C568" s="3" t="str">
        <f t="shared" si="8"/>
        <v>450013707610</v>
      </c>
      <c r="D568" s="4">
        <v>46269</v>
      </c>
      <c r="E568" s="3" t="s">
        <v>734</v>
      </c>
      <c r="F568" s="3" t="s">
        <v>927</v>
      </c>
    </row>
    <row r="569" spans="1:6" x14ac:dyDescent="0.3">
      <c r="A569" s="3" t="s">
        <v>494</v>
      </c>
      <c r="B569" s="3" t="s">
        <v>34</v>
      </c>
      <c r="C569" s="3" t="str">
        <f t="shared" si="8"/>
        <v>450013713310</v>
      </c>
      <c r="D569" s="4">
        <v>46275</v>
      </c>
      <c r="E569" s="3" t="s">
        <v>722</v>
      </c>
      <c r="F569" s="3" t="s">
        <v>916</v>
      </c>
    </row>
    <row r="570" spans="1:6" x14ac:dyDescent="0.3">
      <c r="A570" s="3" t="s">
        <v>556</v>
      </c>
      <c r="B570" s="3" t="s">
        <v>34</v>
      </c>
      <c r="C570" s="3" t="str">
        <f t="shared" si="8"/>
        <v>450013713610</v>
      </c>
      <c r="D570" s="4">
        <v>46287</v>
      </c>
      <c r="E570" s="3" t="s">
        <v>735</v>
      </c>
      <c r="F570" s="3" t="s">
        <v>928</v>
      </c>
    </row>
    <row r="571" spans="1:6" x14ac:dyDescent="0.3">
      <c r="A571" s="3" t="s">
        <v>769</v>
      </c>
      <c r="B571" s="3" t="s">
        <v>34</v>
      </c>
      <c r="C571" s="3" t="str">
        <f t="shared" si="8"/>
        <v>450013717410</v>
      </c>
      <c r="D571" s="4">
        <v>46287</v>
      </c>
      <c r="E571" s="3" t="s">
        <v>706</v>
      </c>
      <c r="F571" s="3" t="s">
        <v>874</v>
      </c>
    </row>
    <row r="572" spans="1:6" x14ac:dyDescent="0.3">
      <c r="A572" s="3" t="s">
        <v>769</v>
      </c>
      <c r="B572" s="3" t="s">
        <v>21</v>
      </c>
      <c r="C572" s="3" t="str">
        <f t="shared" si="8"/>
        <v>450013717420</v>
      </c>
      <c r="D572" s="4">
        <v>46287</v>
      </c>
      <c r="E572" s="3" t="s">
        <v>706</v>
      </c>
      <c r="F572" s="3" t="s">
        <v>874</v>
      </c>
    </row>
    <row r="573" spans="1:6" x14ac:dyDescent="0.3">
      <c r="A573" s="3" t="s">
        <v>469</v>
      </c>
      <c r="B573" s="3" t="s">
        <v>22</v>
      </c>
      <c r="C573" s="3" t="str">
        <f t="shared" si="8"/>
        <v>450013717730</v>
      </c>
      <c r="D573" s="4">
        <v>46275</v>
      </c>
      <c r="E573" s="3" t="s">
        <v>712</v>
      </c>
      <c r="F573" s="3" t="s">
        <v>887</v>
      </c>
    </row>
    <row r="574" spans="1:6" x14ac:dyDescent="0.3">
      <c r="A574" s="3" t="s">
        <v>684</v>
      </c>
      <c r="B574" s="3" t="s">
        <v>34</v>
      </c>
      <c r="C574" s="3" t="str">
        <f t="shared" si="8"/>
        <v>450013717810</v>
      </c>
      <c r="D574" s="4">
        <v>46274</v>
      </c>
      <c r="E574" s="3" t="s">
        <v>713</v>
      </c>
      <c r="F574" s="3" t="s">
        <v>900</v>
      </c>
    </row>
    <row r="575" spans="1:6" x14ac:dyDescent="0.3">
      <c r="A575" s="3" t="s">
        <v>684</v>
      </c>
      <c r="B575" s="3" t="s">
        <v>21</v>
      </c>
      <c r="C575" s="3" t="str">
        <f t="shared" si="8"/>
        <v>450013717820</v>
      </c>
      <c r="D575" s="4">
        <v>46310</v>
      </c>
      <c r="E575" s="3" t="s">
        <v>713</v>
      </c>
      <c r="F575" s="3" t="s">
        <v>900</v>
      </c>
    </row>
    <row r="576" spans="1:6" x14ac:dyDescent="0.3">
      <c r="A576" s="3" t="s">
        <v>636</v>
      </c>
      <c r="B576" s="3" t="s">
        <v>34</v>
      </c>
      <c r="C576" s="3" t="str">
        <f t="shared" si="8"/>
        <v>450013724010</v>
      </c>
      <c r="D576" s="4">
        <v>46290</v>
      </c>
      <c r="E576" s="3" t="s">
        <v>706</v>
      </c>
      <c r="F576" s="3" t="s">
        <v>871</v>
      </c>
    </row>
    <row r="577" spans="1:6" x14ac:dyDescent="0.3">
      <c r="A577" s="3" t="s">
        <v>564</v>
      </c>
      <c r="B577" s="3" t="s">
        <v>21</v>
      </c>
      <c r="C577" s="3" t="str">
        <f t="shared" si="8"/>
        <v>450013724520</v>
      </c>
      <c r="D577" s="4">
        <v>46272</v>
      </c>
      <c r="E577" s="3" t="s">
        <v>706</v>
      </c>
      <c r="F577" s="3" t="s">
        <v>859</v>
      </c>
    </row>
    <row r="578" spans="1:6" x14ac:dyDescent="0.3">
      <c r="A578" s="3" t="s">
        <v>564</v>
      </c>
      <c r="B578" s="3" t="s">
        <v>22</v>
      </c>
      <c r="C578" s="3" t="str">
        <f t="shared" si="8"/>
        <v>450013724530</v>
      </c>
      <c r="D578" s="4">
        <v>46287</v>
      </c>
      <c r="E578" s="3" t="s">
        <v>706</v>
      </c>
      <c r="F578" s="3" t="s">
        <v>859</v>
      </c>
    </row>
    <row r="579" spans="1:6" x14ac:dyDescent="0.3">
      <c r="A579" s="3" t="s">
        <v>497</v>
      </c>
      <c r="B579" s="3" t="s">
        <v>34</v>
      </c>
      <c r="C579" s="3" t="str">
        <f t="shared" ref="C579:C642" si="9">_xlfn.CONCAT(A579:B579)</f>
        <v>450013732810</v>
      </c>
      <c r="D579" s="4">
        <v>46280</v>
      </c>
      <c r="E579" s="3" t="s">
        <v>706</v>
      </c>
      <c r="F579" s="3" t="s">
        <v>929</v>
      </c>
    </row>
    <row r="580" spans="1:6" x14ac:dyDescent="0.3">
      <c r="A580" s="3" t="s">
        <v>512</v>
      </c>
      <c r="B580" s="3" t="s">
        <v>34</v>
      </c>
      <c r="C580" s="3" t="str">
        <f t="shared" si="9"/>
        <v>450013733410</v>
      </c>
      <c r="D580" s="4">
        <v>46270</v>
      </c>
      <c r="E580" s="3" t="s">
        <v>708</v>
      </c>
      <c r="F580" s="3" t="s">
        <v>887</v>
      </c>
    </row>
    <row r="581" spans="1:6" x14ac:dyDescent="0.3">
      <c r="A581" s="3" t="s">
        <v>550</v>
      </c>
      <c r="B581" s="3" t="s">
        <v>34</v>
      </c>
      <c r="C581" s="3" t="str">
        <f t="shared" si="9"/>
        <v>450013743510</v>
      </c>
      <c r="D581" s="4">
        <v>46285</v>
      </c>
      <c r="E581" s="3" t="s">
        <v>718</v>
      </c>
      <c r="F581" s="3" t="s">
        <v>918</v>
      </c>
    </row>
    <row r="582" spans="1:6" x14ac:dyDescent="0.3">
      <c r="A582" s="3" t="s">
        <v>550</v>
      </c>
      <c r="B582" s="3" t="s">
        <v>21</v>
      </c>
      <c r="C582" s="3" t="str">
        <f t="shared" si="9"/>
        <v>450013743520</v>
      </c>
      <c r="D582" s="4">
        <v>46285</v>
      </c>
      <c r="E582" s="3" t="s">
        <v>718</v>
      </c>
      <c r="F582" s="3" t="s">
        <v>918</v>
      </c>
    </row>
    <row r="583" spans="1:6" x14ac:dyDescent="0.3">
      <c r="A583" s="3" t="s">
        <v>550</v>
      </c>
      <c r="B583" s="3" t="s">
        <v>22</v>
      </c>
      <c r="C583" s="3" t="str">
        <f t="shared" si="9"/>
        <v>450013743530</v>
      </c>
      <c r="D583" s="4">
        <v>46285</v>
      </c>
      <c r="E583" s="3" t="s">
        <v>718</v>
      </c>
      <c r="F583" s="3" t="s">
        <v>918</v>
      </c>
    </row>
    <row r="584" spans="1:6" x14ac:dyDescent="0.3">
      <c r="A584" s="3" t="s">
        <v>601</v>
      </c>
      <c r="B584" s="3" t="s">
        <v>34</v>
      </c>
      <c r="C584" s="3" t="str">
        <f t="shared" si="9"/>
        <v>450013751110</v>
      </c>
      <c r="D584" s="4">
        <v>46280</v>
      </c>
      <c r="E584" s="3" t="s">
        <v>706</v>
      </c>
      <c r="F584" s="3" t="s">
        <v>854</v>
      </c>
    </row>
    <row r="585" spans="1:6" x14ac:dyDescent="0.3">
      <c r="A585" s="3" t="s">
        <v>767</v>
      </c>
      <c r="B585" s="3" t="s">
        <v>34</v>
      </c>
      <c r="C585" s="3" t="str">
        <f t="shared" si="9"/>
        <v>450013759110</v>
      </c>
      <c r="D585" s="4">
        <v>46291</v>
      </c>
      <c r="E585" s="3" t="s">
        <v>706</v>
      </c>
      <c r="F585" s="3" t="s">
        <v>852</v>
      </c>
    </row>
    <row r="586" spans="1:6" x14ac:dyDescent="0.3">
      <c r="A586" s="3" t="s">
        <v>767</v>
      </c>
      <c r="B586" s="3" t="s">
        <v>21</v>
      </c>
      <c r="C586" s="3" t="str">
        <f t="shared" si="9"/>
        <v>450013759120</v>
      </c>
      <c r="D586" s="4">
        <v>46277</v>
      </c>
      <c r="E586" s="3" t="s">
        <v>706</v>
      </c>
      <c r="F586" s="3" t="s">
        <v>852</v>
      </c>
    </row>
    <row r="587" spans="1:6" x14ac:dyDescent="0.3">
      <c r="A587" s="3" t="s">
        <v>767</v>
      </c>
      <c r="B587" s="3" t="s">
        <v>22</v>
      </c>
      <c r="C587" s="3" t="str">
        <f t="shared" si="9"/>
        <v>450013759130</v>
      </c>
      <c r="D587" s="4">
        <v>46277</v>
      </c>
      <c r="E587" s="3" t="s">
        <v>706</v>
      </c>
      <c r="F587" s="3" t="s">
        <v>852</v>
      </c>
    </row>
    <row r="588" spans="1:6" x14ac:dyDescent="0.3">
      <c r="A588" s="3" t="s">
        <v>767</v>
      </c>
      <c r="B588" s="3" t="s">
        <v>26</v>
      </c>
      <c r="C588" s="3" t="str">
        <f t="shared" si="9"/>
        <v>450013759140</v>
      </c>
      <c r="D588" s="4">
        <v>46301</v>
      </c>
      <c r="E588" s="3" t="s">
        <v>706</v>
      </c>
      <c r="F588" s="3" t="s">
        <v>852</v>
      </c>
    </row>
    <row r="589" spans="1:6" x14ac:dyDescent="0.3">
      <c r="A589" s="3" t="s">
        <v>545</v>
      </c>
      <c r="B589" s="3" t="s">
        <v>34</v>
      </c>
      <c r="C589" s="3" t="str">
        <f t="shared" si="9"/>
        <v>450013762410</v>
      </c>
      <c r="D589" s="4">
        <v>46280</v>
      </c>
      <c r="E589" s="3" t="s">
        <v>706</v>
      </c>
      <c r="F589" s="3" t="s">
        <v>914</v>
      </c>
    </row>
    <row r="590" spans="1:6" x14ac:dyDescent="0.3">
      <c r="A590" s="3" t="s">
        <v>1058</v>
      </c>
      <c r="B590" s="3" t="s">
        <v>34</v>
      </c>
      <c r="C590" s="3" t="str">
        <f t="shared" si="9"/>
        <v>450013762810</v>
      </c>
      <c r="D590" s="4">
        <v>46291</v>
      </c>
      <c r="E590" s="3" t="s">
        <v>706</v>
      </c>
      <c r="F590" s="3" t="s">
        <v>859</v>
      </c>
    </row>
    <row r="591" spans="1:6" x14ac:dyDescent="0.3">
      <c r="A591" s="3" t="s">
        <v>543</v>
      </c>
      <c r="B591" s="3" t="s">
        <v>34</v>
      </c>
      <c r="C591" s="3" t="str">
        <f t="shared" si="9"/>
        <v>450013764110</v>
      </c>
      <c r="D591" s="4">
        <v>46282</v>
      </c>
      <c r="E591" s="3" t="s">
        <v>736</v>
      </c>
      <c r="F591" s="3" t="s">
        <v>874</v>
      </c>
    </row>
    <row r="592" spans="1:6" x14ac:dyDescent="0.3">
      <c r="A592" s="3" t="s">
        <v>543</v>
      </c>
      <c r="B592" s="3" t="s">
        <v>21</v>
      </c>
      <c r="C592" s="3" t="str">
        <f t="shared" si="9"/>
        <v>450013764120</v>
      </c>
      <c r="D592" s="4">
        <v>46282</v>
      </c>
      <c r="E592" s="3" t="s">
        <v>736</v>
      </c>
      <c r="F592" s="3" t="s">
        <v>874</v>
      </c>
    </row>
    <row r="593" spans="1:6" x14ac:dyDescent="0.3">
      <c r="A593" s="3" t="s">
        <v>543</v>
      </c>
      <c r="B593" s="3" t="s">
        <v>22</v>
      </c>
      <c r="C593" s="3" t="str">
        <f t="shared" si="9"/>
        <v>450013764130</v>
      </c>
      <c r="D593" s="4">
        <v>46282</v>
      </c>
      <c r="E593" s="3" t="s">
        <v>736</v>
      </c>
      <c r="F593" s="3" t="s">
        <v>874</v>
      </c>
    </row>
    <row r="594" spans="1:6" x14ac:dyDescent="0.3">
      <c r="A594" s="3" t="s">
        <v>518</v>
      </c>
      <c r="B594" s="3" t="s">
        <v>34</v>
      </c>
      <c r="C594" s="3" t="str">
        <f t="shared" si="9"/>
        <v>450013770410</v>
      </c>
      <c r="D594" s="4">
        <v>46282</v>
      </c>
      <c r="E594" s="3" t="s">
        <v>706</v>
      </c>
      <c r="F594" s="3" t="s">
        <v>930</v>
      </c>
    </row>
    <row r="595" spans="1:6" x14ac:dyDescent="0.3">
      <c r="A595" s="3" t="s">
        <v>577</v>
      </c>
      <c r="B595" s="3" t="s">
        <v>34</v>
      </c>
      <c r="C595" s="3" t="str">
        <f t="shared" si="9"/>
        <v>450013772710</v>
      </c>
      <c r="D595" s="4">
        <v>46281</v>
      </c>
      <c r="E595" s="3" t="s">
        <v>717</v>
      </c>
      <c r="F595" s="3" t="s">
        <v>918</v>
      </c>
    </row>
    <row r="596" spans="1:6" x14ac:dyDescent="0.3">
      <c r="A596" s="3" t="s">
        <v>577</v>
      </c>
      <c r="B596" s="3" t="s">
        <v>21</v>
      </c>
      <c r="C596" s="3" t="str">
        <f t="shared" si="9"/>
        <v>450013772720</v>
      </c>
      <c r="D596" s="4">
        <v>46282</v>
      </c>
      <c r="E596" s="3" t="s">
        <v>717</v>
      </c>
      <c r="F596" s="3" t="s">
        <v>918</v>
      </c>
    </row>
    <row r="597" spans="1:6" x14ac:dyDescent="0.3">
      <c r="A597" s="3" t="s">
        <v>783</v>
      </c>
      <c r="B597" s="3" t="s">
        <v>34</v>
      </c>
      <c r="C597" s="3" t="str">
        <f t="shared" si="9"/>
        <v>450013795210</v>
      </c>
      <c r="D597" s="4">
        <v>46301</v>
      </c>
      <c r="E597" s="3" t="s">
        <v>706</v>
      </c>
      <c r="F597" s="3" t="s">
        <v>868</v>
      </c>
    </row>
    <row r="598" spans="1:6" x14ac:dyDescent="0.3">
      <c r="A598" s="3" t="s">
        <v>541</v>
      </c>
      <c r="B598" s="3" t="s">
        <v>34</v>
      </c>
      <c r="C598" s="3" t="str">
        <f t="shared" si="9"/>
        <v>450013799610</v>
      </c>
      <c r="D598" s="4">
        <v>46287</v>
      </c>
      <c r="E598" s="3" t="s">
        <v>717</v>
      </c>
      <c r="F598" s="3" t="s">
        <v>918</v>
      </c>
    </row>
    <row r="599" spans="1:6" x14ac:dyDescent="0.3">
      <c r="A599" s="3" t="s">
        <v>575</v>
      </c>
      <c r="B599" s="3" t="s">
        <v>34</v>
      </c>
      <c r="C599" s="3" t="str">
        <f t="shared" si="9"/>
        <v>450013804510</v>
      </c>
      <c r="D599" s="4">
        <v>46275</v>
      </c>
      <c r="E599" s="3" t="s">
        <v>714</v>
      </c>
      <c r="F599" s="3" t="s">
        <v>931</v>
      </c>
    </row>
    <row r="600" spans="1:6" x14ac:dyDescent="0.3">
      <c r="A600" s="3" t="s">
        <v>529</v>
      </c>
      <c r="B600" s="3" t="s">
        <v>34</v>
      </c>
      <c r="C600" s="3" t="str">
        <f t="shared" si="9"/>
        <v>450013806610</v>
      </c>
      <c r="D600" s="4">
        <v>46275</v>
      </c>
      <c r="E600" s="3" t="s">
        <v>708</v>
      </c>
      <c r="F600" s="3" t="s">
        <v>871</v>
      </c>
    </row>
    <row r="601" spans="1:6" x14ac:dyDescent="0.3">
      <c r="A601" s="3" t="s">
        <v>529</v>
      </c>
      <c r="B601" s="3" t="s">
        <v>21</v>
      </c>
      <c r="C601" s="3" t="str">
        <f t="shared" si="9"/>
        <v>450013806620</v>
      </c>
      <c r="D601" s="4">
        <v>46275</v>
      </c>
      <c r="E601" s="3" t="s">
        <v>708</v>
      </c>
      <c r="F601" s="3" t="s">
        <v>871</v>
      </c>
    </row>
    <row r="602" spans="1:6" x14ac:dyDescent="0.3">
      <c r="A602" s="3" t="s">
        <v>990</v>
      </c>
      <c r="B602" s="3" t="s">
        <v>34</v>
      </c>
      <c r="C602" s="3" t="str">
        <f t="shared" si="9"/>
        <v>450013811410</v>
      </c>
      <c r="D602" s="4">
        <v>46293</v>
      </c>
      <c r="E602" s="3" t="s">
        <v>706</v>
      </c>
      <c r="F602" s="3" t="s">
        <v>871</v>
      </c>
    </row>
    <row r="603" spans="1:6" x14ac:dyDescent="0.3">
      <c r="A603" s="3" t="s">
        <v>990</v>
      </c>
      <c r="B603" s="3" t="s">
        <v>21</v>
      </c>
      <c r="C603" s="3" t="str">
        <f t="shared" si="9"/>
        <v>450013811420</v>
      </c>
      <c r="D603" s="4">
        <v>46293</v>
      </c>
      <c r="E603" s="3" t="s">
        <v>706</v>
      </c>
      <c r="F603" s="3" t="s">
        <v>871</v>
      </c>
    </row>
    <row r="604" spans="1:6" x14ac:dyDescent="0.3">
      <c r="A604" s="3" t="s">
        <v>990</v>
      </c>
      <c r="B604" s="3" t="s">
        <v>22</v>
      </c>
      <c r="C604" s="3" t="str">
        <f t="shared" si="9"/>
        <v>450013811430</v>
      </c>
      <c r="D604" s="4">
        <v>46293</v>
      </c>
      <c r="E604" s="3" t="s">
        <v>706</v>
      </c>
      <c r="F604" s="3" t="s">
        <v>871</v>
      </c>
    </row>
    <row r="605" spans="1:6" x14ac:dyDescent="0.3">
      <c r="A605" s="3" t="s">
        <v>682</v>
      </c>
      <c r="B605" s="3" t="s">
        <v>34</v>
      </c>
      <c r="C605" s="3" t="str">
        <f t="shared" si="9"/>
        <v>450013811710</v>
      </c>
      <c r="D605" s="4">
        <v>46288</v>
      </c>
      <c r="E605" s="3" t="s">
        <v>713</v>
      </c>
      <c r="F605" s="3" t="s">
        <v>871</v>
      </c>
    </row>
    <row r="606" spans="1:6" x14ac:dyDescent="0.3">
      <c r="A606" s="3" t="s">
        <v>536</v>
      </c>
      <c r="B606" s="3" t="s">
        <v>34</v>
      </c>
      <c r="C606" s="3" t="str">
        <f t="shared" si="9"/>
        <v>450013812910</v>
      </c>
      <c r="D606" s="4">
        <v>46288</v>
      </c>
      <c r="E606" s="3" t="s">
        <v>717</v>
      </c>
      <c r="F606" s="3" t="s">
        <v>932</v>
      </c>
    </row>
    <row r="607" spans="1:6" x14ac:dyDescent="0.3">
      <c r="A607" s="3" t="s">
        <v>644</v>
      </c>
      <c r="B607" s="3" t="s">
        <v>34</v>
      </c>
      <c r="C607" s="3" t="str">
        <f t="shared" si="9"/>
        <v>450013813110</v>
      </c>
      <c r="D607" s="4">
        <v>46297</v>
      </c>
      <c r="E607" s="3" t="s">
        <v>717</v>
      </c>
      <c r="F607" s="3" t="s">
        <v>918</v>
      </c>
    </row>
    <row r="608" spans="1:6" x14ac:dyDescent="0.3">
      <c r="A608" s="3" t="s">
        <v>538</v>
      </c>
      <c r="B608" s="3" t="s">
        <v>21</v>
      </c>
      <c r="C608" s="3" t="str">
        <f t="shared" si="9"/>
        <v>450013814620</v>
      </c>
      <c r="D608" s="4">
        <v>46281</v>
      </c>
      <c r="E608" s="3" t="s">
        <v>712</v>
      </c>
      <c r="F608" s="3" t="s">
        <v>887</v>
      </c>
    </row>
    <row r="609" spans="1:6" x14ac:dyDescent="0.3">
      <c r="A609" s="3" t="s">
        <v>1022</v>
      </c>
      <c r="B609" s="3" t="s">
        <v>34</v>
      </c>
      <c r="C609" s="3" t="str">
        <f t="shared" si="9"/>
        <v>450013820610</v>
      </c>
      <c r="D609" s="4">
        <v>46297</v>
      </c>
      <c r="E609" s="3" t="s">
        <v>706</v>
      </c>
      <c r="F609" s="3" t="s">
        <v>859</v>
      </c>
    </row>
    <row r="610" spans="1:6" x14ac:dyDescent="0.3">
      <c r="A610" s="3" t="s">
        <v>1022</v>
      </c>
      <c r="B610" s="3" t="s">
        <v>21</v>
      </c>
      <c r="C610" s="3" t="str">
        <f t="shared" si="9"/>
        <v>450013820620</v>
      </c>
      <c r="D610" s="4">
        <v>46297</v>
      </c>
      <c r="E610" s="3" t="s">
        <v>706</v>
      </c>
      <c r="F610" s="3" t="s">
        <v>859</v>
      </c>
    </row>
    <row r="611" spans="1:6" x14ac:dyDescent="0.3">
      <c r="A611" s="3" t="s">
        <v>1022</v>
      </c>
      <c r="B611" s="3" t="s">
        <v>22</v>
      </c>
      <c r="C611" s="3" t="str">
        <f t="shared" si="9"/>
        <v>450013820630</v>
      </c>
      <c r="D611" s="4">
        <v>46297</v>
      </c>
      <c r="E611" s="3" t="s">
        <v>706</v>
      </c>
      <c r="F611" s="3" t="s">
        <v>859</v>
      </c>
    </row>
    <row r="612" spans="1:6" x14ac:dyDescent="0.3">
      <c r="A612" s="3" t="s">
        <v>1022</v>
      </c>
      <c r="B612" s="3" t="s">
        <v>23</v>
      </c>
      <c r="C612" s="3" t="str">
        <f t="shared" si="9"/>
        <v>450013820650</v>
      </c>
      <c r="D612" s="4">
        <v>46297</v>
      </c>
      <c r="E612" s="3" t="s">
        <v>706</v>
      </c>
      <c r="F612" s="3" t="s">
        <v>859</v>
      </c>
    </row>
    <row r="613" spans="1:6" x14ac:dyDescent="0.3">
      <c r="A613" s="3" t="s">
        <v>1022</v>
      </c>
      <c r="B613" s="3" t="s">
        <v>24</v>
      </c>
      <c r="C613" s="3" t="str">
        <f t="shared" si="9"/>
        <v>450013820660</v>
      </c>
      <c r="D613" s="4">
        <v>46297</v>
      </c>
      <c r="E613" s="3" t="s">
        <v>706</v>
      </c>
      <c r="F613" s="3" t="s">
        <v>859</v>
      </c>
    </row>
    <row r="614" spans="1:6" x14ac:dyDescent="0.3">
      <c r="A614" s="3" t="s">
        <v>1022</v>
      </c>
      <c r="B614" s="3" t="s">
        <v>400</v>
      </c>
      <c r="C614" s="3" t="str">
        <f t="shared" si="9"/>
        <v>4500138206120</v>
      </c>
      <c r="D614" s="4">
        <v>46304</v>
      </c>
      <c r="E614" s="3" t="s">
        <v>706</v>
      </c>
      <c r="F614" s="3" t="s">
        <v>859</v>
      </c>
    </row>
    <row r="615" spans="1:6" x14ac:dyDescent="0.3">
      <c r="A615" s="3" t="s">
        <v>1022</v>
      </c>
      <c r="B615" s="3" t="s">
        <v>221</v>
      </c>
      <c r="C615" s="3" t="str">
        <f t="shared" si="9"/>
        <v>4500138206130</v>
      </c>
      <c r="D615" s="4">
        <v>46282</v>
      </c>
      <c r="E615" s="3" t="s">
        <v>706</v>
      </c>
      <c r="F615" s="3" t="s">
        <v>859</v>
      </c>
    </row>
    <row r="616" spans="1:6" x14ac:dyDescent="0.3">
      <c r="A616" s="3" t="s">
        <v>1022</v>
      </c>
      <c r="B616" s="3" t="s">
        <v>401</v>
      </c>
      <c r="C616" s="3" t="str">
        <f t="shared" si="9"/>
        <v>4500138206140</v>
      </c>
      <c r="D616" s="4">
        <v>46282</v>
      </c>
      <c r="E616" s="3" t="s">
        <v>706</v>
      </c>
      <c r="F616" s="3" t="s">
        <v>859</v>
      </c>
    </row>
    <row r="617" spans="1:6" x14ac:dyDescent="0.3">
      <c r="A617" s="3" t="s">
        <v>1022</v>
      </c>
      <c r="B617" s="3" t="s">
        <v>402</v>
      </c>
      <c r="C617" s="3" t="str">
        <f t="shared" si="9"/>
        <v>4500138206150</v>
      </c>
      <c r="D617" s="4">
        <v>46282</v>
      </c>
      <c r="E617" s="3" t="s">
        <v>706</v>
      </c>
      <c r="F617" s="3" t="s">
        <v>859</v>
      </c>
    </row>
    <row r="618" spans="1:6" x14ac:dyDescent="0.3">
      <c r="A618" s="3" t="s">
        <v>1022</v>
      </c>
      <c r="B618" s="3" t="s">
        <v>403</v>
      </c>
      <c r="C618" s="3" t="str">
        <f t="shared" si="9"/>
        <v>4500138206160</v>
      </c>
      <c r="D618" s="4">
        <v>46282</v>
      </c>
      <c r="E618" s="3" t="s">
        <v>706</v>
      </c>
      <c r="F618" s="3" t="s">
        <v>859</v>
      </c>
    </row>
    <row r="619" spans="1:6" x14ac:dyDescent="0.3">
      <c r="A619" s="3" t="s">
        <v>1022</v>
      </c>
      <c r="B619" s="3" t="s">
        <v>346</v>
      </c>
      <c r="C619" s="3" t="str">
        <f t="shared" si="9"/>
        <v>4500138206170</v>
      </c>
      <c r="D619" s="4">
        <v>46282</v>
      </c>
      <c r="E619" s="3" t="s">
        <v>706</v>
      </c>
      <c r="F619" s="3" t="s">
        <v>859</v>
      </c>
    </row>
    <row r="620" spans="1:6" x14ac:dyDescent="0.3">
      <c r="A620" s="3" t="s">
        <v>1022</v>
      </c>
      <c r="B620" s="3" t="s">
        <v>347</v>
      </c>
      <c r="C620" s="3" t="str">
        <f t="shared" si="9"/>
        <v>4500138206180</v>
      </c>
      <c r="D620" s="4">
        <v>46297</v>
      </c>
      <c r="E620" s="3" t="s">
        <v>706</v>
      </c>
      <c r="F620" s="3" t="s">
        <v>859</v>
      </c>
    </row>
    <row r="621" spans="1:6" x14ac:dyDescent="0.3">
      <c r="A621" s="3" t="s">
        <v>828</v>
      </c>
      <c r="B621" s="3" t="s">
        <v>34</v>
      </c>
      <c r="C621" s="3" t="str">
        <f t="shared" si="9"/>
        <v>450013826610</v>
      </c>
      <c r="D621" s="4">
        <v>46295</v>
      </c>
      <c r="E621" s="3" t="s">
        <v>706</v>
      </c>
      <c r="F621" s="3" t="s">
        <v>871</v>
      </c>
    </row>
    <row r="622" spans="1:6" x14ac:dyDescent="0.3">
      <c r="A622" s="3" t="s">
        <v>828</v>
      </c>
      <c r="B622" s="3" t="s">
        <v>21</v>
      </c>
      <c r="C622" s="3" t="str">
        <f t="shared" si="9"/>
        <v>450013826620</v>
      </c>
      <c r="D622" s="4">
        <v>46295</v>
      </c>
      <c r="E622" s="3" t="s">
        <v>706</v>
      </c>
      <c r="F622" s="3" t="s">
        <v>871</v>
      </c>
    </row>
    <row r="623" spans="1:6" x14ac:dyDescent="0.3">
      <c r="A623" s="3" t="s">
        <v>828</v>
      </c>
      <c r="B623" s="3" t="s">
        <v>22</v>
      </c>
      <c r="C623" s="3" t="str">
        <f t="shared" si="9"/>
        <v>450013826630</v>
      </c>
      <c r="D623" s="4">
        <v>46295</v>
      </c>
      <c r="E623" s="3" t="s">
        <v>706</v>
      </c>
      <c r="F623" s="3" t="s">
        <v>871</v>
      </c>
    </row>
    <row r="624" spans="1:6" x14ac:dyDescent="0.3">
      <c r="A624" s="3" t="s">
        <v>828</v>
      </c>
      <c r="B624" s="3" t="s">
        <v>26</v>
      </c>
      <c r="C624" s="3" t="str">
        <f t="shared" si="9"/>
        <v>450013826640</v>
      </c>
      <c r="D624" s="4">
        <v>46295</v>
      </c>
      <c r="E624" s="3" t="s">
        <v>706</v>
      </c>
      <c r="F624" s="3" t="s">
        <v>871</v>
      </c>
    </row>
    <row r="625" spans="1:6" x14ac:dyDescent="0.3">
      <c r="A625" s="3" t="s">
        <v>828</v>
      </c>
      <c r="B625" s="3" t="s">
        <v>23</v>
      </c>
      <c r="C625" s="3" t="str">
        <f t="shared" si="9"/>
        <v>450013826650</v>
      </c>
      <c r="D625" s="4">
        <v>46295</v>
      </c>
      <c r="E625" s="3" t="s">
        <v>706</v>
      </c>
      <c r="F625" s="3" t="s">
        <v>871</v>
      </c>
    </row>
    <row r="626" spans="1:6" x14ac:dyDescent="0.3">
      <c r="A626" s="3" t="s">
        <v>828</v>
      </c>
      <c r="B626" s="3" t="s">
        <v>24</v>
      </c>
      <c r="C626" s="3" t="str">
        <f t="shared" si="9"/>
        <v>450013826660</v>
      </c>
      <c r="D626" s="4">
        <v>46295</v>
      </c>
      <c r="E626" s="3" t="s">
        <v>706</v>
      </c>
      <c r="F626" s="3" t="s">
        <v>871</v>
      </c>
    </row>
    <row r="627" spans="1:6" x14ac:dyDescent="0.3">
      <c r="A627" s="3" t="s">
        <v>828</v>
      </c>
      <c r="B627" s="3" t="s">
        <v>25</v>
      </c>
      <c r="C627" s="3" t="str">
        <f t="shared" si="9"/>
        <v>450013826670</v>
      </c>
      <c r="D627" s="4">
        <v>46295</v>
      </c>
      <c r="E627" s="3" t="s">
        <v>706</v>
      </c>
      <c r="F627" s="3" t="s">
        <v>871</v>
      </c>
    </row>
    <row r="628" spans="1:6" x14ac:dyDescent="0.3">
      <c r="A628" s="3" t="s">
        <v>828</v>
      </c>
      <c r="B628" s="3" t="s">
        <v>343</v>
      </c>
      <c r="C628" s="3" t="str">
        <f t="shared" si="9"/>
        <v>450013826680</v>
      </c>
      <c r="D628" s="4">
        <v>46295</v>
      </c>
      <c r="E628" s="3" t="s">
        <v>706</v>
      </c>
      <c r="F628" s="3" t="s">
        <v>871</v>
      </c>
    </row>
    <row r="629" spans="1:6" x14ac:dyDescent="0.3">
      <c r="A629" s="3" t="s">
        <v>828</v>
      </c>
      <c r="B629" s="3" t="s">
        <v>344</v>
      </c>
      <c r="C629" s="3" t="str">
        <f t="shared" si="9"/>
        <v>450013826690</v>
      </c>
      <c r="D629" s="4">
        <v>46295</v>
      </c>
      <c r="E629" s="3" t="s">
        <v>706</v>
      </c>
      <c r="F629" s="3" t="s">
        <v>871</v>
      </c>
    </row>
    <row r="630" spans="1:6" x14ac:dyDescent="0.3">
      <c r="A630" s="3" t="s">
        <v>828</v>
      </c>
      <c r="B630" s="3" t="s">
        <v>345</v>
      </c>
      <c r="C630" s="3" t="str">
        <f t="shared" si="9"/>
        <v>4500138266100</v>
      </c>
      <c r="D630" s="4">
        <v>46295</v>
      </c>
      <c r="E630" s="3" t="s">
        <v>706</v>
      </c>
      <c r="F630" s="3" t="s">
        <v>871</v>
      </c>
    </row>
    <row r="631" spans="1:6" x14ac:dyDescent="0.3">
      <c r="A631" s="3" t="s">
        <v>828</v>
      </c>
      <c r="B631" s="3" t="s">
        <v>193</v>
      </c>
      <c r="C631" s="3" t="str">
        <f t="shared" si="9"/>
        <v>4500138266110</v>
      </c>
      <c r="D631" s="4">
        <v>46295</v>
      </c>
      <c r="E631" s="3" t="s">
        <v>706</v>
      </c>
      <c r="F631" s="3" t="s">
        <v>871</v>
      </c>
    </row>
    <row r="632" spans="1:6" x14ac:dyDescent="0.3">
      <c r="A632" s="3" t="s">
        <v>828</v>
      </c>
      <c r="B632" s="3" t="s">
        <v>400</v>
      </c>
      <c r="C632" s="3" t="str">
        <f t="shared" si="9"/>
        <v>4500138266120</v>
      </c>
      <c r="D632" s="4">
        <v>46295</v>
      </c>
      <c r="E632" s="3" t="s">
        <v>706</v>
      </c>
      <c r="F632" s="3" t="s">
        <v>871</v>
      </c>
    </row>
    <row r="633" spans="1:6" x14ac:dyDescent="0.3">
      <c r="A633" s="3" t="s">
        <v>828</v>
      </c>
      <c r="B633" s="3" t="s">
        <v>221</v>
      </c>
      <c r="C633" s="3" t="str">
        <f t="shared" si="9"/>
        <v>4500138266130</v>
      </c>
      <c r="D633" s="4">
        <v>46295</v>
      </c>
      <c r="E633" s="3" t="s">
        <v>706</v>
      </c>
      <c r="F633" s="3" t="s">
        <v>871</v>
      </c>
    </row>
    <row r="634" spans="1:6" x14ac:dyDescent="0.3">
      <c r="A634" s="3" t="s">
        <v>828</v>
      </c>
      <c r="B634" s="3" t="s">
        <v>401</v>
      </c>
      <c r="C634" s="3" t="str">
        <f t="shared" si="9"/>
        <v>4500138266140</v>
      </c>
      <c r="D634" s="4">
        <v>46295</v>
      </c>
      <c r="E634" s="3" t="s">
        <v>706</v>
      </c>
      <c r="F634" s="3" t="s">
        <v>871</v>
      </c>
    </row>
    <row r="635" spans="1:6" x14ac:dyDescent="0.3">
      <c r="A635" s="3" t="s">
        <v>828</v>
      </c>
      <c r="B635" s="3" t="s">
        <v>402</v>
      </c>
      <c r="C635" s="3" t="str">
        <f t="shared" si="9"/>
        <v>4500138266150</v>
      </c>
      <c r="D635" s="4">
        <v>46295</v>
      </c>
      <c r="E635" s="3" t="s">
        <v>706</v>
      </c>
      <c r="F635" s="3" t="s">
        <v>871</v>
      </c>
    </row>
    <row r="636" spans="1:6" x14ac:dyDescent="0.3">
      <c r="A636" s="3" t="s">
        <v>828</v>
      </c>
      <c r="B636" s="3" t="s">
        <v>403</v>
      </c>
      <c r="C636" s="3" t="str">
        <f t="shared" si="9"/>
        <v>4500138266160</v>
      </c>
      <c r="D636" s="4">
        <v>46295</v>
      </c>
      <c r="E636" s="3" t="s">
        <v>706</v>
      </c>
      <c r="F636" s="3" t="s">
        <v>871</v>
      </c>
    </row>
    <row r="637" spans="1:6" x14ac:dyDescent="0.3">
      <c r="A637" s="3" t="s">
        <v>828</v>
      </c>
      <c r="B637" s="3" t="s">
        <v>346</v>
      </c>
      <c r="C637" s="3" t="str">
        <f t="shared" si="9"/>
        <v>4500138266170</v>
      </c>
      <c r="D637" s="4">
        <v>46295</v>
      </c>
      <c r="E637" s="3" t="s">
        <v>706</v>
      </c>
      <c r="F637" s="3" t="s">
        <v>871</v>
      </c>
    </row>
    <row r="638" spans="1:6" x14ac:dyDescent="0.3">
      <c r="A638" s="3" t="s">
        <v>828</v>
      </c>
      <c r="B638" s="3" t="s">
        <v>347</v>
      </c>
      <c r="C638" s="3" t="str">
        <f t="shared" si="9"/>
        <v>4500138266180</v>
      </c>
      <c r="D638" s="4">
        <v>46295</v>
      </c>
      <c r="E638" s="3" t="s">
        <v>706</v>
      </c>
      <c r="F638" s="3" t="s">
        <v>871</v>
      </c>
    </row>
    <row r="639" spans="1:6" x14ac:dyDescent="0.3">
      <c r="A639" s="3" t="s">
        <v>1026</v>
      </c>
      <c r="B639" s="3" t="s">
        <v>34</v>
      </c>
      <c r="C639" s="3" t="str">
        <f t="shared" si="9"/>
        <v>450013832410</v>
      </c>
      <c r="D639" s="4">
        <v>46283</v>
      </c>
      <c r="E639" s="3" t="s">
        <v>706</v>
      </c>
      <c r="F639" s="3" t="s">
        <v>859</v>
      </c>
    </row>
    <row r="640" spans="1:6" x14ac:dyDescent="0.3">
      <c r="A640" s="3" t="s">
        <v>1026</v>
      </c>
      <c r="B640" s="3" t="s">
        <v>21</v>
      </c>
      <c r="C640" s="3" t="str">
        <f t="shared" si="9"/>
        <v>450013832420</v>
      </c>
      <c r="D640" s="4">
        <v>46297</v>
      </c>
      <c r="E640" s="3" t="s">
        <v>706</v>
      </c>
      <c r="F640" s="3" t="s">
        <v>859</v>
      </c>
    </row>
    <row r="641" spans="1:6" x14ac:dyDescent="0.3">
      <c r="A641" s="3" t="s">
        <v>763</v>
      </c>
      <c r="B641" s="3" t="s">
        <v>34</v>
      </c>
      <c r="C641" s="3" t="str">
        <f t="shared" si="9"/>
        <v>450013834810</v>
      </c>
      <c r="D641" s="4">
        <v>46294</v>
      </c>
      <c r="E641" s="3" t="s">
        <v>706</v>
      </c>
      <c r="F641" s="3" t="s">
        <v>868</v>
      </c>
    </row>
    <row r="642" spans="1:6" x14ac:dyDescent="0.3">
      <c r="A642" s="3" t="s">
        <v>763</v>
      </c>
      <c r="B642" s="3" t="s">
        <v>21</v>
      </c>
      <c r="C642" s="3" t="str">
        <f t="shared" si="9"/>
        <v>450013834820</v>
      </c>
      <c r="D642" s="4">
        <v>46294</v>
      </c>
      <c r="E642" s="3" t="s">
        <v>706</v>
      </c>
      <c r="F642" s="3" t="s">
        <v>868</v>
      </c>
    </row>
    <row r="643" spans="1:6" x14ac:dyDescent="0.3">
      <c r="A643" s="3" t="s">
        <v>763</v>
      </c>
      <c r="B643" s="3" t="s">
        <v>26</v>
      </c>
      <c r="C643" s="3" t="str">
        <f t="shared" ref="C643:C706" si="10">_xlfn.CONCAT(A643:B643)</f>
        <v>450013834840</v>
      </c>
      <c r="D643" s="4">
        <v>46294</v>
      </c>
      <c r="E643" s="3" t="s">
        <v>706</v>
      </c>
      <c r="F643" s="3" t="s">
        <v>868</v>
      </c>
    </row>
    <row r="644" spans="1:6" x14ac:dyDescent="0.3">
      <c r="A644" s="3" t="s">
        <v>20</v>
      </c>
      <c r="B644" s="3" t="s">
        <v>34</v>
      </c>
      <c r="C644" s="3" t="str">
        <f t="shared" si="10"/>
        <v>450013836810</v>
      </c>
      <c r="D644" s="4">
        <v>46295</v>
      </c>
      <c r="E644" s="3" t="s">
        <v>706</v>
      </c>
      <c r="F644" s="3" t="s">
        <v>871</v>
      </c>
    </row>
    <row r="645" spans="1:6" x14ac:dyDescent="0.3">
      <c r="A645" s="3" t="s">
        <v>20</v>
      </c>
      <c r="B645" s="3" t="s">
        <v>21</v>
      </c>
      <c r="C645" s="3" t="str">
        <f t="shared" si="10"/>
        <v>450013836820</v>
      </c>
      <c r="D645" s="4">
        <v>46295</v>
      </c>
      <c r="E645" s="3" t="s">
        <v>706</v>
      </c>
      <c r="F645" s="3" t="s">
        <v>871</v>
      </c>
    </row>
    <row r="646" spans="1:6" x14ac:dyDescent="0.3">
      <c r="A646" s="3" t="s">
        <v>20</v>
      </c>
      <c r="B646" s="3" t="s">
        <v>22</v>
      </c>
      <c r="C646" s="3" t="str">
        <f t="shared" si="10"/>
        <v>450013836830</v>
      </c>
      <c r="D646" s="4">
        <v>46295</v>
      </c>
      <c r="E646" s="3" t="s">
        <v>706</v>
      </c>
      <c r="F646" s="3" t="s">
        <v>871</v>
      </c>
    </row>
    <row r="647" spans="1:6" x14ac:dyDescent="0.3">
      <c r="A647" s="3" t="s">
        <v>20</v>
      </c>
      <c r="B647" s="3" t="s">
        <v>26</v>
      </c>
      <c r="C647" s="3" t="str">
        <f t="shared" si="10"/>
        <v>450013836840</v>
      </c>
      <c r="D647" s="4">
        <v>46295</v>
      </c>
      <c r="E647" s="3" t="s">
        <v>706</v>
      </c>
      <c r="F647" s="3" t="s">
        <v>871</v>
      </c>
    </row>
    <row r="648" spans="1:6" x14ac:dyDescent="0.3">
      <c r="A648" s="3" t="s">
        <v>20</v>
      </c>
      <c r="B648" s="3" t="s">
        <v>23</v>
      </c>
      <c r="C648" s="3" t="str">
        <f t="shared" si="10"/>
        <v>450013836850</v>
      </c>
      <c r="D648" s="4">
        <v>46295</v>
      </c>
      <c r="E648" s="3" t="s">
        <v>706</v>
      </c>
      <c r="F648" s="3" t="s">
        <v>871</v>
      </c>
    </row>
    <row r="649" spans="1:6" x14ac:dyDescent="0.3">
      <c r="A649" s="3" t="s">
        <v>20</v>
      </c>
      <c r="B649" s="3" t="s">
        <v>24</v>
      </c>
      <c r="C649" s="3" t="str">
        <f t="shared" si="10"/>
        <v>450013836860</v>
      </c>
      <c r="D649" s="4">
        <v>46295</v>
      </c>
      <c r="E649" s="3" t="s">
        <v>706</v>
      </c>
      <c r="F649" s="3" t="s">
        <v>871</v>
      </c>
    </row>
    <row r="650" spans="1:6" x14ac:dyDescent="0.3">
      <c r="A650" s="3" t="s">
        <v>20</v>
      </c>
      <c r="B650" s="3" t="s">
        <v>25</v>
      </c>
      <c r="C650" s="3" t="str">
        <f t="shared" si="10"/>
        <v>450013836870</v>
      </c>
      <c r="D650" s="4">
        <v>46295</v>
      </c>
      <c r="E650" s="3" t="s">
        <v>706</v>
      </c>
      <c r="F650" s="3" t="s">
        <v>871</v>
      </c>
    </row>
    <row r="651" spans="1:6" x14ac:dyDescent="0.3">
      <c r="A651" s="3" t="s">
        <v>997</v>
      </c>
      <c r="B651" s="3" t="s">
        <v>34</v>
      </c>
      <c r="C651" s="3" t="str">
        <f t="shared" si="10"/>
        <v>450013845210</v>
      </c>
      <c r="D651" s="4">
        <v>46297</v>
      </c>
      <c r="E651" s="3" t="s">
        <v>706</v>
      </c>
      <c r="F651" s="3" t="s">
        <v>859</v>
      </c>
    </row>
    <row r="652" spans="1:6" x14ac:dyDescent="0.3">
      <c r="A652" s="3" t="s">
        <v>997</v>
      </c>
      <c r="B652" s="3" t="s">
        <v>21</v>
      </c>
      <c r="C652" s="3" t="str">
        <f t="shared" si="10"/>
        <v>450013845220</v>
      </c>
      <c r="D652" s="4">
        <v>46297</v>
      </c>
      <c r="E652" s="3" t="s">
        <v>706</v>
      </c>
      <c r="F652" s="3" t="s">
        <v>859</v>
      </c>
    </row>
    <row r="653" spans="1:6" x14ac:dyDescent="0.3">
      <c r="A653" s="3" t="s">
        <v>997</v>
      </c>
      <c r="B653" s="3" t="s">
        <v>22</v>
      </c>
      <c r="C653" s="3" t="str">
        <f t="shared" si="10"/>
        <v>450013845230</v>
      </c>
      <c r="D653" s="4">
        <v>46297</v>
      </c>
      <c r="E653" s="3" t="s">
        <v>706</v>
      </c>
      <c r="F653" s="3" t="s">
        <v>859</v>
      </c>
    </row>
    <row r="654" spans="1:6" x14ac:dyDescent="0.3">
      <c r="A654" s="3" t="s">
        <v>997</v>
      </c>
      <c r="B654" s="3" t="s">
        <v>26</v>
      </c>
      <c r="C654" s="3" t="str">
        <f t="shared" si="10"/>
        <v>450013845240</v>
      </c>
      <c r="D654" s="4">
        <v>46297</v>
      </c>
      <c r="E654" s="3" t="s">
        <v>706</v>
      </c>
      <c r="F654" s="3" t="s">
        <v>859</v>
      </c>
    </row>
    <row r="655" spans="1:6" x14ac:dyDescent="0.3">
      <c r="A655" s="3" t="s">
        <v>997</v>
      </c>
      <c r="B655" s="3" t="s">
        <v>23</v>
      </c>
      <c r="C655" s="3" t="str">
        <f t="shared" si="10"/>
        <v>450013845250</v>
      </c>
      <c r="D655" s="4">
        <v>46297</v>
      </c>
      <c r="E655" s="3" t="s">
        <v>706</v>
      </c>
      <c r="F655" s="3" t="s">
        <v>859</v>
      </c>
    </row>
    <row r="656" spans="1:6" x14ac:dyDescent="0.3">
      <c r="A656" s="3" t="s">
        <v>997</v>
      </c>
      <c r="B656" s="3" t="s">
        <v>25</v>
      </c>
      <c r="C656" s="3" t="str">
        <f t="shared" si="10"/>
        <v>450013845270</v>
      </c>
      <c r="D656" s="4">
        <v>46297</v>
      </c>
      <c r="E656" s="3" t="s">
        <v>706</v>
      </c>
      <c r="F656" s="3" t="s">
        <v>859</v>
      </c>
    </row>
    <row r="657" spans="1:6" x14ac:dyDescent="0.3">
      <c r="A657" s="3" t="s">
        <v>997</v>
      </c>
      <c r="B657" s="3" t="s">
        <v>343</v>
      </c>
      <c r="C657" s="3" t="str">
        <f t="shared" si="10"/>
        <v>450013845280</v>
      </c>
      <c r="D657" s="4">
        <v>46297</v>
      </c>
      <c r="E657" s="3" t="s">
        <v>706</v>
      </c>
      <c r="F657" s="3" t="s">
        <v>859</v>
      </c>
    </row>
    <row r="658" spans="1:6" x14ac:dyDescent="0.3">
      <c r="A658" s="3" t="s">
        <v>997</v>
      </c>
      <c r="B658" s="3" t="s">
        <v>344</v>
      </c>
      <c r="C658" s="3" t="str">
        <f t="shared" si="10"/>
        <v>450013845290</v>
      </c>
      <c r="D658" s="4">
        <v>46297</v>
      </c>
      <c r="E658" s="3" t="s">
        <v>706</v>
      </c>
      <c r="F658" s="3" t="s">
        <v>859</v>
      </c>
    </row>
    <row r="659" spans="1:6" x14ac:dyDescent="0.3">
      <c r="A659" s="3" t="s">
        <v>997</v>
      </c>
      <c r="B659" s="3" t="s">
        <v>345</v>
      </c>
      <c r="C659" s="3" t="str">
        <f t="shared" si="10"/>
        <v>4500138452100</v>
      </c>
      <c r="D659" s="4">
        <v>46297</v>
      </c>
      <c r="E659" s="3" t="s">
        <v>706</v>
      </c>
      <c r="F659" s="3" t="s">
        <v>859</v>
      </c>
    </row>
    <row r="660" spans="1:6" x14ac:dyDescent="0.3">
      <c r="A660" s="3" t="s">
        <v>571</v>
      </c>
      <c r="B660" s="3" t="s">
        <v>34</v>
      </c>
      <c r="C660" s="3" t="str">
        <f t="shared" si="10"/>
        <v>450013852110</v>
      </c>
      <c r="D660" s="4">
        <v>46290</v>
      </c>
      <c r="E660" s="3" t="s">
        <v>708</v>
      </c>
      <c r="F660" s="3" t="s">
        <v>887</v>
      </c>
    </row>
    <row r="661" spans="1:6" x14ac:dyDescent="0.3">
      <c r="A661" s="3" t="s">
        <v>1002</v>
      </c>
      <c r="B661" s="3" t="s">
        <v>34</v>
      </c>
      <c r="C661" s="3" t="str">
        <f t="shared" si="10"/>
        <v>450013856910</v>
      </c>
      <c r="D661" s="4">
        <v>46304</v>
      </c>
      <c r="E661" s="3" t="s">
        <v>706</v>
      </c>
      <c r="F661" s="3" t="s">
        <v>859</v>
      </c>
    </row>
    <row r="662" spans="1:6" x14ac:dyDescent="0.3">
      <c r="A662" s="3" t="s">
        <v>1002</v>
      </c>
      <c r="B662" s="3" t="s">
        <v>21</v>
      </c>
      <c r="C662" s="3" t="str">
        <f t="shared" si="10"/>
        <v>450013856920</v>
      </c>
      <c r="D662" s="4">
        <v>46296</v>
      </c>
      <c r="E662" s="3" t="s">
        <v>706</v>
      </c>
      <c r="F662" s="3" t="s">
        <v>859</v>
      </c>
    </row>
    <row r="663" spans="1:6" x14ac:dyDescent="0.3">
      <c r="A663" s="3" t="s">
        <v>608</v>
      </c>
      <c r="B663" s="3" t="s">
        <v>34</v>
      </c>
      <c r="C663" s="3" t="str">
        <f t="shared" si="10"/>
        <v>450013866710</v>
      </c>
      <c r="D663" s="4">
        <v>46297</v>
      </c>
      <c r="E663" s="3" t="s">
        <v>706</v>
      </c>
      <c r="F663" s="3" t="s">
        <v>933</v>
      </c>
    </row>
    <row r="664" spans="1:6" x14ac:dyDescent="0.3">
      <c r="A664" s="3" t="s">
        <v>562</v>
      </c>
      <c r="B664" s="3" t="s">
        <v>34</v>
      </c>
      <c r="C664" s="3" t="str">
        <f t="shared" si="10"/>
        <v>450013868010</v>
      </c>
      <c r="D664" s="4">
        <v>46283</v>
      </c>
      <c r="E664" s="3" t="s">
        <v>708</v>
      </c>
      <c r="F664" s="3" t="s">
        <v>934</v>
      </c>
    </row>
    <row r="665" spans="1:6" x14ac:dyDescent="0.3">
      <c r="A665" s="3" t="s">
        <v>776</v>
      </c>
      <c r="B665" s="3" t="s">
        <v>34</v>
      </c>
      <c r="C665" s="3" t="str">
        <f t="shared" si="10"/>
        <v>450013868110</v>
      </c>
      <c r="D665" s="4">
        <v>46296</v>
      </c>
      <c r="E665" s="3" t="s">
        <v>708</v>
      </c>
      <c r="F665" s="3" t="s">
        <v>862</v>
      </c>
    </row>
    <row r="666" spans="1:6" x14ac:dyDescent="0.3">
      <c r="A666" s="3" t="s">
        <v>580</v>
      </c>
      <c r="B666" s="3" t="s">
        <v>34</v>
      </c>
      <c r="C666" s="3" t="str">
        <f t="shared" si="10"/>
        <v>450013870910</v>
      </c>
      <c r="D666" s="4">
        <v>46287</v>
      </c>
      <c r="E666" s="3" t="s">
        <v>737</v>
      </c>
      <c r="F666" s="3" t="s">
        <v>871</v>
      </c>
    </row>
    <row r="667" spans="1:6" x14ac:dyDescent="0.3">
      <c r="A667" s="3" t="s">
        <v>580</v>
      </c>
      <c r="B667" s="3" t="s">
        <v>21</v>
      </c>
      <c r="C667" s="3" t="str">
        <f t="shared" si="10"/>
        <v>450013870920</v>
      </c>
      <c r="D667" s="4">
        <v>46287</v>
      </c>
      <c r="E667" s="3" t="s">
        <v>737</v>
      </c>
      <c r="F667" s="3" t="s">
        <v>871</v>
      </c>
    </row>
    <row r="668" spans="1:6" x14ac:dyDescent="0.3">
      <c r="A668" s="3" t="s">
        <v>580</v>
      </c>
      <c r="B668" s="3" t="s">
        <v>22</v>
      </c>
      <c r="C668" s="3" t="str">
        <f t="shared" si="10"/>
        <v>450013870930</v>
      </c>
      <c r="D668" s="4">
        <v>46287</v>
      </c>
      <c r="E668" s="3" t="s">
        <v>737</v>
      </c>
      <c r="F668" s="3" t="s">
        <v>871</v>
      </c>
    </row>
    <row r="669" spans="1:6" x14ac:dyDescent="0.3">
      <c r="A669" s="3" t="s">
        <v>580</v>
      </c>
      <c r="B669" s="3" t="s">
        <v>26</v>
      </c>
      <c r="C669" s="3" t="str">
        <f t="shared" si="10"/>
        <v>450013870940</v>
      </c>
      <c r="D669" s="4">
        <v>46287</v>
      </c>
      <c r="E669" s="3" t="s">
        <v>737</v>
      </c>
      <c r="F669" s="3" t="s">
        <v>871</v>
      </c>
    </row>
    <row r="670" spans="1:6" x14ac:dyDescent="0.3">
      <c r="A670" s="3" t="s">
        <v>580</v>
      </c>
      <c r="B670" s="3" t="s">
        <v>23</v>
      </c>
      <c r="C670" s="3" t="str">
        <f t="shared" si="10"/>
        <v>450013870950</v>
      </c>
      <c r="D670" s="4">
        <v>46287</v>
      </c>
      <c r="E670" s="3" t="s">
        <v>737</v>
      </c>
      <c r="F670" s="3" t="s">
        <v>871</v>
      </c>
    </row>
    <row r="671" spans="1:6" x14ac:dyDescent="0.3">
      <c r="A671" s="3" t="s">
        <v>580</v>
      </c>
      <c r="B671" s="3" t="s">
        <v>24</v>
      </c>
      <c r="C671" s="3" t="str">
        <f t="shared" si="10"/>
        <v>450013870960</v>
      </c>
      <c r="D671" s="4">
        <v>46287</v>
      </c>
      <c r="E671" s="3" t="s">
        <v>737</v>
      </c>
      <c r="F671" s="3" t="s">
        <v>871</v>
      </c>
    </row>
    <row r="672" spans="1:6" x14ac:dyDescent="0.3">
      <c r="A672" s="3" t="s">
        <v>580</v>
      </c>
      <c r="B672" s="3" t="s">
        <v>25</v>
      </c>
      <c r="C672" s="3" t="str">
        <f t="shared" si="10"/>
        <v>450013870970</v>
      </c>
      <c r="D672" s="4">
        <v>46287</v>
      </c>
      <c r="E672" s="3" t="s">
        <v>737</v>
      </c>
      <c r="F672" s="3" t="s">
        <v>871</v>
      </c>
    </row>
    <row r="673" spans="1:6" x14ac:dyDescent="0.3">
      <c r="A673" s="3" t="s">
        <v>756</v>
      </c>
      <c r="B673" s="3" t="s">
        <v>343</v>
      </c>
      <c r="C673" s="3" t="str">
        <f t="shared" si="10"/>
        <v>450013874580</v>
      </c>
      <c r="D673" s="4">
        <v>46301</v>
      </c>
      <c r="E673" s="3" t="s">
        <v>706</v>
      </c>
      <c r="F673" s="3" t="s">
        <v>874</v>
      </c>
    </row>
    <row r="674" spans="1:6" x14ac:dyDescent="0.3">
      <c r="A674" s="3" t="s">
        <v>569</v>
      </c>
      <c r="B674" s="3" t="s">
        <v>34</v>
      </c>
      <c r="C674" s="3" t="str">
        <f t="shared" si="10"/>
        <v>450013874910</v>
      </c>
      <c r="D674" s="4">
        <v>46281</v>
      </c>
      <c r="E674" s="3" t="s">
        <v>705</v>
      </c>
      <c r="F674" s="3" t="s">
        <v>935</v>
      </c>
    </row>
    <row r="675" spans="1:6" x14ac:dyDescent="0.3">
      <c r="A675" s="3" t="s">
        <v>754</v>
      </c>
      <c r="B675" s="3" t="s">
        <v>34</v>
      </c>
      <c r="C675" s="3" t="str">
        <f t="shared" si="10"/>
        <v>450013881110</v>
      </c>
      <c r="D675" s="4">
        <v>46295</v>
      </c>
      <c r="E675" s="3" t="s">
        <v>706</v>
      </c>
      <c r="F675" s="3" t="s">
        <v>936</v>
      </c>
    </row>
    <row r="676" spans="1:6" x14ac:dyDescent="0.3">
      <c r="A676" s="3" t="s">
        <v>754</v>
      </c>
      <c r="B676" s="3" t="s">
        <v>21</v>
      </c>
      <c r="C676" s="3" t="str">
        <f t="shared" si="10"/>
        <v>450013881120</v>
      </c>
      <c r="D676" s="4">
        <v>46295</v>
      </c>
      <c r="E676" s="3" t="s">
        <v>706</v>
      </c>
      <c r="F676" s="3" t="s">
        <v>936</v>
      </c>
    </row>
    <row r="677" spans="1:6" x14ac:dyDescent="0.3">
      <c r="A677" s="3" t="s">
        <v>786</v>
      </c>
      <c r="B677" s="3" t="s">
        <v>34</v>
      </c>
      <c r="C677" s="3" t="str">
        <f t="shared" si="10"/>
        <v>450013895110</v>
      </c>
      <c r="D677" s="4">
        <v>46301</v>
      </c>
      <c r="E677" s="3" t="s">
        <v>840</v>
      </c>
      <c r="F677" s="3" t="s">
        <v>937</v>
      </c>
    </row>
    <row r="678" spans="1:6" x14ac:dyDescent="0.3">
      <c r="A678" s="3" t="s">
        <v>1061</v>
      </c>
      <c r="B678" s="3" t="s">
        <v>34</v>
      </c>
      <c r="C678" s="3" t="str">
        <f t="shared" si="10"/>
        <v>450013898210</v>
      </c>
      <c r="D678" s="4">
        <v>46300</v>
      </c>
      <c r="E678" s="3" t="s">
        <v>713</v>
      </c>
      <c r="F678" s="3" t="s">
        <v>1081</v>
      </c>
    </row>
    <row r="679" spans="1:6" x14ac:dyDescent="0.3">
      <c r="A679" s="3" t="s">
        <v>818</v>
      </c>
      <c r="B679" s="3" t="s">
        <v>34</v>
      </c>
      <c r="C679" s="3" t="str">
        <f t="shared" si="10"/>
        <v>450013901610</v>
      </c>
      <c r="D679" s="4">
        <v>46296</v>
      </c>
      <c r="E679" s="3" t="s">
        <v>708</v>
      </c>
      <c r="F679" s="3" t="s">
        <v>855</v>
      </c>
    </row>
    <row r="680" spans="1:6" x14ac:dyDescent="0.3">
      <c r="A680" s="3" t="s">
        <v>702</v>
      </c>
      <c r="B680" s="3" t="s">
        <v>34</v>
      </c>
      <c r="C680" s="3" t="str">
        <f t="shared" si="10"/>
        <v>450013902710</v>
      </c>
      <c r="D680" s="4">
        <v>46286</v>
      </c>
      <c r="E680" s="3" t="s">
        <v>714</v>
      </c>
      <c r="F680" s="3" t="s">
        <v>914</v>
      </c>
    </row>
    <row r="681" spans="1:6" x14ac:dyDescent="0.3">
      <c r="A681" s="3" t="s">
        <v>676</v>
      </c>
      <c r="B681" s="3" t="s">
        <v>34</v>
      </c>
      <c r="C681" s="3" t="str">
        <f t="shared" si="10"/>
        <v>450013912710</v>
      </c>
      <c r="D681" s="4">
        <v>46300</v>
      </c>
      <c r="E681" s="3" t="s">
        <v>713</v>
      </c>
      <c r="F681" s="3" t="s">
        <v>900</v>
      </c>
    </row>
    <row r="682" spans="1:6" x14ac:dyDescent="0.3">
      <c r="A682" s="3" t="s">
        <v>676</v>
      </c>
      <c r="B682" s="3" t="s">
        <v>21</v>
      </c>
      <c r="C682" s="3" t="str">
        <f t="shared" si="10"/>
        <v>450013912720</v>
      </c>
      <c r="D682" s="4">
        <v>46300</v>
      </c>
      <c r="E682" s="3" t="s">
        <v>713</v>
      </c>
      <c r="F682" s="3" t="s">
        <v>900</v>
      </c>
    </row>
    <row r="683" spans="1:6" x14ac:dyDescent="0.3">
      <c r="A683" s="3" t="s">
        <v>629</v>
      </c>
      <c r="B683" s="3" t="s">
        <v>34</v>
      </c>
      <c r="C683" s="3" t="str">
        <f t="shared" si="10"/>
        <v>450013913410</v>
      </c>
      <c r="D683" s="4">
        <v>46297</v>
      </c>
      <c r="E683" s="3" t="s">
        <v>736</v>
      </c>
      <c r="F683" s="3" t="s">
        <v>871</v>
      </c>
    </row>
    <row r="684" spans="1:6" x14ac:dyDescent="0.3">
      <c r="A684" s="3" t="s">
        <v>629</v>
      </c>
      <c r="B684" s="3" t="s">
        <v>22</v>
      </c>
      <c r="C684" s="3" t="str">
        <f t="shared" si="10"/>
        <v>450013913430</v>
      </c>
      <c r="D684" s="4">
        <v>46297</v>
      </c>
      <c r="E684" s="3" t="s">
        <v>736</v>
      </c>
      <c r="F684" s="3" t="s">
        <v>871</v>
      </c>
    </row>
    <row r="685" spans="1:6" x14ac:dyDescent="0.3">
      <c r="A685" s="3" t="s">
        <v>629</v>
      </c>
      <c r="B685" s="3" t="s">
        <v>26</v>
      </c>
      <c r="C685" s="3" t="str">
        <f t="shared" si="10"/>
        <v>450013913440</v>
      </c>
      <c r="D685" s="4">
        <v>46297</v>
      </c>
      <c r="E685" s="3" t="s">
        <v>736</v>
      </c>
      <c r="F685" s="3" t="s">
        <v>871</v>
      </c>
    </row>
    <row r="686" spans="1:6" x14ac:dyDescent="0.3">
      <c r="A686" s="3" t="s">
        <v>651</v>
      </c>
      <c r="B686" s="3" t="s">
        <v>34</v>
      </c>
      <c r="C686" s="3" t="str">
        <f t="shared" si="10"/>
        <v>450013914910</v>
      </c>
      <c r="D686" s="4">
        <v>46294</v>
      </c>
      <c r="E686" s="3" t="s">
        <v>715</v>
      </c>
      <c r="F686" s="3" t="s">
        <v>938</v>
      </c>
    </row>
    <row r="687" spans="1:6" x14ac:dyDescent="0.3">
      <c r="A687" s="3" t="s">
        <v>623</v>
      </c>
      <c r="B687" s="3" t="s">
        <v>34</v>
      </c>
      <c r="C687" s="3" t="str">
        <f t="shared" si="10"/>
        <v>450013917310</v>
      </c>
      <c r="D687" s="4">
        <v>46303</v>
      </c>
      <c r="E687" s="3" t="s">
        <v>709</v>
      </c>
      <c r="F687" s="3" t="s">
        <v>939</v>
      </c>
    </row>
    <row r="688" spans="1:6" x14ac:dyDescent="0.3">
      <c r="A688" s="3" t="s">
        <v>623</v>
      </c>
      <c r="B688" s="3" t="s">
        <v>21</v>
      </c>
      <c r="C688" s="3" t="str">
        <f t="shared" si="10"/>
        <v>450013917320</v>
      </c>
      <c r="D688" s="4">
        <v>46303</v>
      </c>
      <c r="E688" s="3" t="s">
        <v>709</v>
      </c>
      <c r="F688" s="3" t="s">
        <v>939</v>
      </c>
    </row>
    <row r="689" spans="1:6" x14ac:dyDescent="0.3">
      <c r="A689" s="3" t="s">
        <v>623</v>
      </c>
      <c r="B689" s="3" t="s">
        <v>22</v>
      </c>
      <c r="C689" s="3" t="str">
        <f t="shared" si="10"/>
        <v>450013917330</v>
      </c>
      <c r="D689" s="4">
        <v>46303</v>
      </c>
      <c r="E689" s="3" t="s">
        <v>709</v>
      </c>
      <c r="F689" s="3" t="s">
        <v>939</v>
      </c>
    </row>
    <row r="690" spans="1:6" x14ac:dyDescent="0.3">
      <c r="A690" s="3" t="s">
        <v>623</v>
      </c>
      <c r="B690" s="3" t="s">
        <v>26</v>
      </c>
      <c r="C690" s="3" t="str">
        <f t="shared" si="10"/>
        <v>450013917340</v>
      </c>
      <c r="D690" s="4">
        <v>46303</v>
      </c>
      <c r="E690" s="3" t="s">
        <v>709</v>
      </c>
      <c r="F690" s="3" t="s">
        <v>939</v>
      </c>
    </row>
    <row r="691" spans="1:6" x14ac:dyDescent="0.3">
      <c r="A691" s="3" t="s">
        <v>648</v>
      </c>
      <c r="B691" s="3" t="s">
        <v>34</v>
      </c>
      <c r="C691" s="3" t="str">
        <f t="shared" si="10"/>
        <v>450013918210</v>
      </c>
      <c r="D691" s="4">
        <v>46300</v>
      </c>
      <c r="E691" s="3" t="s">
        <v>723</v>
      </c>
      <c r="F691" s="3" t="s">
        <v>940</v>
      </c>
    </row>
    <row r="692" spans="1:6" x14ac:dyDescent="0.3">
      <c r="A692" s="3" t="s">
        <v>1068</v>
      </c>
      <c r="B692" s="3" t="s">
        <v>34</v>
      </c>
      <c r="C692" s="3" t="str">
        <f t="shared" si="10"/>
        <v>450013920310</v>
      </c>
      <c r="D692" s="4">
        <v>46302</v>
      </c>
      <c r="E692" s="3" t="s">
        <v>711</v>
      </c>
      <c r="F692" s="3" t="s">
        <v>914</v>
      </c>
    </row>
    <row r="693" spans="1:6" x14ac:dyDescent="0.3">
      <c r="A693" s="3" t="s">
        <v>653</v>
      </c>
      <c r="B693" s="3" t="s">
        <v>34</v>
      </c>
      <c r="C693" s="3" t="str">
        <f t="shared" si="10"/>
        <v>450013920410</v>
      </c>
      <c r="D693" s="4">
        <v>46302</v>
      </c>
      <c r="E693" s="3" t="s">
        <v>711</v>
      </c>
      <c r="F693" s="3" t="s">
        <v>914</v>
      </c>
    </row>
    <row r="694" spans="1:6" x14ac:dyDescent="0.3">
      <c r="A694" s="3" t="s">
        <v>759</v>
      </c>
      <c r="B694" s="3" t="s">
        <v>34</v>
      </c>
      <c r="C694" s="3" t="str">
        <f t="shared" si="10"/>
        <v>450013920910</v>
      </c>
      <c r="D694" s="4">
        <v>46308</v>
      </c>
      <c r="E694" s="3" t="s">
        <v>708</v>
      </c>
      <c r="F694" s="3" t="s">
        <v>941</v>
      </c>
    </row>
    <row r="695" spans="1:6" x14ac:dyDescent="0.3">
      <c r="A695" s="3" t="s">
        <v>759</v>
      </c>
      <c r="B695" s="3" t="s">
        <v>21</v>
      </c>
      <c r="C695" s="3" t="str">
        <f t="shared" si="10"/>
        <v>450013920920</v>
      </c>
      <c r="D695" s="4">
        <v>46308</v>
      </c>
      <c r="E695" s="3" t="s">
        <v>708</v>
      </c>
      <c r="F695" s="3" t="s">
        <v>941</v>
      </c>
    </row>
    <row r="696" spans="1:6" x14ac:dyDescent="0.3">
      <c r="A696" s="3" t="s">
        <v>746</v>
      </c>
      <c r="B696" s="3" t="s">
        <v>34</v>
      </c>
      <c r="C696" s="3" t="str">
        <f t="shared" si="10"/>
        <v>450013921110</v>
      </c>
      <c r="D696" s="4">
        <v>46295</v>
      </c>
      <c r="E696" s="3" t="s">
        <v>708</v>
      </c>
      <c r="F696" s="3" t="s">
        <v>871</v>
      </c>
    </row>
    <row r="697" spans="1:6" x14ac:dyDescent="0.3">
      <c r="A697" s="3" t="s">
        <v>746</v>
      </c>
      <c r="B697" s="3" t="s">
        <v>21</v>
      </c>
      <c r="C697" s="3" t="str">
        <f t="shared" si="10"/>
        <v>450013921120</v>
      </c>
      <c r="D697" s="4">
        <v>46295</v>
      </c>
      <c r="E697" s="3" t="s">
        <v>708</v>
      </c>
      <c r="F697" s="3" t="s">
        <v>871</v>
      </c>
    </row>
    <row r="698" spans="1:6" x14ac:dyDescent="0.3">
      <c r="A698" s="3" t="s">
        <v>689</v>
      </c>
      <c r="B698" s="3" t="s">
        <v>34</v>
      </c>
      <c r="C698" s="3" t="str">
        <f t="shared" si="10"/>
        <v>450013931110</v>
      </c>
      <c r="D698" s="4">
        <v>46295</v>
      </c>
      <c r="E698" s="3" t="s">
        <v>720</v>
      </c>
      <c r="F698" s="3" t="s">
        <v>864</v>
      </c>
    </row>
    <row r="699" spans="1:6" x14ac:dyDescent="0.3">
      <c r="A699" s="3" t="s">
        <v>689</v>
      </c>
      <c r="B699" s="3" t="s">
        <v>21</v>
      </c>
      <c r="C699" s="3" t="str">
        <f t="shared" si="10"/>
        <v>450013931120</v>
      </c>
      <c r="D699" s="4">
        <v>46309</v>
      </c>
      <c r="E699" s="3" t="s">
        <v>720</v>
      </c>
      <c r="F699" s="3" t="s">
        <v>864</v>
      </c>
    </row>
    <row r="700" spans="1:6" x14ac:dyDescent="0.3">
      <c r="A700" s="3" t="s">
        <v>620</v>
      </c>
      <c r="B700" s="3" t="s">
        <v>34</v>
      </c>
      <c r="C700" s="3" t="str">
        <f t="shared" si="10"/>
        <v>450013938210</v>
      </c>
      <c r="D700" s="4">
        <v>46297</v>
      </c>
      <c r="E700" s="3" t="s">
        <v>711</v>
      </c>
      <c r="F700" s="3" t="s">
        <v>914</v>
      </c>
    </row>
    <row r="701" spans="1:6" x14ac:dyDescent="0.3">
      <c r="A701" s="3" t="s">
        <v>1071</v>
      </c>
      <c r="B701" s="3" t="s">
        <v>34</v>
      </c>
      <c r="C701" s="3" t="str">
        <f t="shared" si="10"/>
        <v>450013939610</v>
      </c>
      <c r="D701" s="4">
        <v>46297</v>
      </c>
      <c r="E701" s="3" t="s">
        <v>721</v>
      </c>
      <c r="F701" s="3" t="s">
        <v>1082</v>
      </c>
    </row>
    <row r="702" spans="1:6" x14ac:dyDescent="0.3">
      <c r="A702" s="3" t="s">
        <v>674</v>
      </c>
      <c r="B702" s="3" t="s">
        <v>34</v>
      </c>
      <c r="C702" s="3" t="str">
        <f t="shared" si="10"/>
        <v>450013940110</v>
      </c>
      <c r="D702" s="4">
        <v>46283</v>
      </c>
      <c r="E702" s="3" t="s">
        <v>705</v>
      </c>
      <c r="F702" s="3" t="s">
        <v>871</v>
      </c>
    </row>
    <row r="703" spans="1:6" x14ac:dyDescent="0.3">
      <c r="A703" s="3" t="s">
        <v>774</v>
      </c>
      <c r="B703" s="3" t="s">
        <v>34</v>
      </c>
      <c r="C703" s="3" t="str">
        <f t="shared" si="10"/>
        <v>450013949610</v>
      </c>
      <c r="D703" s="4">
        <v>46300</v>
      </c>
      <c r="E703" s="3" t="s">
        <v>708</v>
      </c>
      <c r="F703" s="3" t="s">
        <v>914</v>
      </c>
    </row>
    <row r="704" spans="1:6" x14ac:dyDescent="0.3">
      <c r="A704" s="3" t="s">
        <v>615</v>
      </c>
      <c r="B704" s="3" t="s">
        <v>21</v>
      </c>
      <c r="C704" s="3" t="str">
        <f t="shared" si="10"/>
        <v>450013950320</v>
      </c>
      <c r="D704" s="4">
        <v>46295</v>
      </c>
      <c r="E704" s="3" t="s">
        <v>725</v>
      </c>
      <c r="F704" s="3" t="s">
        <v>852</v>
      </c>
    </row>
    <row r="705" spans="1:6" x14ac:dyDescent="0.3">
      <c r="A705" s="3" t="s">
        <v>788</v>
      </c>
      <c r="B705" s="3" t="s">
        <v>34</v>
      </c>
      <c r="C705" s="3" t="str">
        <f t="shared" si="10"/>
        <v>450013950510</v>
      </c>
      <c r="D705" s="4">
        <v>46304</v>
      </c>
      <c r="E705" s="3" t="s">
        <v>713</v>
      </c>
      <c r="F705" s="3" t="s">
        <v>871</v>
      </c>
    </row>
    <row r="706" spans="1:6" x14ac:dyDescent="0.3">
      <c r="A706" s="3" t="s">
        <v>788</v>
      </c>
      <c r="B706" s="3" t="s">
        <v>22</v>
      </c>
      <c r="C706" s="3" t="str">
        <f t="shared" si="10"/>
        <v>450013950530</v>
      </c>
      <c r="D706" s="4">
        <v>46300</v>
      </c>
      <c r="E706" s="3" t="s">
        <v>713</v>
      </c>
      <c r="F706" s="3" t="s">
        <v>871</v>
      </c>
    </row>
    <row r="707" spans="1:6" x14ac:dyDescent="0.3">
      <c r="A707" s="3" t="s">
        <v>788</v>
      </c>
      <c r="B707" s="3" t="s">
        <v>26</v>
      </c>
      <c r="C707" s="3" t="str">
        <f t="shared" ref="C707:C756" si="11">_xlfn.CONCAT(A707:B707)</f>
        <v>450013950540</v>
      </c>
      <c r="D707" s="4">
        <v>46300</v>
      </c>
      <c r="E707" s="3" t="s">
        <v>713</v>
      </c>
      <c r="F707" s="3" t="s">
        <v>871</v>
      </c>
    </row>
    <row r="708" spans="1:6" x14ac:dyDescent="0.3">
      <c r="A708" s="3" t="s">
        <v>788</v>
      </c>
      <c r="B708" s="3" t="s">
        <v>23</v>
      </c>
      <c r="C708" s="3" t="str">
        <f t="shared" si="11"/>
        <v>450013950550</v>
      </c>
      <c r="D708" s="4">
        <v>46320</v>
      </c>
      <c r="E708" s="3" t="s">
        <v>713</v>
      </c>
      <c r="F708" s="3" t="s">
        <v>871</v>
      </c>
    </row>
    <row r="709" spans="1:6" x14ac:dyDescent="0.3">
      <c r="A709" s="3" t="s">
        <v>788</v>
      </c>
      <c r="B709" s="3" t="s">
        <v>24</v>
      </c>
      <c r="C709" s="3" t="str">
        <f t="shared" si="11"/>
        <v>450013950560</v>
      </c>
      <c r="D709" s="4">
        <v>46300</v>
      </c>
      <c r="E709" s="3" t="s">
        <v>713</v>
      </c>
      <c r="F709" s="3" t="s">
        <v>871</v>
      </c>
    </row>
    <row r="710" spans="1:6" x14ac:dyDescent="0.3">
      <c r="A710" s="3" t="s">
        <v>788</v>
      </c>
      <c r="B710" s="3" t="s">
        <v>25</v>
      </c>
      <c r="C710" s="3" t="str">
        <f t="shared" si="11"/>
        <v>450013950570</v>
      </c>
      <c r="D710" s="4">
        <v>46305</v>
      </c>
      <c r="E710" s="3" t="s">
        <v>713</v>
      </c>
      <c r="F710" s="3" t="s">
        <v>871</v>
      </c>
    </row>
    <row r="711" spans="1:6" x14ac:dyDescent="0.3">
      <c r="A711" s="3" t="s">
        <v>618</v>
      </c>
      <c r="B711" s="3" t="s">
        <v>34</v>
      </c>
      <c r="C711" s="3" t="str">
        <f t="shared" si="11"/>
        <v>450013952710</v>
      </c>
      <c r="D711" s="4">
        <v>46306</v>
      </c>
      <c r="E711" s="3" t="s">
        <v>712</v>
      </c>
      <c r="F711" s="3" t="s">
        <v>887</v>
      </c>
    </row>
    <row r="712" spans="1:6" x14ac:dyDescent="0.3">
      <c r="A712" s="3" t="s">
        <v>618</v>
      </c>
      <c r="B712" s="3" t="s">
        <v>21</v>
      </c>
      <c r="C712" s="3" t="str">
        <f t="shared" si="11"/>
        <v>450013952720</v>
      </c>
      <c r="D712" s="4">
        <v>46306</v>
      </c>
      <c r="E712" s="3" t="s">
        <v>712</v>
      </c>
      <c r="F712" s="3" t="s">
        <v>887</v>
      </c>
    </row>
    <row r="713" spans="1:6" x14ac:dyDescent="0.3">
      <c r="A713" s="3" t="s">
        <v>836</v>
      </c>
      <c r="B713" s="3" t="s">
        <v>34</v>
      </c>
      <c r="C713" s="3" t="str">
        <f t="shared" si="11"/>
        <v>450013953010</v>
      </c>
      <c r="D713" s="4">
        <v>46301</v>
      </c>
      <c r="E713" s="3" t="s">
        <v>739</v>
      </c>
      <c r="F713" s="3" t="s">
        <v>942</v>
      </c>
    </row>
    <row r="714" spans="1:6" x14ac:dyDescent="0.3">
      <c r="A714" s="3" t="s">
        <v>836</v>
      </c>
      <c r="B714" s="3" t="s">
        <v>21</v>
      </c>
      <c r="C714" s="3" t="str">
        <f t="shared" si="11"/>
        <v>450013953020</v>
      </c>
      <c r="D714" s="4">
        <v>46298</v>
      </c>
      <c r="E714" s="3" t="s">
        <v>739</v>
      </c>
      <c r="F714" s="3" t="s">
        <v>942</v>
      </c>
    </row>
    <row r="715" spans="1:6" x14ac:dyDescent="0.3">
      <c r="A715" s="3" t="s">
        <v>1031</v>
      </c>
      <c r="B715" s="3" t="s">
        <v>34</v>
      </c>
      <c r="C715" s="3" t="str">
        <f t="shared" si="11"/>
        <v>450013954110</v>
      </c>
      <c r="D715" s="4">
        <v>46304</v>
      </c>
      <c r="E715" s="3" t="s">
        <v>739</v>
      </c>
      <c r="F715" s="3" t="s">
        <v>1083</v>
      </c>
    </row>
    <row r="716" spans="1:6" x14ac:dyDescent="0.3">
      <c r="A716" s="3" t="s">
        <v>779</v>
      </c>
      <c r="B716" s="3" t="s">
        <v>34</v>
      </c>
      <c r="C716" s="3" t="str">
        <f t="shared" si="11"/>
        <v>450013955610</v>
      </c>
      <c r="D716" s="4">
        <v>46295</v>
      </c>
      <c r="E716" s="3" t="s">
        <v>708</v>
      </c>
      <c r="F716" s="3" t="s">
        <v>943</v>
      </c>
    </row>
    <row r="717" spans="1:6" x14ac:dyDescent="0.3">
      <c r="A717" s="3" t="s">
        <v>1074</v>
      </c>
      <c r="B717" s="3" t="s">
        <v>34</v>
      </c>
      <c r="C717" s="3" t="str">
        <f t="shared" si="11"/>
        <v>450013958410</v>
      </c>
      <c r="D717" s="4">
        <v>46296</v>
      </c>
      <c r="E717" s="3" t="s">
        <v>714</v>
      </c>
      <c r="F717" s="3" t="s">
        <v>1084</v>
      </c>
    </row>
    <row r="718" spans="1:6" x14ac:dyDescent="0.3">
      <c r="A718" s="3" t="s">
        <v>1074</v>
      </c>
      <c r="B718" s="3" t="s">
        <v>21</v>
      </c>
      <c r="C718" s="3" t="str">
        <f t="shared" si="11"/>
        <v>450013958420</v>
      </c>
      <c r="D718" s="4">
        <v>46296</v>
      </c>
      <c r="E718" s="3" t="s">
        <v>714</v>
      </c>
      <c r="F718" s="3" t="s">
        <v>1084</v>
      </c>
    </row>
    <row r="719" spans="1:6" x14ac:dyDescent="0.3">
      <c r="A719" s="3" t="s">
        <v>812</v>
      </c>
      <c r="B719" s="3" t="s">
        <v>34</v>
      </c>
      <c r="C719" s="3" t="str">
        <f t="shared" si="11"/>
        <v>450013960110</v>
      </c>
      <c r="D719" s="4">
        <v>46300</v>
      </c>
      <c r="E719" s="3" t="s">
        <v>708</v>
      </c>
      <c r="F719" s="3" t="s">
        <v>863</v>
      </c>
    </row>
    <row r="720" spans="1:6" x14ac:dyDescent="0.3">
      <c r="A720" s="3" t="s">
        <v>816</v>
      </c>
      <c r="B720" s="3" t="s">
        <v>34</v>
      </c>
      <c r="C720" s="3" t="str">
        <f t="shared" si="11"/>
        <v>450013960210</v>
      </c>
      <c r="D720" s="4">
        <v>46300</v>
      </c>
      <c r="E720" s="3" t="s">
        <v>708</v>
      </c>
      <c r="F720" s="3" t="s">
        <v>883</v>
      </c>
    </row>
    <row r="721" spans="1:6" x14ac:dyDescent="0.3">
      <c r="A721" s="3" t="s">
        <v>823</v>
      </c>
      <c r="B721" s="3" t="s">
        <v>34</v>
      </c>
      <c r="C721" s="3" t="str">
        <f t="shared" si="11"/>
        <v>450013961110</v>
      </c>
      <c r="D721" s="4">
        <v>46305</v>
      </c>
      <c r="E721" s="3" t="s">
        <v>708</v>
      </c>
      <c r="F721" s="3" t="s">
        <v>908</v>
      </c>
    </row>
    <row r="722" spans="1:6" x14ac:dyDescent="0.3">
      <c r="A722" s="3" t="s">
        <v>1028</v>
      </c>
      <c r="B722" s="3" t="s">
        <v>34</v>
      </c>
      <c r="C722" s="3" t="str">
        <f t="shared" si="11"/>
        <v>450013965010</v>
      </c>
      <c r="D722" s="4">
        <v>46297</v>
      </c>
      <c r="E722" s="3" t="s">
        <v>736</v>
      </c>
      <c r="F722" s="3" t="s">
        <v>874</v>
      </c>
    </row>
    <row r="723" spans="1:6" x14ac:dyDescent="0.3">
      <c r="A723" s="3" t="s">
        <v>1028</v>
      </c>
      <c r="B723" s="3" t="s">
        <v>21</v>
      </c>
      <c r="C723" s="3" t="str">
        <f t="shared" si="11"/>
        <v>450013965020</v>
      </c>
      <c r="D723" s="4">
        <v>46297</v>
      </c>
      <c r="E723" s="3" t="s">
        <v>736</v>
      </c>
      <c r="F723" s="3" t="s">
        <v>874</v>
      </c>
    </row>
    <row r="724" spans="1:6" x14ac:dyDescent="0.3">
      <c r="A724" s="3" t="s">
        <v>833</v>
      </c>
      <c r="B724" s="3" t="s">
        <v>34</v>
      </c>
      <c r="C724" s="3" t="str">
        <f t="shared" si="11"/>
        <v>450013968210</v>
      </c>
      <c r="D724" s="4">
        <v>46300</v>
      </c>
      <c r="E724" s="3" t="s">
        <v>738</v>
      </c>
      <c r="F724" s="3" t="s">
        <v>872</v>
      </c>
    </row>
    <row r="725" spans="1:6" x14ac:dyDescent="0.3">
      <c r="A725" s="3" t="s">
        <v>833</v>
      </c>
      <c r="B725" s="3" t="s">
        <v>21</v>
      </c>
      <c r="C725" s="3" t="str">
        <f t="shared" si="11"/>
        <v>450013968220</v>
      </c>
      <c r="D725" s="4">
        <v>46300</v>
      </c>
      <c r="E725" s="3" t="s">
        <v>738</v>
      </c>
      <c r="F725" s="3" t="s">
        <v>872</v>
      </c>
    </row>
    <row r="726" spans="1:6" x14ac:dyDescent="0.3">
      <c r="A726" s="3" t="s">
        <v>833</v>
      </c>
      <c r="B726" s="3" t="s">
        <v>22</v>
      </c>
      <c r="C726" s="3" t="str">
        <f t="shared" si="11"/>
        <v>450013968230</v>
      </c>
      <c r="D726" s="4">
        <v>46300</v>
      </c>
      <c r="E726" s="3" t="s">
        <v>738</v>
      </c>
      <c r="F726" s="3" t="s">
        <v>872</v>
      </c>
    </row>
    <row r="727" spans="1:6" x14ac:dyDescent="0.3">
      <c r="A727" s="3" t="s">
        <v>821</v>
      </c>
      <c r="B727" s="3" t="s">
        <v>34</v>
      </c>
      <c r="C727" s="3" t="str">
        <f t="shared" si="11"/>
        <v>450013969610</v>
      </c>
      <c r="D727" s="4">
        <v>46300</v>
      </c>
      <c r="E727" s="3" t="s">
        <v>708</v>
      </c>
      <c r="F727" s="3" t="s">
        <v>944</v>
      </c>
    </row>
    <row r="728" spans="1:6" x14ac:dyDescent="0.3">
      <c r="A728" s="3" t="s">
        <v>825</v>
      </c>
      <c r="B728" s="3" t="s">
        <v>34</v>
      </c>
      <c r="C728" s="3" t="str">
        <f t="shared" si="11"/>
        <v>450013969710</v>
      </c>
      <c r="D728" s="4">
        <v>46305</v>
      </c>
      <c r="E728" s="3" t="s">
        <v>708</v>
      </c>
      <c r="F728" s="3" t="s">
        <v>912</v>
      </c>
    </row>
    <row r="729" spans="1:6" x14ac:dyDescent="0.3">
      <c r="A729" s="3" t="s">
        <v>1000</v>
      </c>
      <c r="B729" s="3" t="s">
        <v>34</v>
      </c>
      <c r="C729" s="3" t="str">
        <f t="shared" si="11"/>
        <v>450013973010</v>
      </c>
      <c r="D729" s="4">
        <v>46301</v>
      </c>
      <c r="E729" s="3" t="s">
        <v>713</v>
      </c>
      <c r="F729" s="3" t="s">
        <v>1085</v>
      </c>
    </row>
    <row r="730" spans="1:6" x14ac:dyDescent="0.3">
      <c r="A730" s="3" t="s">
        <v>693</v>
      </c>
      <c r="B730" s="3" t="s">
        <v>34</v>
      </c>
      <c r="C730" s="3" t="str">
        <f t="shared" si="11"/>
        <v>450013973810</v>
      </c>
      <c r="D730" s="4">
        <v>46315</v>
      </c>
      <c r="E730" s="3" t="s">
        <v>713</v>
      </c>
      <c r="F730" s="3" t="s">
        <v>900</v>
      </c>
    </row>
    <row r="731" spans="1:6" x14ac:dyDescent="0.3">
      <c r="A731" s="3" t="s">
        <v>1033</v>
      </c>
      <c r="B731" s="3" t="s">
        <v>34</v>
      </c>
      <c r="C731" s="3" t="str">
        <f t="shared" si="11"/>
        <v>450013974610</v>
      </c>
      <c r="D731" s="4">
        <v>46303</v>
      </c>
      <c r="E731" s="3" t="s">
        <v>706</v>
      </c>
      <c r="F731" s="3" t="s">
        <v>871</v>
      </c>
    </row>
    <row r="732" spans="1:6" x14ac:dyDescent="0.3">
      <c r="A732" s="3" t="s">
        <v>695</v>
      </c>
      <c r="B732" s="3" t="s">
        <v>34</v>
      </c>
      <c r="C732" s="3" t="str">
        <f t="shared" si="11"/>
        <v>450013977410</v>
      </c>
      <c r="D732" s="4">
        <v>46295</v>
      </c>
      <c r="E732" s="3" t="s">
        <v>721</v>
      </c>
      <c r="F732" s="3" t="s">
        <v>855</v>
      </c>
    </row>
    <row r="733" spans="1:6" x14ac:dyDescent="0.3">
      <c r="A733" s="3" t="s">
        <v>695</v>
      </c>
      <c r="B733" s="3" t="s">
        <v>21</v>
      </c>
      <c r="C733" s="3" t="str">
        <f t="shared" si="11"/>
        <v>450013977420</v>
      </c>
      <c r="D733" s="4">
        <v>46295</v>
      </c>
      <c r="E733" s="3" t="s">
        <v>721</v>
      </c>
      <c r="F733" s="3" t="s">
        <v>855</v>
      </c>
    </row>
    <row r="734" spans="1:6" x14ac:dyDescent="0.3">
      <c r="A734" s="3" t="s">
        <v>695</v>
      </c>
      <c r="B734" s="3" t="s">
        <v>22</v>
      </c>
      <c r="C734" s="3" t="str">
        <f t="shared" si="11"/>
        <v>450013977430</v>
      </c>
      <c r="D734" s="4">
        <v>46295</v>
      </c>
      <c r="E734" s="3" t="s">
        <v>721</v>
      </c>
      <c r="F734" s="3" t="s">
        <v>855</v>
      </c>
    </row>
    <row r="735" spans="1:6" x14ac:dyDescent="0.3">
      <c r="A735" s="3" t="s">
        <v>695</v>
      </c>
      <c r="B735" s="3" t="s">
        <v>26</v>
      </c>
      <c r="C735" s="3" t="str">
        <f t="shared" si="11"/>
        <v>450013977440</v>
      </c>
      <c r="D735" s="4">
        <v>46295</v>
      </c>
      <c r="E735" s="3" t="s">
        <v>721</v>
      </c>
      <c r="F735" s="3" t="s">
        <v>855</v>
      </c>
    </row>
    <row r="736" spans="1:6" x14ac:dyDescent="0.3">
      <c r="A736" s="3" t="s">
        <v>695</v>
      </c>
      <c r="B736" s="3" t="s">
        <v>23</v>
      </c>
      <c r="C736" s="3" t="str">
        <f t="shared" si="11"/>
        <v>450013977450</v>
      </c>
      <c r="D736" s="4">
        <v>46295</v>
      </c>
      <c r="E736" s="3" t="s">
        <v>721</v>
      </c>
      <c r="F736" s="3" t="s">
        <v>855</v>
      </c>
    </row>
    <row r="737" spans="1:6" x14ac:dyDescent="0.3">
      <c r="A737" s="3" t="s">
        <v>695</v>
      </c>
      <c r="B737" s="3" t="s">
        <v>24</v>
      </c>
      <c r="C737" s="3" t="str">
        <f t="shared" si="11"/>
        <v>450013977460</v>
      </c>
      <c r="D737" s="4">
        <v>46295</v>
      </c>
      <c r="E737" s="3" t="s">
        <v>721</v>
      </c>
      <c r="F737" s="3" t="s">
        <v>855</v>
      </c>
    </row>
    <row r="738" spans="1:6" x14ac:dyDescent="0.3">
      <c r="A738" s="3" t="s">
        <v>695</v>
      </c>
      <c r="B738" s="3" t="s">
        <v>25</v>
      </c>
      <c r="C738" s="3" t="str">
        <f t="shared" si="11"/>
        <v>450013977470</v>
      </c>
      <c r="D738" s="4">
        <v>46295</v>
      </c>
      <c r="E738" s="3" t="s">
        <v>721</v>
      </c>
      <c r="F738" s="3" t="s">
        <v>855</v>
      </c>
    </row>
    <row r="739" spans="1:6" x14ac:dyDescent="0.3">
      <c r="A739" s="3" t="s">
        <v>695</v>
      </c>
      <c r="B739" s="3" t="s">
        <v>343</v>
      </c>
      <c r="C739" s="3" t="str">
        <f t="shared" si="11"/>
        <v>450013977480</v>
      </c>
      <c r="D739" s="4">
        <v>46295</v>
      </c>
      <c r="E739" s="3" t="s">
        <v>721</v>
      </c>
      <c r="F739" s="3" t="s">
        <v>855</v>
      </c>
    </row>
    <row r="740" spans="1:6" x14ac:dyDescent="0.3">
      <c r="A740" s="3" t="s">
        <v>695</v>
      </c>
      <c r="B740" s="3" t="s">
        <v>344</v>
      </c>
      <c r="C740" s="3" t="str">
        <f t="shared" si="11"/>
        <v>450013977490</v>
      </c>
      <c r="D740" s="4">
        <v>46295</v>
      </c>
      <c r="E740" s="3" t="s">
        <v>721</v>
      </c>
      <c r="F740" s="3" t="s">
        <v>855</v>
      </c>
    </row>
    <row r="741" spans="1:6" x14ac:dyDescent="0.3">
      <c r="A741" s="3" t="s">
        <v>695</v>
      </c>
      <c r="B741" s="3" t="s">
        <v>345</v>
      </c>
      <c r="C741" s="3" t="str">
        <f t="shared" si="11"/>
        <v>4500139774100</v>
      </c>
      <c r="D741" s="4">
        <v>46295</v>
      </c>
      <c r="E741" s="3" t="s">
        <v>721</v>
      </c>
      <c r="F741" s="3" t="s">
        <v>855</v>
      </c>
    </row>
    <row r="742" spans="1:6" x14ac:dyDescent="0.3">
      <c r="A742" s="3" t="s">
        <v>695</v>
      </c>
      <c r="B742" s="3" t="s">
        <v>193</v>
      </c>
      <c r="C742" s="3" t="str">
        <f t="shared" si="11"/>
        <v>4500139774110</v>
      </c>
      <c r="D742" s="4">
        <v>46295</v>
      </c>
      <c r="E742" s="3" t="s">
        <v>721</v>
      </c>
      <c r="F742" s="3" t="s">
        <v>855</v>
      </c>
    </row>
    <row r="743" spans="1:6" x14ac:dyDescent="0.3">
      <c r="A743" s="3" t="s">
        <v>695</v>
      </c>
      <c r="B743" s="3" t="s">
        <v>400</v>
      </c>
      <c r="C743" s="3" t="str">
        <f t="shared" si="11"/>
        <v>4500139774120</v>
      </c>
      <c r="D743" s="4">
        <v>46295</v>
      </c>
      <c r="E743" s="3" t="s">
        <v>721</v>
      </c>
      <c r="F743" s="3" t="s">
        <v>855</v>
      </c>
    </row>
    <row r="744" spans="1:6" x14ac:dyDescent="0.3">
      <c r="A744" s="3" t="s">
        <v>700</v>
      </c>
      <c r="B744" s="3" t="s">
        <v>34</v>
      </c>
      <c r="C744" s="3" t="str">
        <f t="shared" si="11"/>
        <v>450013981910</v>
      </c>
      <c r="D744" s="4">
        <v>46302</v>
      </c>
      <c r="E744" s="3" t="s">
        <v>706</v>
      </c>
      <c r="F744" s="3" t="s">
        <v>859</v>
      </c>
    </row>
    <row r="745" spans="1:6" x14ac:dyDescent="0.3">
      <c r="A745" s="3" t="s">
        <v>679</v>
      </c>
      <c r="B745" s="3" t="s">
        <v>34</v>
      </c>
      <c r="C745" s="3" t="str">
        <f t="shared" si="11"/>
        <v>450013988810</v>
      </c>
      <c r="D745" s="4">
        <v>46302</v>
      </c>
      <c r="E745" s="3" t="s">
        <v>719</v>
      </c>
      <c r="F745" s="3" t="s">
        <v>945</v>
      </c>
    </row>
    <row r="746" spans="1:6" x14ac:dyDescent="0.3">
      <c r="A746" s="3" t="s">
        <v>1013</v>
      </c>
      <c r="B746" s="3" t="s">
        <v>34</v>
      </c>
      <c r="C746" s="3" t="str">
        <f t="shared" si="11"/>
        <v>450013989010</v>
      </c>
      <c r="D746" s="4">
        <v>46309</v>
      </c>
      <c r="E746" s="3" t="s">
        <v>736</v>
      </c>
      <c r="F746" s="3" t="s">
        <v>871</v>
      </c>
    </row>
    <row r="747" spans="1:6" x14ac:dyDescent="0.3">
      <c r="A747" s="3" t="s">
        <v>1043</v>
      </c>
      <c r="B747" s="3" t="s">
        <v>34</v>
      </c>
      <c r="C747" s="3" t="str">
        <f t="shared" si="11"/>
        <v>450013992510</v>
      </c>
      <c r="D747" s="4">
        <v>46297</v>
      </c>
      <c r="E747" s="3" t="s">
        <v>708</v>
      </c>
      <c r="F747" s="3" t="s">
        <v>852</v>
      </c>
    </row>
    <row r="748" spans="1:6" x14ac:dyDescent="0.3">
      <c r="A748" s="3" t="s">
        <v>1043</v>
      </c>
      <c r="B748" s="3" t="s">
        <v>21</v>
      </c>
      <c r="C748" s="3" t="str">
        <f t="shared" si="11"/>
        <v>450013992520</v>
      </c>
      <c r="D748" s="4">
        <v>46315</v>
      </c>
      <c r="E748" s="3" t="s">
        <v>708</v>
      </c>
      <c r="F748" s="3" t="s">
        <v>852</v>
      </c>
    </row>
    <row r="749" spans="1:6" x14ac:dyDescent="0.3">
      <c r="A749" s="3" t="s">
        <v>1018</v>
      </c>
      <c r="B749" s="3" t="s">
        <v>34</v>
      </c>
      <c r="C749" s="3" t="str">
        <f t="shared" si="11"/>
        <v>450013993610</v>
      </c>
      <c r="D749" s="4">
        <v>46305</v>
      </c>
      <c r="E749" s="3" t="s">
        <v>706</v>
      </c>
      <c r="F749" s="3" t="s">
        <v>859</v>
      </c>
    </row>
    <row r="750" spans="1:6" x14ac:dyDescent="0.3">
      <c r="A750" s="3" t="s">
        <v>1018</v>
      </c>
      <c r="B750" s="3" t="s">
        <v>21</v>
      </c>
      <c r="C750" s="3" t="str">
        <f t="shared" si="11"/>
        <v>450013993620</v>
      </c>
      <c r="D750" s="4">
        <v>46305</v>
      </c>
      <c r="E750" s="3" t="s">
        <v>706</v>
      </c>
      <c r="F750" s="3" t="s">
        <v>859</v>
      </c>
    </row>
    <row r="751" spans="1:6" x14ac:dyDescent="0.3">
      <c r="A751" s="3" t="s">
        <v>810</v>
      </c>
      <c r="B751" s="3" t="s">
        <v>34</v>
      </c>
      <c r="C751" s="3" t="str">
        <f t="shared" si="11"/>
        <v>450013997810</v>
      </c>
      <c r="D751" s="4">
        <v>46300</v>
      </c>
      <c r="E751" s="3" t="s">
        <v>708</v>
      </c>
      <c r="F751" s="3" t="s">
        <v>946</v>
      </c>
    </row>
    <row r="752" spans="1:6" x14ac:dyDescent="0.3">
      <c r="A752" s="3" t="s">
        <v>830</v>
      </c>
      <c r="B752" s="3" t="s">
        <v>34</v>
      </c>
      <c r="C752" s="3" t="str">
        <f t="shared" si="11"/>
        <v>450014002310</v>
      </c>
      <c r="D752" s="4">
        <v>46305</v>
      </c>
      <c r="E752" s="3" t="s">
        <v>712</v>
      </c>
      <c r="F752" s="3" t="s">
        <v>895</v>
      </c>
    </row>
    <row r="753" spans="1:6" x14ac:dyDescent="0.3">
      <c r="A753" s="3" t="s">
        <v>796</v>
      </c>
      <c r="B753" s="3" t="s">
        <v>34</v>
      </c>
      <c r="C753" s="3" t="str">
        <f t="shared" si="11"/>
        <v>450014002610</v>
      </c>
      <c r="D753" s="4">
        <v>46305</v>
      </c>
      <c r="E753" s="3" t="s">
        <v>712</v>
      </c>
      <c r="F753" s="3" t="s">
        <v>947</v>
      </c>
    </row>
    <row r="754" spans="1:6" x14ac:dyDescent="0.3">
      <c r="A754" s="3" t="s">
        <v>995</v>
      </c>
      <c r="B754" s="3" t="s">
        <v>34</v>
      </c>
      <c r="C754" s="3" t="str">
        <f t="shared" si="11"/>
        <v>450014002810</v>
      </c>
      <c r="D754" s="4">
        <v>46310</v>
      </c>
      <c r="E754" s="3" t="s">
        <v>726</v>
      </c>
      <c r="F754" s="3" t="s">
        <v>1086</v>
      </c>
    </row>
    <row r="755" spans="1:6" x14ac:dyDescent="0.3">
      <c r="A755" s="3" t="s">
        <v>988</v>
      </c>
      <c r="B755" s="3" t="s">
        <v>34</v>
      </c>
      <c r="C755" s="3" t="str">
        <f t="shared" si="11"/>
        <v>450014003410</v>
      </c>
      <c r="D755" s="4">
        <v>46303</v>
      </c>
      <c r="E755" s="3" t="s">
        <v>712</v>
      </c>
      <c r="F755" s="3" t="s">
        <v>910</v>
      </c>
    </row>
    <row r="756" spans="1:6" x14ac:dyDescent="0.3">
      <c r="A756" s="3" t="s">
        <v>814</v>
      </c>
      <c r="B756" s="3" t="s">
        <v>34</v>
      </c>
      <c r="C756" s="3" t="str">
        <f t="shared" si="11"/>
        <v>450014003510</v>
      </c>
      <c r="D756" s="4">
        <v>46305</v>
      </c>
      <c r="E756" s="3" t="s">
        <v>712</v>
      </c>
      <c r="F756" s="3" t="s">
        <v>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David Ezequiel Benitez</cp:lastModifiedBy>
  <cp:revision>1</cp:revision>
  <dcterms:created xsi:type="dcterms:W3CDTF">2026-10-05T15:11:36Z</dcterms:created>
  <dcterms:modified xsi:type="dcterms:W3CDTF">2026-10-05T15:11:36Z</dcterms:modified>
  <cp:category/>
</cp:coreProperties>
</file>